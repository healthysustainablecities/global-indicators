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rmiteduau-my.sharepoint.com/personal/carl_higgs_rmit_edu_au/Documents/projects/global-indicators/process/configuration/"/>
    </mc:Choice>
  </mc:AlternateContent>
  <xr:revisionPtr revIDLastSave="235" documentId="13_ncr:1_{A1621D2C-8777-4FDD-92B5-C2095AA65C86}" xr6:coauthVersionLast="47" xr6:coauthVersionMax="47" xr10:uidLastSave="{E16B261E-C571-462E-BC03-53B63BD4008E}"/>
  <bookViews>
    <workbookView xWindow="28680" yWindow="-120" windowWidth="29040" windowHeight="15720" activeTab="5" xr2:uid="{00000000-000D-0000-FFFF-FFFF00000000}"/>
  </bookViews>
  <sheets>
    <sheet name="policy_spatial" sheetId="1" r:id="rId1"/>
    <sheet name="spatial" sheetId="9" r:id="rId2"/>
    <sheet name="policy" sheetId="11" r:id="rId3"/>
    <sheet name="policy_spatial_ee" sheetId="16" r:id="rId4"/>
    <sheet name="spatial_ee" sheetId="15" r:id="rId5"/>
    <sheet name="languages" sheetId="2" r:id="rId6"/>
    <sheet name="Translation Sign-off" sheetId="14" r:id="rId7"/>
    <sheet name="fonts" sheetId="3" r:id="rId8"/>
  </sheets>
  <definedNames>
    <definedName name="_xlnm._FilterDatabase" localSheetId="5" hidden="1">languages!$A$1:$S$183</definedName>
    <definedName name="_xlnm._FilterDatabase" localSheetId="2" hidden="1">policy!$A$1:$T$1</definedName>
    <definedName name="_xlnm._FilterDatabase" localSheetId="0" hidden="1">policy_spatial!$A$1:$T$1</definedName>
    <definedName name="_xlnm._FilterDatabase" localSheetId="3" hidden="1">policy_spatial_ee!$A$1:$T$1</definedName>
    <definedName name="_xlnm._FilterDatabase" localSheetId="1" hidden="1">spatial!$A$1:$T$48</definedName>
    <definedName name="_xlnm._FilterDatabase" localSheetId="4" hidden="1">spatial_ee!$A$1:$T$48</definedName>
    <definedName name="_xlnm._FilterDatabase" localSheetId="6" hidden="1">'Translation Sign-off'!$A$4:$H$4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 l="1"/>
  <c r="E23" i="1" s="1"/>
  <c r="G23" i="1" s="1"/>
  <c r="E24" i="1" s="1"/>
  <c r="G24" i="1" s="1"/>
  <c r="E25" i="1" s="1"/>
  <c r="G25" i="1" s="1"/>
  <c r="E26" i="1" s="1"/>
  <c r="G26" i="1" s="1"/>
  <c r="G22" i="9"/>
  <c r="E23" i="9" s="1"/>
  <c r="G23" i="9" s="1"/>
  <c r="E24" i="9" s="1"/>
  <c r="G24" i="9" s="1"/>
  <c r="E25" i="9" s="1"/>
  <c r="G25" i="9" s="1"/>
  <c r="E26" i="9" s="1"/>
  <c r="G26" i="9" s="1"/>
  <c r="G22" i="11"/>
  <c r="E23" i="11" s="1"/>
  <c r="G23" i="11" s="1"/>
  <c r="E24" i="11" s="1"/>
  <c r="G24" i="11" s="1"/>
  <c r="E25" i="11" s="1"/>
  <c r="G25" i="11" s="1"/>
  <c r="E26" i="11" s="1"/>
  <c r="G26" i="11" s="1"/>
  <c r="G22" i="16"/>
  <c r="E23" i="16" s="1"/>
  <c r="G23" i="16" s="1"/>
  <c r="E24" i="16" s="1"/>
  <c r="G24" i="16" s="1"/>
  <c r="E25" i="16" s="1"/>
  <c r="G25" i="16" s="1"/>
  <c r="E26" i="16" s="1"/>
  <c r="G26" i="16" s="1"/>
  <c r="G22" i="15"/>
  <c r="E23" i="15" s="1"/>
  <c r="G23" i="15" s="1"/>
  <c r="E24" i="15" s="1"/>
  <c r="G24" i="15" s="1"/>
  <c r="E25" i="15" s="1"/>
  <c r="G25" i="15" s="1"/>
  <c r="E26" i="15" s="1"/>
  <c r="G26" i="15" s="1"/>
  <c r="G130" i="15"/>
  <c r="E131" i="15"/>
  <c r="G131" i="15"/>
  <c r="G132" i="15"/>
  <c r="D133" i="15"/>
  <c r="E133" i="15"/>
  <c r="F133" i="15"/>
  <c r="G133" i="15"/>
  <c r="E134" i="15" s="1"/>
  <c r="G134" i="15" s="1"/>
  <c r="E135" i="15" s="1"/>
  <c r="D134" i="15"/>
  <c r="F134" i="15"/>
  <c r="F138" i="15" s="1"/>
  <c r="D135" i="15"/>
  <c r="D138" i="15" s="1"/>
  <c r="P135" i="15"/>
  <c r="P136" i="15"/>
  <c r="P137" i="15"/>
  <c r="G127" i="15"/>
  <c r="E127" i="15"/>
  <c r="G327" i="16"/>
  <c r="E328" i="16" s="1"/>
  <c r="G328" i="16" s="1"/>
  <c r="G326" i="16"/>
  <c r="G124" i="15"/>
  <c r="E125" i="15" s="1"/>
  <c r="G125" i="15" s="1"/>
  <c r="E123" i="15"/>
  <c r="G123" i="15" s="1"/>
  <c r="G126" i="15"/>
  <c r="E115" i="15"/>
  <c r="G115" i="15" s="1"/>
  <c r="G329" i="16"/>
  <c r="E330" i="16" s="1"/>
  <c r="G330" i="16" s="1"/>
  <c r="G304" i="16"/>
  <c r="G301" i="16"/>
  <c r="G118" i="15"/>
  <c r="G116" i="15"/>
  <c r="E117" i="15" s="1"/>
  <c r="G117" i="15" s="1"/>
  <c r="G302" i="16"/>
  <c r="E303" i="16" s="1"/>
  <c r="G303" i="16" s="1"/>
  <c r="G121" i="15"/>
  <c r="E122" i="15" s="1"/>
  <c r="G122" i="15" s="1"/>
  <c r="G113" i="15"/>
  <c r="E114" i="15" s="1"/>
  <c r="G114" i="15" s="1"/>
  <c r="G331" i="16"/>
  <c r="E332" i="16" s="1"/>
  <c r="G332" i="16" s="1"/>
  <c r="G305" i="16"/>
  <c r="E306" i="16" s="1"/>
  <c r="G306" i="16" s="1"/>
  <c r="G128" i="15"/>
  <c r="E129" i="15" s="1"/>
  <c r="G129" i="15" s="1"/>
  <c r="G119" i="15"/>
  <c r="E120" i="15" s="1"/>
  <c r="G120" i="15" s="1"/>
  <c r="E136" i="15" l="1"/>
  <c r="D139" i="15"/>
  <c r="F135" i="15"/>
  <c r="D136" i="15" s="1"/>
  <c r="F136" i="15" s="1"/>
  <c r="D137" i="15" s="1"/>
  <c r="F137" i="15" s="1"/>
  <c r="G135" i="15" l="1"/>
  <c r="E138" i="15" s="1"/>
  <c r="G138" i="15" s="1"/>
  <c r="E139" i="15" s="1"/>
  <c r="G139" i="15" s="1"/>
  <c r="G136" i="15"/>
  <c r="E137" i="15"/>
  <c r="G137" i="15" s="1"/>
</calcChain>
</file>

<file path=xl/sharedStrings.xml><?xml version="1.0" encoding="utf-8"?>
<sst xmlns="http://schemas.openxmlformats.org/spreadsheetml/2006/main" count="13823" uniqueCount="5701">
  <si>
    <t>name</t>
  </si>
  <si>
    <t>page</t>
  </si>
  <si>
    <t>type</t>
  </si>
  <si>
    <t>x1</t>
  </si>
  <si>
    <t>y1</t>
  </si>
  <si>
    <t>x2</t>
  </si>
  <si>
    <t>y2</t>
  </si>
  <si>
    <t>font</t>
  </si>
  <si>
    <t>size</t>
  </si>
  <si>
    <t>bold</t>
  </si>
  <si>
    <t>italic</t>
  </si>
  <si>
    <t>underline</t>
  </si>
  <si>
    <t>foreground</t>
  </si>
  <si>
    <t>background</t>
  </si>
  <si>
    <t>align</t>
  </si>
  <si>
    <t>text</t>
  </si>
  <si>
    <t>priority</t>
  </si>
  <si>
    <t>multiline</t>
  </si>
  <si>
    <t>title_city</t>
  </si>
  <si>
    <t>T</t>
  </si>
  <si>
    <t>dejavu</t>
  </si>
  <si>
    <t>FFFFFF</t>
  </si>
  <si>
    <t>R</t>
  </si>
  <si>
    <t>title_author</t>
  </si>
  <si>
    <t>I</t>
  </si>
  <si>
    <t>L</t>
  </si>
  <si>
    <t>B</t>
  </si>
  <si>
    <t>C</t>
  </si>
  <si>
    <t>cover_image</t>
  </si>
  <si>
    <t>line1</t>
  </si>
  <si>
    <t>access_profile</t>
  </si>
  <si>
    <t>access_profile_text</t>
  </si>
  <si>
    <t>walkability_header</t>
  </si>
  <si>
    <t>all_cities_walkability</t>
  </si>
  <si>
    <t>local_nh_population_density</t>
  </si>
  <si>
    <t>presence_text</t>
  </si>
  <si>
    <t>quality_text</t>
  </si>
  <si>
    <t>local_nh_intersection_density</t>
  </si>
  <si>
    <t>pt_header</t>
  </si>
  <si>
    <t>pos_header</t>
  </si>
  <si>
    <t>pct_access_500m_public_open_space_large_score</t>
  </si>
  <si>
    <t>citations</t>
  </si>
  <si>
    <t>walkability_description</t>
  </si>
  <si>
    <t>rotate</t>
  </si>
  <si>
    <t>table_vline1</t>
  </si>
  <si>
    <t>table_vline2</t>
  </si>
  <si>
    <t>table_vline3</t>
  </si>
  <si>
    <t>Housing density requirements</t>
  </si>
  <si>
    <t>Parking restrictions to discourage car use</t>
  </si>
  <si>
    <t>Pedestrian infrastructure provision</t>
  </si>
  <si>
    <t>Cycling infrastructure provision</t>
  </si>
  <si>
    <t>Walking participation targets</t>
  </si>
  <si>
    <t>Cycling participation targets</t>
  </si>
  <si>
    <t>Measurable target</t>
  </si>
  <si>
    <t>Policy identified</t>
  </si>
  <si>
    <t>table_hline_mid</t>
  </si>
  <si>
    <t>presence_rating</t>
  </si>
  <si>
    <t>quality_rating</t>
  </si>
  <si>
    <t>hero_alt</t>
  </si>
  <si>
    <t>pt_description</t>
  </si>
  <si>
    <t>Minimum requirements for public transport access</t>
  </si>
  <si>
    <t>Targets for public transport use</t>
  </si>
  <si>
    <t>Minimum requirements for public open space access</t>
  </si>
  <si>
    <t>pos_description</t>
  </si>
  <si>
    <t>pct_access_500m_pt.jpg</t>
  </si>
  <si>
    <t>English</t>
  </si>
  <si>
    <t>Language</t>
  </si>
  <si>
    <t>Font</t>
  </si>
  <si>
    <t>Style</t>
  </si>
  <si>
    <t>File</t>
  </si>
  <si>
    <t>role</t>
  </si>
  <si>
    <t>template</t>
  </si>
  <si>
    <t>plot</t>
  </si>
  <si>
    <t>Portuguese - Brazil</t>
  </si>
  <si>
    <t>Portuguese - Portugal</t>
  </si>
  <si>
    <t>Food market</t>
  </si>
  <si>
    <t>Any public open space</t>
  </si>
  <si>
    <t>Large public open space</t>
  </si>
  <si>
    <t>Public transport stop</t>
  </si>
  <si>
    <t>Public transport with regular service (not evaluated)</t>
  </si>
  <si>
    <t>Public transport with regular service</t>
  </si>
  <si>
    <t>Low</t>
  </si>
  <si>
    <t>Average</t>
  </si>
  <si>
    <t>High</t>
  </si>
  <si>
    <t>Percentage of population with access to public transport</t>
  </si>
  <si>
    <t>Percentage of population with access to public transport with service frequency of 20 minutes or less</t>
  </si>
  <si>
    <t>Percentage of population with access to public open space of area 1.5 hectares or larger</t>
  </si>
  <si>
    <t>Policies identified</t>
  </si>
  <si>
    <t>Neighbourhood population density (per km²)</t>
  </si>
  <si>
    <t>Neighbourhood intersection density (per km²)</t>
  </si>
  <si>
    <t>Population % with access within 500m to...</t>
  </si>
  <si>
    <t>Thai</t>
  </si>
  <si>
    <t>Install</t>
  </si>
  <si>
    <t>no</t>
  </si>
  <si>
    <t>yes</t>
  </si>
  <si>
    <t>Global Healthy &amp; Sustainable City-Indicators Collaboration</t>
  </si>
  <si>
    <t>cover_logo</t>
  </si>
  <si>
    <t>City planning requirements</t>
  </si>
  <si>
    <t>Employment distribution requirements</t>
  </si>
  <si>
    <t>city_text</t>
  </si>
  <si>
    <t>hero_image_2</t>
  </si>
  <si>
    <t>hero_alt_2</t>
  </si>
  <si>
    <t>custom</t>
  </si>
  <si>
    <t>25 city comparison</t>
  </si>
  <si>
    <t>presence_description</t>
  </si>
  <si>
    <t>quality_description</t>
  </si>
  <si>
    <t>Vietnamese</t>
  </si>
  <si>
    <t>Tamil</t>
  </si>
  <si>
    <t>Māori</t>
  </si>
  <si>
    <t>German</t>
  </si>
  <si>
    <t>Dutch</t>
  </si>
  <si>
    <t>Danish</t>
  </si>
  <si>
    <t>Czech</t>
  </si>
  <si>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</si>
  <si>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</si>
  <si>
    <t>licence_url</t>
  </si>
  <si>
    <t>W</t>
  </si>
  <si>
    <t>link</t>
  </si>
  <si>
    <t>https://creativecommons.org/licenses/by-nc/4.0/</t>
  </si>
  <si>
    <t xml:space="preserve"> </t>
  </si>
  <si>
    <t>Street connectivity requirements</t>
  </si>
  <si>
    <t>Stort offentligt åbent rum</t>
  </si>
  <si>
    <t>Stop for offentlig transport</t>
  </si>
  <si>
    <t>Lav</t>
  </si>
  <si>
    <t>Høj</t>
  </si>
  <si>
    <t>Convenience store</t>
  </si>
  <si>
    <t>series_interpretation</t>
  </si>
  <si>
    <t>executive_summary</t>
  </si>
  <si>
    <t>Cualquier espacio público abierto</t>
  </si>
  <si>
    <t>Parada de transporte público</t>
  </si>
  <si>
    <t>Transporte público con servicio regular</t>
  </si>
  <si>
    <t>Transporte público con servicio regular (no evaluado)</t>
  </si>
  <si>
    <t>Alto</t>
  </si>
  <si>
    <t>Políticas identificadas</t>
  </si>
  <si>
    <t>Política identificada</t>
  </si>
  <si>
    <t>Objetivo medible</t>
  </si>
  <si>
    <t>Restricciones de estacionamiento para desalentar el uso del automóvil</t>
  </si>
  <si>
    <t>Provisión de infraestructura peatonal</t>
  </si>
  <si>
    <t>Provisión de infraestructura ciclista</t>
  </si>
  <si>
    <t>Objetivos de participación ciclista</t>
  </si>
  <si>
    <t>Requisitos de distribución del empleo</t>
  </si>
  <si>
    <t>Requisitos mínimos para el acceso al transporte público</t>
  </si>
  <si>
    <t>Objetivos para el uso del transporte público</t>
  </si>
  <si>
    <t>Mercado de alimentos</t>
  </si>
  <si>
    <t>Loja de conveniência</t>
  </si>
  <si>
    <t>Qualquer espaço público aberto</t>
  </si>
  <si>
    <t>Grande espaço público aberto</t>
  </si>
  <si>
    <t>Transporte público com serviço regular</t>
  </si>
  <si>
    <t>Transporte público com serviço regular (não avaliado)</t>
  </si>
  <si>
    <t>Baixo</t>
  </si>
  <si>
    <t>Média</t>
  </si>
  <si>
    <t>Requisitos de planejamento da cidade</t>
  </si>
  <si>
    <t>Requisitos de densidade habitacional</t>
  </si>
  <si>
    <t>Requisitos de conectividade de rua</t>
  </si>
  <si>
    <t>Restrições de estacionamento para desencorajar o uso do carro</t>
  </si>
  <si>
    <t>Provisão de infraestrutura para pedestres</t>
  </si>
  <si>
    <t>Provisão de infraestrutura de ciclismo</t>
  </si>
  <si>
    <t>Requisitos de distribuição de emprego</t>
  </si>
  <si>
    <t>Mercado alimentar</t>
  </si>
  <si>
    <t>Paragem de transportes públicos</t>
  </si>
  <si>
    <t>Transportes públicos com serviço regular</t>
  </si>
  <si>
    <t>Transportes públicos com serviço regular (não avaliado)</t>
  </si>
  <si>
    <t>Colaboração Global Saudável &amp; Sustentável De Indicadores urbanos</t>
  </si>
  <si>
    <t>Requisitos de planeamento da cidade</t>
  </si>
  <si>
    <t>Provisão de infraestruturas pedonais</t>
  </si>
  <si>
    <t>Provisão de infraestruturas cicláveis</t>
  </si>
  <si>
    <t>Requisitos mínimos para o acesso aos transportes públicos</t>
  </si>
  <si>
    <t>Metas para a utilização dos transportes públicos</t>
  </si>
  <si>
    <t>Requisitos mínimos para acesso público a espaços abertos</t>
  </si>
  <si>
    <t>เฉลี่ย</t>
  </si>
  <si>
    <t>สูง</t>
  </si>
  <si>
    <t>Chinese - Traditional</t>
  </si>
  <si>
    <t>便利商店</t>
  </si>
  <si>
    <t>任何公共開放空間</t>
  </si>
  <si>
    <t>大型公共開放空間</t>
  </si>
  <si>
    <t>低</t>
  </si>
  <si>
    <t>高</t>
  </si>
  <si>
    <t>可衡量的目標</t>
  </si>
  <si>
    <t>Resumé</t>
  </si>
  <si>
    <t>default</t>
  </si>
  <si>
    <t>title_series_line1</t>
  </si>
  <si>
    <t>title_series_line2</t>
  </si>
  <si>
    <t>language</t>
  </si>
  <si>
    <t>Dansk</t>
  </si>
  <si>
    <t>ภาษาไทย</t>
  </si>
  <si>
    <t>Chợ thực phẩm</t>
  </si>
  <si>
    <t>Cửa hàng tiện lợi</t>
  </si>
  <si>
    <t>Bất kỳ không gian mở công cộng nào</t>
  </si>
  <si>
    <t>Thấp</t>
  </si>
  <si>
    <t>Trung bình</t>
  </si>
  <si>
    <t>Cao</t>
  </si>
  <si>
    <t>Mục tiêu có thể đo lường được</t>
  </si>
  <si>
    <t>Cung cấp cơ sở hạ tầng cho người đi bộ</t>
  </si>
  <si>
    <t>உலகளாவிய ஆரோக்கியமான மற்றும் நிலையான நகர-குறிகாட்டிகள் ஒத்துழைப்பு</t>
  </si>
  <si>
    <t>உணவு சந்தை</t>
  </si>
  <si>
    <t>பெரிய பொது திறந்த வெளி</t>
  </si>
  <si>
    <t>பொது போக்குவரத்து நிறுத்தம்</t>
  </si>
  <si>
    <t>வழக்கமான சேவையுடன் கூடிய பொதுப் போக்குவரத்து</t>
  </si>
  <si>
    <t>தாழ்வானது</t>
  </si>
  <si>
    <t>நிரலளவு</t>
  </si>
  <si>
    <t>உயரிடம்</t>
  </si>
  <si>
    <t>நகர திட்டமிடல் தேவைகள்</t>
  </si>
  <si>
    <t>அளவிடக்கூடிய இலக்கு</t>
  </si>
  <si>
    <t>தெரு இணைப்பு தேவைகள்</t>
  </si>
  <si>
    <t>சைக்கிள் ஓட்டுதல் உள்கட்டமைப்பு வசதிகள்</t>
  </si>
  <si>
    <t>நடைபயிற்சி பங்கேற்பு இலக்குகள்</t>
  </si>
  <si>
    <t>சைக்கிள் ஓட்டுதல் பங்கேற்பு இலக்குகள்</t>
  </si>
  <si>
    <t>வேலைவாய்ப்பு விநியோகதேவைகள்</t>
  </si>
  <si>
    <t>பொது போக்குவரத்து அணுகலுக்கான குறைந்தபட்ச தேவைகள்</t>
  </si>
  <si>
    <t>பொதுப் போக்குவரத்து பயன்பாட்டிற்கான இலக்குகள்</t>
  </si>
  <si>
    <t>பொது திறந்த வெளி அணுகலுக்கான குறைந்தபட்ச தேவைகள்</t>
  </si>
  <si>
    <t>Catalan</t>
  </si>
  <si>
    <t>Mercat alimentari</t>
  </si>
  <si>
    <t>Qualsevol espai públic obert</t>
  </si>
  <si>
    <t>Gran espai públic obert</t>
  </si>
  <si>
    <t>Parada de transport públic</t>
  </si>
  <si>
    <t>Transport públic amb servei regular</t>
  </si>
  <si>
    <t>Transport públic amb servei regular (no avaluat)</t>
  </si>
  <si>
    <t>Mitjana</t>
  </si>
  <si>
    <t>Polítiques identificades</t>
  </si>
  <si>
    <t>Objectiu mesurable</t>
  </si>
  <si>
    <t>Requisits de densitat d'habitatge</t>
  </si>
  <si>
    <t>Restriccions d'aparcament per desincentivar l'ús del cotxe</t>
  </si>
  <si>
    <t>Dotació d'infraestructures per a vianants</t>
  </si>
  <si>
    <t>Objectius per a l'ús del transport públic</t>
  </si>
  <si>
    <t>noto_sans_hk</t>
  </si>
  <si>
    <t>Mercado</t>
  </si>
  <si>
    <t>Tienda de Conveniencia</t>
  </si>
  <si>
    <t>Espacio público abierto grande</t>
  </si>
  <si>
    <t>Caminabilidad del barrio en relación con las 25 ciudades</t>
  </si>
  <si>
    <t>Requisitos para la planeación urbana</t>
  </si>
  <si>
    <t>Requisitos de densidad de viviendas</t>
  </si>
  <si>
    <t>density_units</t>
  </si>
  <si>
    <t>per km²</t>
  </si>
  <si>
    <t>Summary</t>
  </si>
  <si>
    <t>pr. km²</t>
  </si>
  <si>
    <t>Lebensmittelmarkt</t>
  </si>
  <si>
    <t>Großer öffentlicher Freiraum</t>
  </si>
  <si>
    <t>Öffentliche Verkehrsmittel mit Linienverkehr</t>
  </si>
  <si>
    <t>Öffentliche Verkehrsmittel mit Linienverkehr (nicht evaluiert)</t>
  </si>
  <si>
    <t>Niedrig</t>
  </si>
  <si>
    <t>Durchschnitt</t>
  </si>
  <si>
    <t>Hoch</t>
  </si>
  <si>
    <t>Identifizierte Richtlinien</t>
  </si>
  <si>
    <t>pro km²</t>
  </si>
  <si>
    <t>Richtlinie identifiziert</t>
  </si>
  <si>
    <t>Messbares Ziel</t>
  </si>
  <si>
    <t>Mindestanforderungen an den Zugang zu öffentlichen Verkehrsmitteln</t>
  </si>
  <si>
    <t>Ziele für die Nutzung öffentlicher Verkehrsmittel</t>
  </si>
  <si>
    <t>Mindestanforderungen an den Zugang zu öffentlichem Freiraum</t>
  </si>
  <si>
    <t>por km²</t>
  </si>
  <si>
    <t>每平方公里</t>
  </si>
  <si>
    <t>ஒரு கி.மீ²</t>
  </si>
  <si>
    <t>trên mỗi km²</t>
  </si>
  <si>
    <t>Nederlands</t>
  </si>
  <si>
    <t>Čeština</t>
  </si>
  <si>
    <t>Měřitelný cíl</t>
  </si>
  <si>
    <t>Buurtwinkel</t>
  </si>
  <si>
    <t>Openbaar vervoer met regelmatige dienst</t>
  </si>
  <si>
    <t>Openbaar vervoer met regelmatige dienst (niet geëvalueerd)</t>
  </si>
  <si>
    <t>Laag</t>
  </si>
  <si>
    <t>Gemiddeld</t>
  </si>
  <si>
    <t>Hoog</t>
  </si>
  <si>
    <t>Stedenbouwkundige vereisten</t>
  </si>
  <si>
    <t>Beleid geïdentificeerd</t>
  </si>
  <si>
    <t>Meetbaar doel</t>
  </si>
  <si>
    <t>Parkeerbeperkingen om autogebruik te ontmoedigen</t>
  </si>
  <si>
    <t>Resumen</t>
  </si>
  <si>
    <t>Spanish - Spain</t>
  </si>
  <si>
    <t>Spanish - Mexico</t>
  </si>
  <si>
    <t>Requirements for public transport access to employment and services</t>
  </si>
  <si>
    <t>Mean 1000 m neighbourhood population per km²</t>
  </si>
  <si>
    <t>Mean 1000 m neighbourhood street intersections per km²</t>
  </si>
  <si>
    <t>optimal_range - Mean 1000 m neighbourhood population per km²</t>
  </si>
  <si>
    <t>optimal_range - Mean 1000 m neighbourhood street intersections per km²</t>
  </si>
  <si>
    <t>Resum</t>
  </si>
  <si>
    <t>Samenvatting</t>
  </si>
  <si>
    <t>Zusammenfassung</t>
  </si>
  <si>
    <t>Requisitos para el acceso del transporte público al empleo y a los servicios</t>
  </si>
  <si>
    <t>Resumo</t>
  </si>
  <si>
    <t>Requisitos para o acesso dos transportes públicos ao emprego e aos serviços</t>
  </si>
  <si>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</si>
  <si>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</si>
  <si>
    <t>சுருக்கம்</t>
  </si>
  <si>
    <t>Tóm tắt</t>
  </si>
  <si>
    <t>Iti</t>
  </si>
  <si>
    <t>Tiketike</t>
  </si>
  <si>
    <t>ia km²</t>
  </si>
  <si>
    <t>Whakarāpopototanga</t>
  </si>
  <si>
    <t>Public transport access</t>
  </si>
  <si>
    <t>Public open space access</t>
  </si>
  <si>
    <t>Adgang til offentlig transport</t>
  </si>
  <si>
    <t>Accés al transport públic</t>
  </si>
  <si>
    <t>Acesso ao transporte público</t>
  </si>
  <si>
    <t>பொது போக்குவரத்து அணுகல்</t>
  </si>
  <si>
    <t>citation_series</t>
  </si>
  <si>
    <t>Population data</t>
  </si>
  <si>
    <t>citation_population</t>
  </si>
  <si>
    <t>citation_boundaries</t>
  </si>
  <si>
    <t>citation_features</t>
  </si>
  <si>
    <t>citation_colour</t>
  </si>
  <si>
    <t>Urban boundaries</t>
  </si>
  <si>
    <t>Urban features</t>
  </si>
  <si>
    <t>Colour scale</t>
  </si>
  <si>
    <t>Dades de població</t>
  </si>
  <si>
    <t>Límits urbans</t>
  </si>
  <si>
    <t>Característiques urbanes</t>
  </si>
  <si>
    <t>Escala de color</t>
  </si>
  <si>
    <t>Údaje o obyvatelstvu</t>
  </si>
  <si>
    <t>Městské hranice</t>
  </si>
  <si>
    <t>Městské prvky</t>
  </si>
  <si>
    <t>Barevná škála</t>
  </si>
  <si>
    <t>Befolkningsdata</t>
  </si>
  <si>
    <t>Farveskala</t>
  </si>
  <si>
    <t>Bevolkingsgegevens</t>
  </si>
  <si>
    <t>Kleurenschaal</t>
  </si>
  <si>
    <t>Bevölkerungsdaten</t>
  </si>
  <si>
    <t>Stadtgrenzen</t>
  </si>
  <si>
    <t>Farbskala</t>
  </si>
  <si>
    <t>Límites urbanos</t>
  </si>
  <si>
    <t>Características urbanas</t>
  </si>
  <si>
    <t>Escala de colores</t>
  </si>
  <si>
    <t>Dados populacionais</t>
  </si>
  <si>
    <t>Fronteiras urbanas</t>
  </si>
  <si>
    <t>Escala de cores</t>
  </si>
  <si>
    <t>Escala de cor</t>
  </si>
  <si>
    <t>நகர்ப்புற எல்லைகள்</t>
  </si>
  <si>
    <t>நகர்ப்புற அம்சங்கள்</t>
  </si>
  <si>
    <t>Thang màu</t>
  </si>
  <si>
    <t>Đặc điểm đô thị</t>
  </si>
  <si>
    <t>Ranh giới đô thị</t>
  </si>
  <si>
    <t>Dữ liệu dân số</t>
  </si>
  <si>
    <t>Ngā rohe taone</t>
  </si>
  <si>
    <t>மக்கள் தொகை தரவு</t>
  </si>
  <si>
    <t>citation_word</t>
  </si>
  <si>
    <t>Citation</t>
  </si>
  <si>
    <t>Citace</t>
  </si>
  <si>
    <t>Citat</t>
  </si>
  <si>
    <t>Bronvermelding</t>
  </si>
  <si>
    <t>Zitiervorschlag</t>
  </si>
  <si>
    <t>Cita bibliográfica</t>
  </si>
  <si>
    <t>Citação</t>
  </si>
  <si>
    <t>மேற்கோள்</t>
  </si>
  <si>
    <t>Trích dẫn</t>
  </si>
  <si>
    <t>Col·laboració global sobre indicadors de ciutats saludables i sostenibles</t>
  </si>
  <si>
    <t>Botiga de barri</t>
  </si>
  <si>
    <t>Caminabilitat del barri en relació a les 25 ciutats</t>
  </si>
  <si>
    <t>Baixa</t>
  </si>
  <si>
    <t>Alta</t>
  </si>
  <si>
    <t>Si us plau, proporcioneu una foto icònica d'alta resolució que mostri un carrer o espai públic convivencial i caminable en aquesta ciutat, idealment en format .jpg amb dimensions de 21:10 (per exemple, 2100px per 1000px)</t>
  </si>
  <si>
    <t>Si us plau, proporcioneu una foto icònica d'alta resolució que mostri un carrer o espai públic convivencial i caminable en aquesta ciutat, idealment en format .jpg amb dimensions de 1:1 (per exemple, 1000px per 1000px)</t>
  </si>
  <si>
    <t>Requisits de connectivitat dels carrers</t>
  </si>
  <si>
    <t>Accés a espais públics oberts</t>
  </si>
  <si>
    <t>Requisits per a l'accés en transport públic a llocs de treball i a serveis.</t>
  </si>
  <si>
    <t>Requisits de distribució dels llocs de treball.</t>
  </si>
  <si>
    <t>Requisits mínims per a l'accés al transport públic.</t>
  </si>
  <si>
    <t>Requisits mínims per a l'accés a espais públics oberts.</t>
  </si>
  <si>
    <t>Cita</t>
  </si>
  <si>
    <t>Tienda de barrio</t>
  </si>
  <si>
    <t>Baja</t>
  </si>
  <si>
    <t>Media</t>
  </si>
  <si>
    <t>Requisitos de conectividad de las calles</t>
  </si>
  <si>
    <t>Restricciones en el aparcamiento para desincentivar el uso del automóvil</t>
  </si>
  <si>
    <t>Requisitos de distribución de los lugares de trabajo</t>
  </si>
  <si>
    <t>Requisitos mínimos para el acceso a espacios públicos abiertos</t>
  </si>
  <si>
    <t>Datos sobre población</t>
  </si>
  <si>
    <t>Català</t>
  </si>
  <si>
    <t>ต่ำ</t>
  </si>
  <si>
    <t>บทสรุป</t>
  </si>
  <si>
    <t>Felix John</t>
  </si>
  <si>
    <t>Requisits per a la planificació urbana</t>
  </si>
  <si>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</si>
  <si>
    <t>Provisió d'infraestructures per a la bicicleta</t>
  </si>
  <si>
    <t>Objectius de participació en el desplaçament a peu</t>
  </si>
  <si>
    <t>Objectius de participació en el desplaçament amb bicicleta</t>
  </si>
  <si>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</si>
  <si>
    <t>Requisitos para la planificación urbana</t>
  </si>
  <si>
    <t>Objetivos de participación en el desplazamiento a pie</t>
  </si>
  <si>
    <t>Objetivos de participación en el desplazamiento en bicicleta</t>
  </si>
  <si>
    <t>Acceso al transporte público</t>
  </si>
  <si>
    <t>Acceso a espacios públicos abiertos</t>
  </si>
  <si>
    <t>Chinese - Simplified</t>
  </si>
  <si>
    <t>translation_names</t>
  </si>
  <si>
    <t>colour_page</t>
  </si>
  <si>
    <t>policy_urban_checklist</t>
  </si>
  <si>
    <t>translation</t>
  </si>
  <si>
    <t>Jens Troelsen, Jasper Schipperijn</t>
  </si>
  <si>
    <t>全球健康與可持續城市 - 指標合作</t>
  </si>
  <si>
    <t>食品市場</t>
  </si>
  <si>
    <t>任何公共开放空间</t>
  </si>
  <si>
    <t>大型公共开放空间</t>
  </si>
  <si>
    <t>公共交通站</t>
  </si>
  <si>
    <t>相較於25個城市的社區可步行性</t>
  </si>
  <si>
    <t>相较于25个城市的社区可步行性</t>
  </si>
  <si>
    <t>中</t>
  </si>
  <si>
    <t>現有政策</t>
  </si>
  <si>
    <t>现有政策</t>
  </si>
  <si>
    <t>城市規劃指標</t>
  </si>
  <si>
    <t>城市规划指标</t>
  </si>
  <si>
    <t>可衡量的目标</t>
  </si>
  <si>
    <t>住宅密度要求</t>
  </si>
  <si>
    <t>街道連接性要求</t>
  </si>
  <si>
    <t>街道连接性要求</t>
  </si>
  <si>
    <t>為減少汽車使用而制定的車輛停泊限制</t>
  </si>
  <si>
    <t>为减少汽车使用而制定的车辆停泊限制</t>
  </si>
  <si>
    <t>行人基礎建設</t>
  </si>
  <si>
    <t>行人基础设施建设</t>
  </si>
  <si>
    <t>自行車基礎建設</t>
  </si>
  <si>
    <t>自行车基础设施建设</t>
  </si>
  <si>
    <t>訂立參與步行的目標</t>
  </si>
  <si>
    <t>制定参与步行的目标</t>
  </si>
  <si>
    <t>訂立自行車使用的目標</t>
  </si>
  <si>
    <t>制定自行车使用的目标</t>
  </si>
  <si>
    <t>公共交通便利性</t>
  </si>
  <si>
    <t>公共開放空間便利性</t>
  </si>
  <si>
    <t>交通網絡與就業和服務設施連接性的要求</t>
  </si>
  <si>
    <t>交通网络与就业和服务设施连接性的要求</t>
  </si>
  <si>
    <t>就業分佈要求</t>
  </si>
  <si>
    <t>就业分布要求</t>
  </si>
  <si>
    <t>公共交通便利性的最低要求</t>
  </si>
  <si>
    <t>訂立公共交通使用量目標</t>
  </si>
  <si>
    <t>制定公共交通使用量目标</t>
  </si>
  <si>
    <t>人口数据</t>
  </si>
  <si>
    <t>市區邊界</t>
  </si>
  <si>
    <t>城市边界</t>
  </si>
  <si>
    <t>市區特徵</t>
  </si>
  <si>
    <t>城市特征</t>
  </si>
  <si>
    <t>色階表</t>
  </si>
  <si>
    <t>色阶表</t>
  </si>
  <si>
    <t>noto_sans_sc</t>
  </si>
  <si>
    <t>https://github.com/googlefonts/noto-cjk/raw/main/Sans/Variable/TTF/NotoSansCJKsc-VF.ttf</t>
  </si>
  <si>
    <t>Please provide a high resolution 'hero image' photo showing a convivial, walkable city street or public space for this city, ideally in .jpg format with dimensions in the ratio of 21:10 (e.g. 2100px by 1000px)</t>
  </si>
  <si>
    <t>Angiv venligst et billede i høj opløsning af 'heltebillede', der viser en hyggelig, walkable by street eller offentlige rum til denne by, ideelt i .jpg format med dimensioner i forholdet mellem 21:10 (f.eks. 2100px ved 1000px)</t>
  </si>
  <si>
    <t>Please provide a high resolution 'hero image' photo showing a convivial, walkable city street or public space for this city, ideally in .jpg format with dimensions in the ratio of 1:1 (e.g. 1000px by 1000px)</t>
  </si>
  <si>
    <t>Angiv venligst et billede i høj opløsning af 'heltebillede', der viser en hyggelig, walkable by street eller offentlige rum til denne by, ideelt i .jpg format med dimensioner i forholdet 1:1 (f.eks. 1000px ved 1000px)</t>
  </si>
  <si>
    <t>Caminhabilidade do bairro em relação a 25 cidades</t>
  </si>
  <si>
    <t>Médio</t>
  </si>
  <si>
    <t>Metas de participação em caminhada</t>
  </si>
  <si>
    <t>Mercado de Alimentos</t>
  </si>
  <si>
    <t>Caminhabilidade nos bairros em relação às 25 cidades</t>
  </si>
  <si>
    <t>Meta mensurável</t>
  </si>
  <si>
    <t>Requisitos de conectividade de ruas</t>
  </si>
  <si>
    <t>Metas para a prática de caminhada</t>
  </si>
  <si>
    <t>Acesso aos transportes públicos</t>
  </si>
  <si>
    <t>Acesso aos espaços públicos abertos</t>
  </si>
  <si>
    <t>Requisitos mínimos para acesso a espaços públicos abertos</t>
  </si>
  <si>
    <t>Limites urbanos</t>
  </si>
  <si>
    <t>Wereldwijde samenwerking rond gezonde en duurzame stadsindicatoren</t>
  </si>
  <si>
    <t>Supermarkt</t>
  </si>
  <si>
    <t>Halte voor openbaar vervoer</t>
  </si>
  <si>
    <t>Bewegingsvriendelijkheid ("walkability") in vergelijking met 25 steden</t>
  </si>
  <si>
    <t xml:space="preserve">Beleid geïdentificeerd </t>
  </si>
  <si>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</si>
  <si>
    <t>Vereisten voor dichtheid van woningen</t>
  </si>
  <si>
    <t>Vereisten voor stratenconnectiviteit</t>
  </si>
  <si>
    <t>Aanleg infrastructuur voor voetgangers</t>
  </si>
  <si>
    <t>Aanleg infrastructuur voor fietsers</t>
  </si>
  <si>
    <t>Doelstellingen voor participatie - wandelen</t>
  </si>
  <si>
    <t>Doelstellingen voor participatie - fietsen</t>
  </si>
  <si>
    <t>Toegankelijkheid openbaar vervoer</t>
  </si>
  <si>
    <t>Vereisten voor toegang tot het openbaar vervoer om zich naar het werk of andere diensten te verplaatsen</t>
  </si>
  <si>
    <t>Vereisten voor spreiding van werkgelegenheid</t>
  </si>
  <si>
    <t>Minimumvereisten voor toegankelijkheid van het openbaar vervoer</t>
  </si>
  <si>
    <t>Doelstellingen voor het gebruik van openbaar vervoer</t>
  </si>
  <si>
    <t>Stadsgrenzen</t>
  </si>
  <si>
    <t>Stadskenmerken</t>
  </si>
  <si>
    <t>Delfien Van Dyck</t>
  </si>
  <si>
    <t xml:space="preserve">Tiếng Việt </t>
  </si>
  <si>
    <t>Điểm dừng đón phương tiện giao thông công cộng</t>
  </si>
  <si>
    <t xml:space="preserve">Các yêu cầu quy hoạch đô thị </t>
  </si>
  <si>
    <t>Chính sách đã được xác định</t>
  </si>
  <si>
    <t>Các yêu cầu về mật độ nhà ở</t>
  </si>
  <si>
    <t>Các yêu cầu về kết nối đường xá</t>
  </si>
  <si>
    <t>Cung cấp cơ sở hạ tầng cho xe đạp</t>
  </si>
  <si>
    <t>Các mục tiêu về tham gia đi bộ</t>
  </si>
  <si>
    <t>Các mục tiêu về tham gia đi xe đạp</t>
  </si>
  <si>
    <t>Tiếp cận giao thông công cộng</t>
  </si>
  <si>
    <t>Các yêu cầu về tiếp cận giao thông công cộng cho việc làm và dịch vụ</t>
  </si>
  <si>
    <t>Các yêu cầu phân phối việc làm</t>
  </si>
  <si>
    <t>Các yêu cầu tối thiểu về tiếp cận giao thông công cộng</t>
  </si>
  <si>
    <t>Các mục tiêu về sử dụng phương tiện giao thông công cộng</t>
  </si>
  <si>
    <t>Yêu cầu tối thiểu đối với việc tiếp cận không gian mở công cộng</t>
  </si>
  <si>
    <t>Thanh Phuong Ho</t>
  </si>
  <si>
    <t>Các biện pháp hạn chế việc đỗ xe để làm giảm việc sử dụng xe hơi</t>
  </si>
  <si>
    <t>Tiếp cận không gian mở công cộng</t>
  </si>
  <si>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</si>
  <si>
    <t>Mezinárodní spolupráce na indikátorech zdravého a udržitelného města</t>
  </si>
  <si>
    <t>Obchod s potravinami</t>
  </si>
  <si>
    <t>Obchod se smíšeným zbožím</t>
  </si>
  <si>
    <t>Jakékoli veřejné prostranství</t>
  </si>
  <si>
    <t>Velké veřejné prostranství</t>
  </si>
  <si>
    <t>Zastávka veřejné dopravy</t>
  </si>
  <si>
    <t>Pravidelná linková doprava</t>
  </si>
  <si>
    <t>Pravidelná linková doprava (nehodnoceno)</t>
  </si>
  <si>
    <t>Nevhodné</t>
  </si>
  <si>
    <t>Průměrné</t>
  </si>
  <si>
    <t>Vhodné</t>
  </si>
  <si>
    <t>Dokumenty k dispozici</t>
  </si>
  <si>
    <t>na km²</t>
  </si>
  <si>
    <t>Poskytněte prosím fotografii "hlavního obrázku" ve vysokém rozlišení, která zobrazuje příjemnou, pěší městskou třídu nebo veřejný prostor tohoto města, ideálně ve formátu .jpg s rozměry v poměru 21:10 (např. 2100px na 1000px).</t>
  </si>
  <si>
    <t>Poskytněte prosím fotografii "hlavního obrázku" ve vysokém rozlišení, která zobrazuje příjemnou, pěší městskou třídu nebo veřejný prostor tohoto města, ideálně ve formátu .jpg s rozměry v poměru 1:1 (např. 1000px na 1000px).</t>
  </si>
  <si>
    <t>Požadavky územního plánování</t>
  </si>
  <si>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</si>
  <si>
    <t>Dokument k dispozici</t>
  </si>
  <si>
    <t>Požadavky na hustotu zástavby</t>
  </si>
  <si>
    <t>Požadavky na propojení ulic</t>
  </si>
  <si>
    <t>Restrikce parkování s cílem odradit od používání automobilů</t>
  </si>
  <si>
    <t>Zajištění infrastruktury pro chodce</t>
  </si>
  <si>
    <t>Zajištění infrastruktury pro cyklisty</t>
  </si>
  <si>
    <t>Cíle v oblasti pěší dopravy</t>
  </si>
  <si>
    <t>Cíle v oblasti cyklistické dopravy</t>
  </si>
  <si>
    <t>Dostupnost veřejné dopravy</t>
  </si>
  <si>
    <t>Dostupnost veřejného prostranství</t>
  </si>
  <si>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</si>
  <si>
    <t>Požadavky na dostupnost zaměstnání a služeb prostřednictvím veřejné dopravy</t>
  </si>
  <si>
    <t>Požadavky na rozmístění pracovních míst</t>
  </si>
  <si>
    <t>Minimální požadavky na dostupnost veřejné dopravy</t>
  </si>
  <si>
    <t>Cíle pro využívání veřejné dopravy</t>
  </si>
  <si>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</si>
  <si>
    <t>Minimální požadavky na dostupnost veřejného prostranství</t>
  </si>
  <si>
    <t>Souhrn</t>
  </si>
  <si>
    <t>Jan Dygrýn, Josef Mitáš</t>
  </si>
  <si>
    <t>Hausa</t>
  </si>
  <si>
    <t>Haɗin gwiwar Ma'anonin Lafiya da Lafiyar Duniya &amp; Dorewar Birni</t>
  </si>
  <si>
    <t>Kasuwar abinci</t>
  </si>
  <si>
    <t>kantin kayan dadi</t>
  </si>
  <si>
    <t>Duk wani fili na jama'a</t>
  </si>
  <si>
    <t>Babban fili na jama'a</t>
  </si>
  <si>
    <t>Tashar sufurin jama'a</t>
  </si>
  <si>
    <t>Jirgin jama'a tare da sabis na yau da kullun</t>
  </si>
  <si>
    <t>Jirgin jama'a tare da sabis na yau da kullun (ba a tantance shi ba)</t>
  </si>
  <si>
    <t>Tafiya a unguwanni dangane da birane 25</t>
  </si>
  <si>
    <t>Ƙananan</t>
  </si>
  <si>
    <t>Matsakaicin</t>
  </si>
  <si>
    <t>Babban</t>
  </si>
  <si>
    <t>An gano manufofin</t>
  </si>
  <si>
    <t>Da fatan za a ba da babban hoton 'hoton gwarzo' wanda ke nuna wani titin birni, mai iya tafiya ko filin jama'a don wannan birni, da kyau a cikin tsarin jpg tare da girma a cikin rabo na 21:10 (misali 2100px ta 1000px)</t>
  </si>
  <si>
    <t>Da fatan za a ba da babban hoton 'hoton gwarzo' wanda ke nuna wani titin birni, mai iya tafiya ko filin jama'a don wannan birni, da kyau a cikin tsarin jpg mai girma a cikin rabo na 1:1 (misali 1000px ta 1000px)</t>
  </si>
  <si>
    <t>Bukatun tsara birni</t>
  </si>
  <si>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</si>
  <si>
    <t>An gano manufar</t>
  </si>
  <si>
    <t>Makasudin aunawa</t>
  </si>
  <si>
    <t>Bukatun yawa na gidaje</t>
  </si>
  <si>
    <t>Bukatun haɗin kan titi</t>
  </si>
  <si>
    <t>Ƙuntataccen yin kiliya don hana amfani da mota</t>
  </si>
  <si>
    <t>Samar da ababen more rayuwa na ƙafa</t>
  </si>
  <si>
    <t>Samar da kayan aikin keke</t>
  </si>
  <si>
    <t>Makasudin shiga tafiya</t>
  </si>
  <si>
    <t>Makasudin shiga keken keke</t>
  </si>
  <si>
    <t>Hanyar sufurin jama'a</t>
  </si>
  <si>
    <t>Samun damar sararin samaniya na jama'a</t>
  </si>
  <si>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</si>
  <si>
    <t>Bukatun don samun damar sufurin jama'a don samun aikin yi da ayyuka</t>
  </si>
  <si>
    <t>Bukatun rarraba aikin yi</t>
  </si>
  <si>
    <t>Mafi ƙarancin buƙatun don isa ga jigilar jama'a</t>
  </si>
  <si>
    <t>Manufa don amfani da jigilar jama'a</t>
  </si>
  <si>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</si>
  <si>
    <t>Mafi ƙarancin buƙatun don shiga sararin samaniya na jama'a</t>
  </si>
  <si>
    <t>Bayanan yawan jama'a</t>
  </si>
  <si>
    <t>Iyakokin birni</t>
  </si>
  <si>
    <t>Siffofin birni</t>
  </si>
  <si>
    <t>Ma'aunin launi</t>
  </si>
  <si>
    <t>ambato</t>
  </si>
  <si>
    <t>Takaitawa</t>
  </si>
  <si>
    <t>Fødevarerbutikker</t>
  </si>
  <si>
    <t>Enhvert offentligt åbent rum</t>
  </si>
  <si>
    <t>Offentlig transport med regelmæssige afgange</t>
  </si>
  <si>
    <t>Offentlig transport med regelmæssige afgange (ikke evalueret)</t>
  </si>
  <si>
    <t>Walkability i nærområdet sammenlignet med de 25 byer</t>
  </si>
  <si>
    <t>Middel</t>
  </si>
  <si>
    <t>Formulerede poltikker</t>
  </si>
  <si>
    <t>Betingelser for sund, bæredygtig byplanlægning</t>
  </si>
  <si>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</si>
  <si>
    <t>Identificeret politik</t>
  </si>
  <si>
    <t>Målbar målsætning</t>
  </si>
  <si>
    <t>Bestemmelser for byfortætning</t>
  </si>
  <si>
    <t>Bestemmelser for vejforbindelser</t>
  </si>
  <si>
    <t>Parkeringsrestriktioner for at modvirke brug af bil</t>
  </si>
  <si>
    <t>Bestemmelser for gangvenlig infrastruktur</t>
  </si>
  <si>
    <t>Bestemmelser for cykelvenlig infrastruktur</t>
  </si>
  <si>
    <t>Målsætning for udbredelse af gang</t>
  </si>
  <si>
    <t>Målsætnig for udbredelse af cykling</t>
  </si>
  <si>
    <t>Adgang til åbne offentlige rum</t>
  </si>
  <si>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</si>
  <si>
    <t>Bestemmelser for offentlig transport i relation til beskæftigelse og serviceydelser</t>
  </si>
  <si>
    <t>Bestemmelser for for fordeling af beskæftigelse</t>
  </si>
  <si>
    <t>Minimumskrav for adgang til offentlig transport</t>
  </si>
  <si>
    <t>Formulerede måltal for brug af offentlig transport</t>
  </si>
  <si>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</si>
  <si>
    <t>Minimumskrav for adgang til offentlig åbne rum</t>
  </si>
  <si>
    <t>Bygrænse</t>
  </si>
  <si>
    <t>Byfaciliteter</t>
  </si>
  <si>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</si>
  <si>
    <t>Metas de participação em deslocação de bicicleta</t>
  </si>
  <si>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</si>
  <si>
    <t>Maria Paula Santos /Andreia Pizarro /David Vale</t>
  </si>
  <si>
    <t>north arrow</t>
  </si>
  <si>
    <t>N</t>
  </si>
  <si>
    <t>北</t>
  </si>
  <si>
    <t>km</t>
  </si>
  <si>
    <t>公里</t>
  </si>
  <si>
    <t>வட</t>
  </si>
  <si>
    <t>கி.மீ</t>
  </si>
  <si>
    <t>กม</t>
  </si>
  <si>
    <t>m</t>
  </si>
  <si>
    <t>米</t>
  </si>
  <si>
    <t>மீட்டர்</t>
  </si>
  <si>
    <t>เมตร</t>
  </si>
  <si>
    <t>Deutsch</t>
  </si>
  <si>
    <t>Stadtplanerische Anforderungen</t>
  </si>
  <si>
    <t>Anforderungen an die Bebauungsdichte</t>
  </si>
  <si>
    <t>Partizipationsziele zum Gehen</t>
  </si>
  <si>
    <t>Zugang zu öffentlichem Freiraum</t>
  </si>
  <si>
    <t>Stadteigenschaften</t>
  </si>
  <si>
    <t>Neighbourhood walkability relative to 25 cities internationally</t>
  </si>
  <si>
    <t>Dagligvare -butikker</t>
  </si>
  <si>
    <t>繁體中文</t>
  </si>
  <si>
    <t>简体中文</t>
  </si>
  <si>
    <t>食品市场</t>
  </si>
  <si>
    <t>人口數據</t>
  </si>
  <si>
    <t>other_credits</t>
  </si>
  <si>
    <t>Parkbeschränkungen, um die Nutzung von Autos zu verringern</t>
  </si>
  <si>
    <t>Partizipationsziele zum Rad fahren</t>
  </si>
  <si>
    <t>தமிழ்</t>
  </si>
  <si>
    <t>மளிகை கடை</t>
  </si>
  <si>
    <t>ஏதேனும் பொது திறந்தவெளி</t>
  </si>
  <si>
    <t>வழக்கமான சேவையுடன் கூடிய பொது போக்குவரத்து (மதிப்பீடு செய்யப்படவில்லை)</t>
  </si>
  <si>
    <t>25 நகரங்களுக்கு ஒப்பிடுகையில் சுற்றியுள்ள சுற்றுப்புற நடக்கக்கூடிய வசதிகள்</t>
  </si>
  <si>
    <t>கண்டறியப்பட்ட கொள்கைகள்</t>
  </si>
  <si>
    <t>கண்டறியப்பட்ட கொள்கை</t>
  </si>
  <si>
    <t>வீட்டு அடர்த்தி தேவைகள்</t>
  </si>
  <si>
    <t>காரைப் பயன்படுத்துவதைத் தடுக்க பார்க்கிங் கட்டுப்பாடுகள்</t>
  </si>
  <si>
    <t>பாதசாரிகளுக்கான உள்கட்டமைப்பு வசதிகள்</t>
  </si>
  <si>
    <t>பொது திறந்தவெளி அணுகல்</t>
  </si>
  <si>
    <t>வேலைவாய்ப்பு மற்றும் சேவைகளுக்கான பொது போக்குவரத்து அணுகலுக்கான தேவைகள்</t>
  </si>
  <si>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</si>
  <si>
    <t>வண்ண அளவுகோல்</t>
  </si>
  <si>
    <t>https://github.com/googlefonts/noto-cjk/raw/main/Sans/Variable/TTF/NotoSansCJKtc-VF.ttf</t>
  </si>
  <si>
    <t>https://github.com/dejavu-fonts/dejavu-fonts/releases/tag/version_2_37</t>
  </si>
  <si>
    <t>en</t>
  </si>
  <si>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</si>
  <si>
    <t>Acesso ao espaço público aberto</t>
  </si>
  <si>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</si>
  <si>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</si>
  <si>
    <t>de</t>
  </si>
  <si>
    <t>ca</t>
  </si>
  <si>
    <t>zh_Hans</t>
  </si>
  <si>
    <t>cs</t>
  </si>
  <si>
    <t>da</t>
  </si>
  <si>
    <t>language_code</t>
  </si>
  <si>
    <t>nl</t>
  </si>
  <si>
    <t>ha</t>
  </si>
  <si>
    <t>mi</t>
  </si>
  <si>
    <t>es</t>
  </si>
  <si>
    <t>pt</t>
  </si>
  <si>
    <t>ta</t>
  </si>
  <si>
    <t>th</t>
  </si>
  <si>
    <t>vi</t>
  </si>
  <si>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</si>
  <si>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</si>
  <si>
    <t>Podmínky pro chůzi (walkability) v okolí bydliště v porovnání s 25
městy</t>
  </si>
  <si>
    <t>S</t>
  </si>
  <si>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</si>
  <si>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</si>
  <si>
    <t>Isa Muhammad Tanko</t>
  </si>
  <si>
    <t>eceaf8</t>
  </si>
  <si>
    <t>citation_doi</t>
  </si>
  <si>
    <t>Öffentlicher Freiraum</t>
  </si>
  <si>
    <t>Klaus Gebel &amp; Sylvia Titze</t>
  </si>
  <si>
    <t>introduction</t>
  </si>
  <si>
    <t>Xavier Delclòs Alió, Joan Carles Martori, Javier Molina-García, Anna Puig-Ribera, Ana Queralt &amp; Guillem Vich</t>
  </si>
  <si>
    <t>Publieke open ruimte (algemeen)</t>
  </si>
  <si>
    <t>Grote publieke open ruimte</t>
  </si>
  <si>
    <t>Voorzie hier een 'hero image' foto met hoge resolutie van een gezellige, bewegingsvriendelijke straat of publieke open ruimte in deze stad. Idealiter in .jpg formaat met afmetingen in een 21:10 verhouding (vb. 2100px op 1000px)</t>
  </si>
  <si>
    <t>Voorzie hier een 'hero image' foto van een gezellige, bewegingsvriendelijke straat of publieke open ruimte in deze stad. Idealiter in .jpg formaat met afmetingen in een 1:1 verhouding (vb. 1000 px op 1000 px)</t>
  </si>
  <si>
    <t>Toegankelijkheid publieke open ruimte</t>
  </si>
  <si>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</si>
  <si>
    <t>Minimumvereisten voor toegankelijkheid van publieke open ruimte</t>
  </si>
  <si>
    <t>Te Rōpū Tūtohu Hauora ā-Tāone ki Tuawhenua</t>
  </si>
  <si>
    <t>Toa Hokokai</t>
  </si>
  <si>
    <t>Toa Hokohoko</t>
  </si>
  <si>
    <t>Wāhi Tūwhera</t>
  </si>
  <si>
    <t>Wāhi Tūwhera Whānui</t>
  </si>
  <si>
    <t>Tūnga Waka Tāone me ngā Whakaritenga Huarahi</t>
  </si>
  <si>
    <t>Tūnga Waka Tāone me ngā Whakaritenga Huarahi (kāre anō kia arotakengia)</t>
  </si>
  <si>
    <t>Te Hīkoitanga ki rō Hāpori e whai pāngā ana ki ngā tāone e 25.</t>
  </si>
  <si>
    <t>Toharite</t>
  </si>
  <si>
    <t>Ngā Kaupapahere i Tautohutia</t>
  </si>
  <si>
    <t>Ngā tikanga whakarite tāone</t>
  </si>
  <si>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</si>
  <si>
    <t>Ngā Kaupapahere</t>
  </si>
  <si>
    <t>Te Taumata Whakaine</t>
  </si>
  <si>
    <t>Ngā tikanga mo te pururuatanga whare</t>
  </si>
  <si>
    <t>Ngā tikanga mo te tūhonotanga tiriti</t>
  </si>
  <si>
    <t>Ngā rāhuitanga pāka hei whakapāhunu i te whakamahinga o te motoka</t>
  </si>
  <si>
    <t>Te wharatonga hanganga mo te tangata</t>
  </si>
  <si>
    <t>Te wharatonga hanganga mo te paihikara</t>
  </si>
  <si>
    <t>Ngā taumata whai wāhitanga mo te hīkoi</t>
  </si>
  <si>
    <t>Ngā taumata whai wāhitanga mo te whakamahi paihikara</t>
  </si>
  <si>
    <t>Urunga waka tāone</t>
  </si>
  <si>
    <t>Urunga ki ngā wāhi tūwhera</t>
  </si>
  <si>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</si>
  <si>
    <t>Ngā whakaritenga mo te urunga atu ki ngā waka tāone ki te mahi ki rō hāpori rānei.</t>
  </si>
  <si>
    <t>Ngā whakaritenga mo te wāwāhitanga mahi.</t>
  </si>
  <si>
    <t>Ngā whakaritenga mo te urunga atu ki ngā waka tāone.</t>
  </si>
  <si>
    <t>Ngā ūnga mo te whakamahinga waka tāone.</t>
  </si>
  <si>
    <t>Ngā whakaritenga mo ngā wāhi tūwhera.</t>
  </si>
  <si>
    <t>Raraunga taupori</t>
  </si>
  <si>
    <t>Ngā āhuahanga tāone</t>
  </si>
  <si>
    <t>Tauine taera</t>
  </si>
  <si>
    <t>Ngā Kōrero Hautoa</t>
  </si>
  <si>
    <t>Hunaara Waerehu</t>
  </si>
  <si>
    <t>Tūnga
    Waka
    Tāone</t>
  </si>
  <si>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</si>
  <si>
    <t>configuration/fonts/dejavu-fonts-ttf-2.37/ttf/DejaVuSansCondensed.ttf</t>
  </si>
  <si>
    <t>configuration/fonts/dejavu-fonts-ttf-2.37/ttf/DejaVuSansCondensed-Bold.ttf</t>
  </si>
  <si>
    <t>configuration/fonts/dejavu-fonts-ttf-2.37/ttf/DejaVuSansCondensed-Oblique.ttf</t>
  </si>
  <si>
    <t>configuration/fonts/dejavu-fonts-ttf-2.37/ttf/DejaVuSansCondensed-BoldOblique.ttf</t>
  </si>
  <si>
    <t>configuration/fonts/NotoSansCJKtc-VF.ttf</t>
  </si>
  <si>
    <t>configuration/fonts/NotoSansCJKsc-VF.ttf</t>
  </si>
  <si>
    <t>Image 1 credit</t>
  </si>
  <si>
    <t>Image 2 credit</t>
  </si>
  <si>
    <t>https://www.healthysustainablecities.org/</t>
  </si>
  <si>
    <t>region_box</t>
  </si>
  <si>
    <t>Português do Brasil</t>
  </si>
  <si>
    <t>Español de México</t>
  </si>
  <si>
    <t>Español de España</t>
  </si>
  <si>
    <t>study_region_context</t>
  </si>
  <si>
    <t>Aligns with healthy cities principles</t>
  </si>
  <si>
    <t>policy_checklist1_text1</t>
  </si>
  <si>
    <t>policy_checklist1_text1_response1</t>
  </si>
  <si>
    <t>policy_checklist1_text1_response2</t>
  </si>
  <si>
    <t>policy_checklist1_text1_response3</t>
  </si>
  <si>
    <t>policy_checklist1_text2</t>
  </si>
  <si>
    <t>policy_checklist1_text2_response1</t>
  </si>
  <si>
    <t>policy_checklist1_text2_response2</t>
  </si>
  <si>
    <t>policy_checklist1_text2_response3</t>
  </si>
  <si>
    <t>policy_checklist1_text3</t>
  </si>
  <si>
    <t>policy_checklist1_text3_response1</t>
  </si>
  <si>
    <t>policy_checklist1_text3_response2</t>
  </si>
  <si>
    <t>policy_checklist1_text3_response3</t>
  </si>
  <si>
    <t>policy_checklist1_text4</t>
  </si>
  <si>
    <t>policy_checklist1_text4_response1</t>
  </si>
  <si>
    <t>policy_checklist1_text4_response2</t>
  </si>
  <si>
    <t>policy_checklist1_text4_response3</t>
  </si>
  <si>
    <t>policy_checklist1_text5</t>
  </si>
  <si>
    <t>policy_checklist1_text5_response1</t>
  </si>
  <si>
    <t>policy_checklist1_text5_response2</t>
  </si>
  <si>
    <t>policy_checklist1_text5_response3</t>
  </si>
  <si>
    <t>policy_checklist2_text1</t>
  </si>
  <si>
    <t>policy_checklist2_text1_response1</t>
  </si>
  <si>
    <t>policy_checklist2_text1_response2</t>
  </si>
  <si>
    <t>policy_checklist2_text1_response3</t>
  </si>
  <si>
    <t>policy_checklist2_text2</t>
  </si>
  <si>
    <t>policy_checklist2_text2_response1</t>
  </si>
  <si>
    <t>policy_checklist2_text2_response2</t>
  </si>
  <si>
    <t>policy_checklist2_text2_response3</t>
  </si>
  <si>
    <t>policy_checklist2_text3</t>
  </si>
  <si>
    <t>policy_checklist2_text3_response1</t>
  </si>
  <si>
    <t>policy_checklist2_text3_response2</t>
  </si>
  <si>
    <t>policy_checklist2_text3_response3</t>
  </si>
  <si>
    <t>policy_checklist2_text4</t>
  </si>
  <si>
    <t>policy_checklist2_text4_response1</t>
  </si>
  <si>
    <t>policy_checklist2_text4_response2</t>
  </si>
  <si>
    <t>policy_checklist2_text4_response3</t>
  </si>
  <si>
    <t>policy_checklist3_text1</t>
  </si>
  <si>
    <t>policy_checklist3_text1_response1</t>
  </si>
  <si>
    <t>policy_checklist3_text1_response2</t>
  </si>
  <si>
    <t>policy_checklist3_text1_response3</t>
  </si>
  <si>
    <t>policy_box_checklist1</t>
  </si>
  <si>
    <t>policy_checklist1_title</t>
  </si>
  <si>
    <t>policy_checklist2_title</t>
  </si>
  <si>
    <t>policy_checklist3_box</t>
  </si>
  <si>
    <t>policy_checklist3_title</t>
  </si>
  <si>
    <t>policy_checklist_header1</t>
  </si>
  <si>
    <t>policy_checklist_header2</t>
  </si>
  <si>
    <t>policy_checklist_header3</t>
  </si>
  <si>
    <t>Integrated city planning policies for health and sustainability</t>
  </si>
  <si>
    <t>Climate resilient cities policies</t>
  </si>
  <si>
    <t>Urban and/or transport policy explicitly aims for integrated city planning</t>
  </si>
  <si>
    <t>Transport policy with health-focused actions</t>
  </si>
  <si>
    <t>Urban policy with health-focused actions</t>
  </si>
  <si>
    <t>Health Impact Assessment requirements in urban/transport policy</t>
  </si>
  <si>
    <t>Urban/transport policy explicitly aims for integrated city planning</t>
  </si>
  <si>
    <t>Publicly available information on government expenditure for different transport modes</t>
  </si>
  <si>
    <t>measures</t>
  </si>
  <si>
    <t>policy</t>
  </si>
  <si>
    <t>policy_check</t>
  </si>
  <si>
    <t>Traffic safety requirements</t>
  </si>
  <si>
    <t>Limits on greenfield housing development</t>
  </si>
  <si>
    <t>Mixture of housing types/sizes</t>
  </si>
  <si>
    <t>Mixture of local destinations for daily living</t>
  </si>
  <si>
    <t>Close distance to daily living destinations</t>
  </si>
  <si>
    <t>Ratio of jobs to housing</t>
  </si>
  <si>
    <t>Healthy food environments</t>
  </si>
  <si>
    <t>Crime prevention through environmental design</t>
  </si>
  <si>
    <t>Transport policies to limit air pollution</t>
  </si>
  <si>
    <t>Land use policies to reduce air pollution exposure</t>
  </si>
  <si>
    <t>Tree canopy and urban greening requirements</t>
  </si>
  <si>
    <t>Urban biodiversity protection &amp; promotion</t>
  </si>
  <si>
    <t>Adaptation and disaster risk reduction strategies</t>
  </si>
  <si>
    <t>policy_evaluation_text</t>
  </si>
  <si>
    <t>Walkability and destination access</t>
  </si>
  <si>
    <t>E2F0D9</t>
  </si>
  <si>
    <t>25 city study</t>
  </si>
  <si>
    <t>25 city study header</t>
  </si>
  <si>
    <t>Evidence-informed threshold</t>
  </si>
  <si>
    <t>Evidence- informed threshold</t>
  </si>
  <si>
    <t>policy_checklist2_text5</t>
  </si>
  <si>
    <t>policy_checklist2_text5_response1</t>
  </si>
  <si>
    <t>policy_checklist2_text5_response2</t>
  </si>
  <si>
    <t>policy_checklist2_text5_response3</t>
  </si>
  <si>
    <t>policy_checklist2_text6</t>
  </si>
  <si>
    <t>policy_checklist2_text6_response1</t>
  </si>
  <si>
    <t>policy_checklist2_text6_response2</t>
  </si>
  <si>
    <t>policy_checklist2_text6_response3</t>
  </si>
  <si>
    <t>policy_checklist2_text7</t>
  </si>
  <si>
    <t>policy_checklist2_text7_response1</t>
  </si>
  <si>
    <t>policy_checklist2_text7_response2</t>
  </si>
  <si>
    <t>policy_checklist2_text7_response3</t>
  </si>
  <si>
    <t>policy_box_checklist2</t>
  </si>
  <si>
    <t>Percentage of population with access to amenities within 500 metres (m)</t>
  </si>
  <si>
    <t>Kashi na yawan jama'a tare da damar samun abubuwan more rayuwa tsakanin mita 500 (m)</t>
  </si>
  <si>
    <t>thresholds box</t>
  </si>
  <si>
    <t>thresholds header</t>
  </si>
  <si>
    <t>thresholds text</t>
  </si>
  <si>
    <t>access_profile_table</t>
  </si>
  <si>
    <t>relative neighbourhood walkability</t>
  </si>
  <si>
    <t>Walkability inequities</t>
  </si>
  <si>
    <t>walkability_below_median_pct</t>
  </si>
  <si>
    <t>thresholds image</t>
  </si>
  <si>
    <t>Public transport policy</t>
  </si>
  <si>
    <t>Public open space policy</t>
  </si>
  <si>
    <t>policy_checklist3_text2</t>
  </si>
  <si>
    <t>policy_checklist3_text2_response1</t>
  </si>
  <si>
    <t>policy_checklist3_text2_response2</t>
  </si>
  <si>
    <t>policy_checklist3_text2_response3</t>
  </si>
  <si>
    <t>policy_checklist3_text3</t>
  </si>
  <si>
    <t>policy_checklist3_text3_response1</t>
  </si>
  <si>
    <t>policy_checklist3_text3_response2</t>
  </si>
  <si>
    <t>policy_checklist3_text3_response3</t>
  </si>
  <si>
    <t>policy_checklist4_box</t>
  </si>
  <si>
    <t>policy_checklist4_title</t>
  </si>
  <si>
    <t>policy_checklist4_text1</t>
  </si>
  <si>
    <t>policy_checklist4_text1_response1</t>
  </si>
  <si>
    <t>policy_checklist4_text1_response2</t>
  </si>
  <si>
    <t>policy_checklist4_text1_response3</t>
  </si>
  <si>
    <t>policy_box_checklist5</t>
  </si>
  <si>
    <t>policy_checklist5_title</t>
  </si>
  <si>
    <t>policy_checklist5_text1</t>
  </si>
  <si>
    <t>policy_checklist5_text1_response1</t>
  </si>
  <si>
    <t>policy_checklist5_text1_response2</t>
  </si>
  <si>
    <t>policy_checklist5_text1_response3</t>
  </si>
  <si>
    <t>policy_checklist5_text2</t>
  </si>
  <si>
    <t>policy_checklist5_text2_response1</t>
  </si>
  <si>
    <t>policy_checklist5_text2_response2</t>
  </si>
  <si>
    <t>policy_checklist5_text2_response3</t>
  </si>
  <si>
    <t>pct_access_500m_pt_label</t>
  </si>
  <si>
    <t>pct_access_500m_public_open_space_large_score_label</t>
  </si>
  <si>
    <t>authors</t>
  </si>
  <si>
    <t>edited</t>
  </si>
  <si>
    <t>author_names</t>
  </si>
  <si>
    <t>Full details of the data and methods are available at</t>
  </si>
  <si>
    <t>policy indicators</t>
  </si>
  <si>
    <t>policy and spatial indicators</t>
  </si>
  <si>
    <t>spatial indicators</t>
  </si>
  <si>
    <t>Global Healthy and Sustainable City Indicators Collaboration</t>
  </si>
  <si>
    <t>subtitle</t>
  </si>
  <si>
    <t>example_report_only</t>
  </si>
  <si>
    <t>Policy review conducted by</t>
  </si>
  <si>
    <t>{percent} of the population in {city_name} live within 500m of public transport</t>
  </si>
  <si>
    <t>{percent} of the population in {city_name} live within 500m of public transport with 20 mins or better average weekday frequency</t>
  </si>
  <si>
    <t>{percent} of the population in {city_name} live in neighbourhoods meeting the population density threshold for 80% probability of engaging in any walking for transport ({n} people {per_unit})</t>
  </si>
  <si>
    <t>{percent} of the population in {city_name} live in neighbourhoods meeting the street intersection density threshold for 80% probability of engaging in any walking for transport ({n} intersections {per_unit})</t>
  </si>
  <si>
    <t>No</t>
  </si>
  <si>
    <t>Yes</t>
  </si>
  <si>
    <t>{percent} of the population in {city_name} live in neighbourhoods with walkability scoring below the median of 25 cities internationally (Box 1)</t>
  </si>
  <si>
    <t>{percent} of the population in {city_name} live within 500m of public open space of at least 1.5 hectares in size</t>
  </si>
  <si>
    <t>Climate resilient cities policies description</t>
  </si>
  <si>
    <t>Urban air quality, and nature-based solutions policies</t>
  </si>
  <si>
    <t>policy_checklist6_text1</t>
  </si>
  <si>
    <t>policy_checklist6_text1_response1</t>
  </si>
  <si>
    <t>policy_checklist6_text1_response2</t>
  </si>
  <si>
    <t>policy_checklist6_text1_response3</t>
  </si>
  <si>
    <t>584b9f</t>
  </si>
  <si>
    <t>city_name</t>
  </si>
  <si>
    <t>country</t>
  </si>
  <si>
    <t>disclaimer</t>
  </si>
  <si>
    <t>Urban air quality, and nature-based solutions</t>
  </si>
  <si>
    <t>concept</t>
  </si>
  <si>
    <t>hero_image_3</t>
  </si>
  <si>
    <t>hero_alt_3</t>
  </si>
  <si>
    <t>Image 3 credit</t>
  </si>
  <si>
    <t>hero_image_1</t>
  </si>
  <si>
    <t>hero_alt_1</t>
  </si>
  <si>
    <t>Climate disaster risk reduction</t>
  </si>
  <si>
    <t>Climate disaster risk reduction description</t>
  </si>
  <si>
    <t>Policy indicators for healthy and sustainable cities</t>
  </si>
  <si>
    <t>configuration/assets/GOHSC - colour logo transparent.svg</t>
  </si>
  <si>
    <t>configuration/assets/cover_background - fawn - base box.svg</t>
  </si>
  <si>
    <t>Preliminary findings are not intended for public release until results and interpretations are validated and approved.</t>
  </si>
  <si>
    <t>DRAFT ONLY</t>
  </si>
  <si>
    <t>DRAFT ONLY header warning</t>
  </si>
  <si>
    <t>231f20</t>
  </si>
  <si>
    <t>GHSCIC</t>
  </si>
  <si>
    <t>Global Healthy &amp; Sustainable City Indicators Collaboration</t>
  </si>
  <si>
    <t>Add author names by editing region configuration reporting settings using a text editor</t>
  </si>
  <si>
    <t>Example report only.  Copy and edit the example .yml file in the configuration/regions folder to define your own study region for analysis and reporting.  Following configuration and analysis, policy and/or spatial indicator reports may be generated according to the directions at</t>
  </si>
  <si>
    <t>year</t>
  </si>
  <si>
    <t>{city_name}, {country} {year}</t>
  </si>
  <si>
    <t>study_region_context_caption</t>
  </si>
  <si>
    <t>National</t>
  </si>
  <si>
    <t>State</t>
  </si>
  <si>
    <t>Regional</t>
  </si>
  <si>
    <t>Metropolitan</t>
  </si>
  <si>
    <t>Local</t>
  </si>
  <si>
    <t>The following levels of government policy were analysed for {city_name}: {policy_checklist_levels}.</t>
  </si>
  <si>
    <t>Integrated city planning text</t>
  </si>
  <si>
    <t>d0d8dd</t>
  </si>
  <si>
    <t>Aligns with healthy cities evidence</t>
  </si>
  <si>
    <t>Policy key</t>
  </si>
  <si>
    <t>Key: Yes ✔  No ✘    Mixed ✔/✘   Not applicable -</t>
  </si>
  <si>
    <t>Walkability and destination access policies</t>
  </si>
  <si>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</si>
  <si>
    <t>{city_name} context</t>
  </si>
  <si>
    <t>Urban design thresholds to promote walking</t>
  </si>
  <si>
    <t>thresholds attribution</t>
  </si>
  <si>
    <t>Adapted from The Lancet Global Health (2022): https://www.thelancet.com/infographics-do/urban-design-2022</t>
  </si>
  <si>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</si>
  <si>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</si>
  <si>
    <t>population_caption</t>
  </si>
  <si>
    <t>The spatial distribution maps featured in this report display results for areas with population estimates according to {config[population][name]}.</t>
  </si>
  <si>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</si>
  <si>
    <t>In the face of climate change, built environments need to be designed to reduce the health impacts of increasingly frequent and severe extreme weather events, such as heat waves, flooding, bushfires/wildfires and extreme storms.</t>
  </si>
  <si>
    <t>cc</t>
  </si>
  <si>
    <t>CCCCCCC</t>
  </si>
  <si>
    <t>CCCCCC</t>
  </si>
  <si>
    <t>by</t>
  </si>
  <si>
    <t>nc</t>
  </si>
  <si>
    <t>This work is licenced under a Creative Commons CC BY-NC Attribution-NonCommercial 4.0 International License.</t>
  </si>
  <si>
    <t>configuration/assets/cover_background - sage - base box.svg</t>
  </si>
  <si>
    <t>configuration/assets/cover_background - blue - base box.svg</t>
  </si>
  <si>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</si>
  <si>
    <t>spatial_intro</t>
  </si>
  <si>
    <t>policy_intro</t>
  </si>
  <si>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</si>
  <si>
    <t>policy_spatial_intro</t>
  </si>
  <si>
    <t>f1dec7</t>
  </si>
  <si>
    <t>configuration/assets/illustrative density thresholds - population - no text.svg</t>
  </si>
  <si>
    <t>threshold scale text</t>
  </si>
  <si>
    <t>Probability of engaging in any walking for transport</t>
  </si>
  <si>
    <t>threshold population</t>
  </si>
  <si>
    <t>5,700 people per km²</t>
  </si>
  <si>
    <t>threshold intersections</t>
  </si>
  <si>
    <t>pct_100</t>
  </si>
  <si>
    <t>pct_80</t>
  </si>
  <si>
    <t>pct_60</t>
  </si>
  <si>
    <t>pct_40</t>
  </si>
  <si>
    <t>pct_20</t>
  </si>
  <si>
    <t>pct_0</t>
  </si>
  <si>
    <t>configuration/assets/illustrative density thresholds - intersections - no text.svg</t>
  </si>
  <si>
    <t>Policy presence score</t>
  </si>
  <si>
    <t>Policy quality score</t>
  </si>
  <si>
    <t xml:space="preserve">{presence}/{n} ({percent}) </t>
  </si>
  <si>
    <t xml:space="preserve">{quality}/{n} ({percent}) </t>
  </si>
  <si>
    <t>quality box</t>
  </si>
  <si>
    <t>presence box</t>
  </si>
  <si>
    <t>faf0f6</t>
  </si>
  <si>
    <t>Presence of urban and transport policies supporting health and sustainability</t>
  </si>
  <si>
    <t>Demographics and health equity</t>
  </si>
  <si>
    <t>Environmental disaster context</t>
  </si>
  <si>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</si>
  <si>
    <t>25 city study box</t>
  </si>
  <si>
    <t>Spatial indicators for healthy and sustainable cities</t>
  </si>
  <si>
    <t>Policy and spatial indicators for healthy and sustainable cities</t>
  </si>
  <si>
    <t>Box 1: The Lancet Global Health Series study of 25 cities internationally</t>
  </si>
  <si>
    <t>Levels of government</t>
  </si>
  <si>
    <t>Edit the region configuration file to provide background context for your study region. Please briefly summarise the location, history and topography, as relevant.</t>
  </si>
  <si>
    <t>context</t>
  </si>
  <si>
    <t>Floods</t>
  </si>
  <si>
    <t>Bushfires/wildfires</t>
  </si>
  <si>
    <t>Heatwaves</t>
  </si>
  <si>
    <t>Extreme cold</t>
  </si>
  <si>
    <t>Typhoons</t>
  </si>
  <si>
    <t>Hurricanes</t>
  </si>
  <si>
    <t>Cyclones</t>
  </si>
  <si>
    <t>Earthquakes</t>
  </si>
  <si>
    <t>Severe storms</t>
  </si>
  <si>
    <t>1a595a</t>
  </si>
  <si>
    <t>legend_box</t>
  </si>
  <si>
    <t>Map legend</t>
  </si>
  <si>
    <t>study region legend patch text a</t>
  </si>
  <si>
    <t>study region legend patch text b</t>
  </si>
  <si>
    <t>study region legend patch text c</t>
  </si>
  <si>
    <t>Study region</t>
  </si>
  <si>
    <t>study region legend patch a</t>
  </si>
  <si>
    <t>study region legend patch b</t>
  </si>
  <si>
    <t>study region legend patch c</t>
  </si>
  <si>
    <t>intersection</t>
  </si>
  <si>
    <t>Administrative boundary
({source})</t>
  </si>
  <si>
    <t>Urban boundary
({source})</t>
  </si>
  <si>
    <t>intersection of administrative boundary and urban boundary</t>
  </si>
  <si>
    <t>Study region boundary
({source})</t>
  </si>
  <si>
    <t>The study region used to calculate spatial indicators for the population of {city_name} presented in this report has been highlighted in the map below using parallel line shading.</t>
  </si>
  <si>
    <t>target threshold</t>
  </si>
  <si>
    <t>25 global cities</t>
  </si>
  <si>
    <t>configuration/assets/25 city global map.svg</t>
  </si>
  <si>
    <t>City team members: {author_names}</t>
  </si>
  <si>
    <t>Report design and editing: {editor_names}</t>
  </si>
  <si>
    <t>Translation: {translation_names}</t>
  </si>
  <si>
    <t>policy checklist incomplete warning</t>
  </si>
  <si>
    <t>Policy checklist data could not be loaded and have been skipped.  See https://healthysustainablecities.github.io/software/#Policy-checklist</t>
  </si>
  <si>
    <t>Environmental hazards that may impact the urban area over the coming decade include: {policy_checklist_hazards}.</t>
  </si>
  <si>
    <t>% of
population
with access
within 500m
to:</t>
  </si>
  <si>
    <t>Median and interquartile range for 25 cities internationally (Box 1)</t>
  </si>
  <si>
    <t>1000 Cities Challenge report</t>
  </si>
  <si>
    <t>Additional context</t>
  </si>
  <si>
    <t>Demographics and health equity blurb</t>
  </si>
  <si>
    <t>Environmental disaster context blurb</t>
  </si>
  <si>
    <t>Additional context blurb</t>
  </si>
  <si>
    <t>City context</t>
  </si>
  <si>
    <t>City context blurb</t>
  </si>
  <si>
    <t>Detail any other considerations relating to urban health inequities and geography in this city, or data considerations that could influence interpretation of findings.</t>
  </si>
  <si>
    <t>c6d3cc</t>
  </si>
  <si>
    <t>b9c4ce</t>
  </si>
  <si>
    <t>92D050</t>
  </si>
  <si>
    <t>25 city study legend box</t>
  </si>
  <si>
    <t>hero_image_4</t>
  </si>
  <si>
    <t>hero_alt_4</t>
  </si>
  <si>
    <t>Image 4 credit</t>
  </si>
  <si>
    <t>Translation status</t>
  </si>
  <si>
    <t>Indicadores de políticas para ciudades saludables y sostenibles</t>
  </si>
  <si>
    <t>Indicadores espaciales para ciudades saludables y sostenibles</t>
  </si>
  <si>
    <t>Los hallazgos preliminares no están destinados a ser divulgados públicamente hasta que los resultados y las interpretaciones sean validados y aprobados.</t>
  </si>
  <si>
    <t>Niveles de gobierno</t>
  </si>
  <si>
    <t>Demografía y equidad en salud</t>
  </si>
  <si>
    <t>Contexto de desastre ambiental</t>
  </si>
  <si>
    <t>Contexto adicional</t>
  </si>
  <si>
    <t>Se analizaron los siguientes niveles de política gubernamental para {city_name}: {policy_checklist_levels}.</t>
  </si>
  <si>
    <t>Metropolitano</t>
  </si>
  <si>
    <t>Estado</t>
  </si>
  <si>
    <t>Nacional</t>
  </si>
  <si>
    <t>Tormentas severas</t>
  </si>
  <si>
    <t>Inundaciones</t>
  </si>
  <si>
    <t>Incendios forestales/incendios forestales</t>
  </si>
  <si>
    <t>Olas de calor</t>
  </si>
  <si>
    <t>Huracanes</t>
  </si>
  <si>
    <t>Ciclones</t>
  </si>
  <si>
    <t>Terremotos</t>
  </si>
  <si>
    <t>Región de estudio</t>
  </si>
  <si>
    <t>Leyenda del mapa</t>
  </si>
  <si>
    <t>intersección del límite administrativo y el límite urbano</t>
  </si>
  <si>
    <t>Sí</t>
  </si>
  <si>
    <t>Densidad de población del barrio (por km²)</t>
  </si>
  <si>
    <t>Puntuación de presencia de políticas</t>
  </si>
  <si>
    <t>Presencia de políticas urbanas y de transporte que apoyen la salud y la sostenibilidad</t>
  </si>
  <si>
    <t>5.700 personas por km²</t>
  </si>
  <si>
    <t>Se alinea con la evidencia de ciudades saludables</t>
  </si>
  <si>
    <t>Políticas integradas de planificación urbana para la salud y la sostenibilidad</t>
  </si>
  <si>
    <t>Política urbana con acciones centradas en la salud</t>
  </si>
  <si>
    <t>Requisitos de seguridad vial</t>
  </si>
  <si>
    <t>Prevención del delito a través del diseño ambiental</t>
  </si>
  <si>
    <t>Políticas de ciudades resilientes al clima</t>
  </si>
  <si>
    <t>Calidad del aire urbano y soluciones basadas en la naturaleza</t>
  </si>
  <si>
    <t>Políticas de calidad del aire urbano y soluciones basadas en la naturaleza</t>
  </si>
  <si>
    <t>Protección y promoción de la biodiversidad urbana</t>
  </si>
  <si>
    <t>Reducción del riesgo de desastres climáticos</t>
  </si>
  <si>
    <t>Estrategias de adaptación y reducción del riesgo de desastres</t>
  </si>
  <si>
    <t>Política de transporte público</t>
  </si>
  <si>
    <t>Política de espacios públicos abiertos</t>
  </si>
  <si>
    <t>Los detalles completos de los datos y métodos están disponibles en</t>
  </si>
  <si>
    <t>Miembros del equipo de la ciudad: {author_names}</t>
  </si>
  <si>
    <t>Diseño y edición de informes: {editor_names}</t>
  </si>
  <si>
    <t>Traducción: {translation_names}</t>
  </si>
  <si>
    <t>Revisión de políticas realizada por</t>
  </si>
  <si>
    <t>1000 个城市挑战报告</t>
  </si>
  <si>
    <t>健康和可持续城市的政策指标</t>
  </si>
  <si>
    <t>健康和可持续城市的政策和空间指标</t>
  </si>
  <si>
    <t>健康和可持续城市的空间指标</t>
  </si>
  <si>
    <t>在结果和解释得到验证和批准之前，初步调查结果不会公开发布。</t>
  </si>
  <si>
    <t>仅草稿</t>
  </si>
  <si>
    <t>{city_name} 上下文</t>
  </si>
  <si>
    <t>政府级别</t>
  </si>
  <si>
    <t>人口统计和健康公平</t>
  </si>
  <si>
    <t>环境灾害背景</t>
  </si>
  <si>
    <t>额外的背景信息</t>
  </si>
  <si>
    <t>编辑区域配置文件以为您的研究区域提供背景上下文。请简要概述相关的位置、历史和地形。</t>
  </si>
  <si>
    <t>针对 {city_name} 分析了以下级别的政府政策：{policy_checklist_levels}。</t>
  </si>
  <si>
    <t>未来十年可能影响城市地区的环境危害包括：{policy_checklist_hazards}。</t>
  </si>
  <si>
    <t>强风暴</t>
  </si>
  <si>
    <t>洪水</t>
  </si>
  <si>
    <t>丛林大火/野火</t>
  </si>
  <si>
    <t>热浪</t>
  </si>
  <si>
    <t>极冷</t>
  </si>
  <si>
    <t>台风</t>
  </si>
  <si>
    <t>飓风</t>
  </si>
  <si>
    <t>地震</t>
  </si>
  <si>
    <t>本报告中用于计算 {city_name} 人口空间指标的研究区域已在下图中使用平行线阴影突出显示。</t>
  </si>
  <si>
    <t>研究区域</t>
  </si>
  <si>
    <t>地图图例</t>
  </si>
  <si>
    <t>行政边界（{source}）</t>
  </si>
  <si>
    <t>研究区域边界（{source}）</t>
  </si>
  <si>
    <t>行政边界与城市边界相交</t>
  </si>
  <si>
    <t>不</t>
  </si>
  <si>
    <t>是的</t>
  </si>
  <si>
    <t>{city_name} 的 {percent} 人口居住在公共交通 500m 范围内，工作日平均发车频率为 20 分钟或更短</t>
  </si>
  <si>
    <t>{city_name} 的 {percent} 人口居住在面积至少为 1.5 公顷的公共开放空间 500m 范围内</t>
  </si>
  <si>
    <t>{city_name} 的 {percent} 人口居住在步行适宜性得分低于国际 25 个城市中位数的社区（框 1）</t>
  </si>
  <si>
    <t>国际 25 个城市的中位数和四分位数范围（框 1）</t>
  </si>
  <si>
    <t>本报告中的空间分布图显示了根据 {config[population][name]} 进行人口估计的区域的结果。</t>
  </si>
  <si>
    <t>步行便利性和目的地可达性</t>
  </si>
  <si>
    <t>政策质量得分</t>
  </si>
  <si>
    <t>对可衡量政策的政策质量评级与健康城市的证据相一致</t>
  </si>
  <si>
    <t>步行适宜性不平等</t>
  </si>
  <si>
    <t>框 1：《柳叶刀》全球健康系列对国际 25 个城市的研究</t>
  </si>
  <si>
    <t>每平方公里 5,700 人</t>
  </si>
  <si>
    <t>目标阈值</t>
  </si>
  <si>
    <t>与健康城市证据一致</t>
  </si>
  <si>
    <t>循证阈值</t>
  </si>
  <si>
    <t>要点：是 ✔ 否 ✘ 混合 ✔/✘ 不适用 -</t>
  </si>
  <si>
    <t>促进健康和可持续发展的综合城市规划政策</t>
  </si>
  <si>
    <t>城市/交通政策明确以综合城市规划为目标</t>
  </si>
  <si>
    <t>有关不同交通方式的政府支出的公开信息</t>
  </si>
  <si>
    <t>交通安全要求</t>
  </si>
  <si>
    <t>住宅建筑高度限制</t>
  </si>
  <si>
    <t>绿地住房开发的限制</t>
  </si>
  <si>
    <t>距离日常生活目的地较近</t>
  </si>
  <si>
    <t>就业与住房比率</t>
  </si>
  <si>
    <t>健康的饮食环境</t>
  </si>
  <si>
    <t>气候适应型城市政策</t>
  </si>
  <si>
    <t>城市空气质量和基于自然的解决方案</t>
  </si>
  <si>
    <t>城市空气质量和基于自然的解决方案政策</t>
  </si>
  <si>
    <t>限制空气污染的交通政策</t>
  </si>
  <si>
    <t>减少空气污染暴露的土地使用政策</t>
  </si>
  <si>
    <t>树冠及城市绿化要求</t>
  </si>
  <si>
    <t>城市生物多样性保护与促进</t>
  </si>
  <si>
    <t>面对气候变化，建筑环境的设计需要减少日益频繁和严重的极端天气事件（例如热浪、洪水、丛林大火/野火和极端风暴）对健康的影响。</t>
  </si>
  <si>
    <t>公共交通政策</t>
  </si>
  <si>
    <t>公共开放空间政策</t>
  </si>
  <si>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</si>
  <si>
    <t>仅示例报告。复制并编辑configuration/regions文件夹中的示例.yml文件，以定义您自己的研究区域以进行分析和报告。在配置和分析之后，可以根据以下处的指示生成策略和/或空间指示符报告：</t>
  </si>
  <si>
    <t>有关数据和方法的完整详细信息，请访问</t>
  </si>
  <si>
    <t>本作品根据 Creative Commons CC BY-NC Attribution-NonCommercial 4.0 International License 获得许可。</t>
  </si>
  <si>
    <t>城市团队成员：{author_names}</t>
  </si>
  <si>
    <t>通过使用文本编辑器编辑区域配置报告设置来添加作者姓名</t>
  </si>
  <si>
    <t>报告设计和编辑：{editor_names}</t>
  </si>
  <si>
    <t>翻译：{translation_names}</t>
  </si>
  <si>
    <t>政策审查由</t>
  </si>
  <si>
    <t>Los datos de la lista de verificación de políticas no se pudieron cargar y se omitieron. Consulte https://healthysustainablecities.github.io/software/#Policy-checklist</t>
  </si>
  <si>
    <t>SÓLO BORRADOR</t>
  </si>
  <si>
    <t>Mediana y rango intercuartil de 25 ciudades a nivel internacional (Recuadro 1)</t>
  </si>
  <si>
    <t>Puntuación de calidad de las políticas</t>
  </si>
  <si>
    <t>Desigualdades en la caminabilidad</t>
  </si>
  <si>
    <t>Cuadro 1: Estudio de The Lancet Global Health Series de 25 ciudades a nivel internacional</t>
  </si>
  <si>
    <t>umbral objetivo</t>
  </si>
  <si>
    <t>Umbral basado en evidencia</t>
  </si>
  <si>
    <t>Clave: Sí ✔ No ✘ Mixto ✔/✘ No aplica -</t>
  </si>
  <si>
    <t>Política de transporte con acciones centradas en la salud</t>
  </si>
  <si>
    <t>Requisitos de la evaluación del impacto en la salud en la política urbana/de transporte</t>
  </si>
  <si>
    <t>Información disponible públicamente sobre el gasto gubernamental para diferentes modos de transporte</t>
  </si>
  <si>
    <t>Mezcla de tipos/tamaños de viviendas</t>
  </si>
  <si>
    <t>Ambientes alimentarios saludables</t>
  </si>
  <si>
    <t>Políticas de transporte para limitar la contaminación del aire</t>
  </si>
  <si>
    <t>Este trabajo está bajo una licencia Creative Commons CC BY-NC Atribución-No Comercial 4.0 Internacional.</t>
  </si>
  <si>
    <t>Agregue nombres de autores editando los ajustes de informes de configuración de la región usando un editor de texto</t>
  </si>
  <si>
    <t>城市边界（{source}）</t>
  </si>
  <si>
    <t>Los mapas de distribución espacial que aparecen en este informe muestran resultados para áreas con estimaciones de población según {config[population][name]}.</t>
  </si>
  <si>
    <t>El {percent} de la población de {city_name} vive a menos de 500 metros del transporte público.</t>
  </si>
  <si>
    <t>El {percent} de la población de {city_name} vive a menos de 500 m de espacios públicos abiertos de al menos 1,5 hectáreas de tamaño.</t>
  </si>
  <si>
    <t>El {percent} de la población de {city_name} vive en vecindarios con una puntuación de caminabilidad inferior a la media de 25 ciudades a nivel internacional (Recuadro 1).</t>
  </si>
  <si>
    <t>El {percent} de la población de {city_name} vive en vecindarios que alcanzan el umbral de densidad de población para tener una probabilidad del 80 % de caminar para desplazarse ({n} personas {per_unit})</t>
  </si>
  <si>
    <t>Límite administrativo ({source})</t>
  </si>
  <si>
    <t>Límite urbano ({source})</t>
  </si>
  <si>
    <t>Límite de la región de estudio ({source})</t>
  </si>
  <si>
    <t>Informe 1000 Cities Challenge</t>
  </si>
  <si>
    <t>Indicadors de polítiques per a ciutats saludables i sostenibles</t>
  </si>
  <si>
    <t>Indicadors espacials per a ciutats saludables i sostenibles</t>
  </si>
  <si>
    <t>Les conclusions preliminars no estan destinades a ser publicades fins que els resultats i les interpretacions siguin validats i aprovats.</t>
  </si>
  <si>
    <t>Les dades de la llista de verificació de polítiques no s'han pogut carregar i s'han omès. Vegeu https://healthysustainablecities.github.io/software/#Policy-checklist</t>
  </si>
  <si>
    <t>Nivells de govern</t>
  </si>
  <si>
    <t>Context de desastre ambiental</t>
  </si>
  <si>
    <t>Context addicional</t>
  </si>
  <si>
    <t>Editeu el fitxer de configuració de la regió per proporcionar un context de fons per a la vostra regió d'estudi. Si us plau, resumeix breument la ubicació, la història i la topografia, segons sigui pertinent.</t>
  </si>
  <si>
    <t>S'han analitzat els nivells següents de política governamental per a {city_name}: {policy_checklist_levels}.</t>
  </si>
  <si>
    <t>Els perills ambientals que poden afectar l'àrea urbana durant la propera dècada inclouen: {policy_checklist_hazards}.</t>
  </si>
  <si>
    <t>Detalli qualsevol altra consideració relacionada amb les desigualtats en salut urbana i la geografia d'aquesta ciutat, o consideracions de dades que puguin influir en la interpretació de les conclusions.</t>
  </si>
  <si>
    <t>Metropolitana</t>
  </si>
  <si>
    <t>Regionals</t>
  </si>
  <si>
    <t>Estat</t>
  </si>
  <si>
    <t>Tempestes fortes</t>
  </si>
  <si>
    <t>Inundacions</t>
  </si>
  <si>
    <t>Onades de calor</t>
  </si>
  <si>
    <t>Fred extrem</t>
  </si>
  <si>
    <t>Tifons</t>
  </si>
  <si>
    <t>Huracans</t>
  </si>
  <si>
    <t>Ciclons</t>
  </si>
  <si>
    <t>Terratrèmols</t>
  </si>
  <si>
    <t>La regió d'estudi utilitzada per calcular els indicadors espacials de la població de {city_name} presentada en aquest informe s'ha destacat al mapa següent mitjançant l'ombrejat de línies paral·leles.</t>
  </si>
  <si>
    <t>Regió d'estudi</t>
  </si>
  <si>
    <t>Llegenda del mapa</t>
  </si>
  <si>
    <t>intersecció del límit administratiu i el límit urbà</t>
  </si>
  <si>
    <t>El {percent} de la població de {city_name} viu a menys de 500 m del transport públic</t>
  </si>
  <si>
    <t>El {percent} de la població de {city_name} viu a menys de 500 m del transport públic amb una freqüència mitjana de 20 minuts o més entre setmana</t>
  </si>
  <si>
    <t>El {percent} de la població de {city_name} viu a menys de 500 m d'un espai públic obert d'almenys 1,5 hectàrees de mida</t>
  </si>
  <si>
    <t>% de la població amb accés a menys de 500 m a:</t>
  </si>
  <si>
    <t>Densitat de població del barri (per km²)</t>
  </si>
  <si>
    <t>Densitat d'intersecció del barri (per km²)</t>
  </si>
  <si>
    <t>Interval mitjà i interquartil per a 25 ciutats internacionals (quadre 1)</t>
  </si>
  <si>
    <t>Els mapes de distribució espacial que es mostren en aquest informe mostren els resultats de les àrees amb estimacions de població segons {config[population][name]}.</t>
  </si>
  <si>
    <t>Percentatge de població amb accés a serveis a menys de 500 metres (m)</t>
  </si>
  <si>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</si>
  <si>
    <t>Presència de polítiques urbanes i de transport de suport a la salut i la sostenibilitat</t>
  </si>
  <si>
    <t>Valoració de la qualitat de les polítiques per a polítiques mesurables alineades amb l'evidència sobre ciutats saludables</t>
  </si>
  <si>
    <t>Desigualtats de caminabilitat</t>
  </si>
  <si>
    <t>Quadre 1: L'estudi Lancet Global Health Series de 25 ciutats a nivell internacional</t>
  </si>
  <si>
    <t>5.700 persones per km²</t>
  </si>
  <si>
    <t>llindar objectiu</t>
  </si>
  <si>
    <t>S'alinea amb l'evidència de ciutats saludables</t>
  </si>
  <si>
    <t>Llindar informat per evidència</t>
  </si>
  <si>
    <t>Clau: Sí ✔ No ✘ Mixt ✔/✘ No aplicable -</t>
  </si>
  <si>
    <t>Polítiques d'urbanisme integrats per a la salut i la sostenibilitat</t>
  </si>
  <si>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</si>
  <si>
    <t>Política de transport amb accions enfocades a la salut</t>
  </si>
  <si>
    <t>Política urbanística amb actuacions enfocades a la salut</t>
  </si>
  <si>
    <t>Requisits de l'Avaluació d'Impacte en la Salut en la política urbana/de transport</t>
  </si>
  <si>
    <t>La política urbana/de transport té com a objectiu explícit una planificació urbana integrada</t>
  </si>
  <si>
    <t>Informació disponible públicament sobre la despesa pública per a diferents modes de transport</t>
  </si>
  <si>
    <t>Polítiques de caminabilitat i accés a la destinació</t>
  </si>
  <si>
    <t>Requisits de seguretat del trànsit</t>
  </si>
  <si>
    <t>Barreja de tipus/mida d'habitatge</t>
  </si>
  <si>
    <t>Relació entre llocs de treball i habitatge</t>
  </si>
  <si>
    <t>Ambients alimentaris saludables</t>
  </si>
  <si>
    <t>Prevenció de la delinqüència mitjançant el disseny ambiental</t>
  </si>
  <si>
    <t>Polítiques de ciutats resilients al clima</t>
  </si>
  <si>
    <t>Qualitat de l'aire urbà i solucions basades en la natura</t>
  </si>
  <si>
    <t>Qualitat de l'aire urbà i polítiques de solucions basades en la natura</t>
  </si>
  <si>
    <t>Polítiques de transport per limitar la contaminació atmosfèrica</t>
  </si>
  <si>
    <t>Polítiques d'ús del sòl per reduir l'exposició a la contaminació atmosfèrica</t>
  </si>
  <si>
    <t>Requisits per a la coberta dels arbres i l'ambientació urbana</t>
  </si>
  <si>
    <t>Protecció i promoció de la biodiversitat urbana</t>
  </si>
  <si>
    <t>Reducció del risc de desastres climàtics</t>
  </si>
  <si>
    <t>Davant el canvi climàtic, els entorns construïts s'han de dissenyar per reduir els impactes sobre la salut dels esdeveniments meteorològics extrems cada cop més freqüents i greus, com ara onades de calor, inundacions, incendis forestals/incendis forestals i tempestes extremes.</t>
  </si>
  <si>
    <t>Estratègies d'adaptació i reducció del risc de desastres</t>
  </si>
  <si>
    <t>Política de transport públic</t>
  </si>
  <si>
    <t>Política d'espais oberts públics</t>
  </si>
  <si>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</si>
  <si>
    <t>Els detalls complets de les dades i els mètodes estan disponibles a</t>
  </si>
  <si>
    <t>Aquesta obra està sota una llicència Creative Commons CC BY-NC Reconeixement-NoComercial 4.0 Internacional.</t>
  </si>
  <si>
    <t>Membres de l'equip de la ciutat: {author_names}</t>
  </si>
  <si>
    <t>Afegiu noms d'autor editant la configuració dels informes de configuració de regió mitjançant un editor de text</t>
  </si>
  <si>
    <t>Disseny i edició d'informes: {editor_names}</t>
  </si>
  <si>
    <t>Traducció: {translation_names}</t>
  </si>
  <si>
    <t>1000 Cities Challenge-rapport</t>
  </si>
  <si>
    <t>Politiske indikatorer for sunde og bæredygtige byer</t>
  </si>
  <si>
    <t>Politik og rumlige indikatorer for sunde og bæredygtige byer</t>
  </si>
  <si>
    <t>Rumlige indikatorer for sunde og bæredygtige byer</t>
  </si>
  <si>
    <t>Foreløbige resultater er ikke beregnet til offentlig offentliggørelse, før resultater og fortolkninger er valideret og godkendt.</t>
  </si>
  <si>
    <t>Politikchecklistedata kunne ikke indlæses og er blevet sprunget over. Se https://healthysustainablecities.github.io/software/#Policy-checklist</t>
  </si>
  <si>
    <t>KUN UDKAD</t>
  </si>
  <si>
    <t>{city_name} kontekst</t>
  </si>
  <si>
    <t>Regeringsniveauer</t>
  </si>
  <si>
    <t>Demografi og sundhedslighed</t>
  </si>
  <si>
    <t>Miljøkatastrofe kontekst</t>
  </si>
  <si>
    <t>Yderligere kontekst</t>
  </si>
  <si>
    <t>Rediger regionskonfigurationsfilen for at give baggrundskontekst for din studieregion. Opsummer venligst kort placering, historie og topografi, som relevant.</t>
  </si>
  <si>
    <t>Følgende niveauer af regeringens politik blev analyseret for {city_name}: {policy_checklist_levels}.</t>
  </si>
  <si>
    <t>Miljøfarer, der kan påvirke byområdet i løbet af det kommende årti, omfatter: {policy_checklist_hazards}.</t>
  </si>
  <si>
    <t>Detaljerede eventuelle andre overvejelser vedrørende uligheder i byernes sundhed og geografi i denne by, eller dataovervejelser, der kan påvirke fortolkningen af resultaterne.</t>
  </si>
  <si>
    <t>Lokal</t>
  </si>
  <si>
    <t>Stat</t>
  </si>
  <si>
    <t>national</t>
  </si>
  <si>
    <t>Kraftige storme</t>
  </si>
  <si>
    <t>Oversvømmelser</t>
  </si>
  <si>
    <t>Skovbrande/naturbrande</t>
  </si>
  <si>
    <t>Hedebølger</t>
  </si>
  <si>
    <t>Ekstrem kulde</t>
  </si>
  <si>
    <t>Tyfoner</t>
  </si>
  <si>
    <t>Orkaner</t>
  </si>
  <si>
    <t>Cykloner</t>
  </si>
  <si>
    <t>Jordskælv</t>
  </si>
  <si>
    <t>Undersøgelsesregionen, der bruges til at beregne rumlige indikatorer for befolkningen i {city_name}, der præsenteres i denne rapport, er blevet fremhævet på kortet nedenfor ved hjælp af parallel linjeskygge.</t>
  </si>
  <si>
    <t>Studieregion</t>
  </si>
  <si>
    <t>Kortforklaring</t>
  </si>
  <si>
    <t>skæringspunktet mellem administrativ grænse og bygrænse</t>
  </si>
  <si>
    <t>Ingen</t>
  </si>
  <si>
    <t>Ja</t>
  </si>
  <si>
    <t>{percent} af befolkningen i {city_name} bor inden for 500 m fra offentlig transport</t>
  </si>
  <si>
    <t>{percent} af befolkningen i {city_name} bor inden for 500 m fra offentlig transport med 20 minutter eller bedre gennemsnitlig hverdagsfrekvens</t>
  </si>
  <si>
    <t>{percent} af befolkningen i {city_name} bor i kvarterer, der opfylder tærsklen for befolkningstæthed for 80 % sandsynlighed for at deltage i enhver vandring for at transportere ({n} personer {per_unit})</t>
  </si>
  <si>
    <t>{percent} af befolkningen i {city_name} bor i kvarterer, der opfylder tærsklen for gadekryds tæthed for 80 % sandsynlighed for at deltage i enhver gang for transport ({n} vejkryds {per_unit})</t>
  </si>
  <si>
    <t>{percent} af befolkningen i {city_name} bor i kvarterer med gangbarhedsscore under medianen for 25 byer internationalt (boks 1)</t>
  </si>
  <si>
    <t>% af befolkningen med adgang inden for 500 m til:</t>
  </si>
  <si>
    <t>Befolkningstæthed i kvarteret (pr. km²)</t>
  </si>
  <si>
    <t>Kvarterskryds tæthed (pr. km²)</t>
  </si>
  <si>
    <t>Median- og interkvartilinterval for 25 byer internationalt (boks 1)</t>
  </si>
  <si>
    <t>De geografiske fordelingskort i denne rapport viser resultater for områder med befolkningsestimater i henhold til {config[population][name]}.</t>
  </si>
  <si>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</si>
  <si>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</si>
  <si>
    <t>Procentdel af befolkningen med adgang til faciliteter inden for 500 meter (m)</t>
  </si>
  <si>
    <t>Gangbarhed og destinationsadgang</t>
  </si>
  <si>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</si>
  <si>
    <t>Score for politiktilstedeværelse</t>
  </si>
  <si>
    <t>Tilstedeværelse af by- og transportpolitikker, der understøtter sundhed og bæredygtighed</t>
  </si>
  <si>
    <t>Politikkvalitetsscore</t>
  </si>
  <si>
    <t>Politikkvalitetsvurdering for målbare politikker i overensstemmelse med evidens om sunde byer</t>
  </si>
  <si>
    <t>Uligheder i gangbarhed</t>
  </si>
  <si>
    <t>Boks 1: Lancet Global Health Series-undersøgelsen af 25 byer internationalt</t>
  </si>
  <si>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</si>
  <si>
    <t>Bydesigntærskler for at fremme gang</t>
  </si>
  <si>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</si>
  <si>
    <t>Sandsynlighed for at deltage i enhver gang til transport</t>
  </si>
  <si>
    <t>5.700 mennesker pr. km²</t>
  </si>
  <si>
    <t>måltærskel</t>
  </si>
  <si>
    <t>Er på linje med beviser for sunde byer</t>
  </si>
  <si>
    <t>Evidens-informeret tærskel</t>
  </si>
  <si>
    <t>Nøgle: Ja ✔ Nej ✘ Blandet ✔/✘ Ikke relevant -</t>
  </si>
  <si>
    <t>Integrerede byplanlægningspolitikker for sundhed og bæredygtighed</t>
  </si>
  <si>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</si>
  <si>
    <t>Transportpolitik med sundhedsfokuserede handlinger</t>
  </si>
  <si>
    <t>Bypolitik med sundhedsfokuserede handlinger</t>
  </si>
  <si>
    <t>Krav til sundhedskonsekvensvurdering i by-/transportpolitik</t>
  </si>
  <si>
    <t>By-/transportpolitikken sigter eksplicit på integreret byplanlægning</t>
  </si>
  <si>
    <t>Offentligt tilgængelige oplysninger om offentlige udgifter til forskellige transportformer</t>
  </si>
  <si>
    <t>Politikker for gangbarhed og destinationsadgang</t>
  </si>
  <si>
    <t>Trafiksikkerhedskrav</t>
  </si>
  <si>
    <t>Grænser for udvikling af grønne boliger</t>
  </si>
  <si>
    <t>Blanding af boligtyper/størrelser</t>
  </si>
  <si>
    <t>Blanding af lokale destinationer til dagliglivet</t>
  </si>
  <si>
    <t>Tæt på hverdagens destinationer</t>
  </si>
  <si>
    <t>Forholdet mellem job og bolig</t>
  </si>
  <si>
    <t>Sunde madmiljøer</t>
  </si>
  <si>
    <t>Kriminalitetsforebyggelse gennem miljødesign</t>
  </si>
  <si>
    <t>Politikker for klimaresistente byer</t>
  </si>
  <si>
    <t>Byens luftkvalitet og naturbaserede løsninger</t>
  </si>
  <si>
    <t>Politikker for luftkvalitet i byer og naturbaserede løsninger</t>
  </si>
  <si>
    <t>Transportpolitikker for at begrænse luftforurening</t>
  </si>
  <si>
    <t>Politikker for arealanvendelse for at reducere eksponeringen af luftforurening</t>
  </si>
  <si>
    <t>Krav til trækroner og grønne områder i byerne</t>
  </si>
  <si>
    <t>Beskyttelse og fremme af biodiversitet i byer</t>
  </si>
  <si>
    <t>Reduktion af risiko for klimakatastrofer</t>
  </si>
  <si>
    <t>lyset af klimaændringer skal byggede miljøer designes til at reducere sundhedspåvirkningerne af stadig hyppigere og mere alvorlige ekstreme vejrbegivenheder, såsom hedebølger, oversvømmelser, skovbrande/naturbrande og ekstreme storme.</t>
  </si>
  <si>
    <t>Tilpasnings- og katastroferisikoreduktionsstrategier</t>
  </si>
  <si>
    <t>Offentlig transportpolitik</t>
  </si>
  <si>
    <t>Offentlig frirumspolitik</t>
  </si>
  <si>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</si>
  <si>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</si>
  <si>
    <t>Fuldstændige detaljer om data og metoder er tilgængelige på</t>
  </si>
  <si>
    <t>Dette arbejde er licenseret under en Creative Commons CC BY-NC Attribution-NonCommercial 4.0 International License.</t>
  </si>
  <si>
    <t>Medlemmer af byens team: {author_names}</t>
  </si>
  <si>
    <t>Tilføj forfatternavne ved at redigere regionskonfigurationsrapporteringsindstillinger ved hjælp af en teksteditor</t>
  </si>
  <si>
    <t>Rapportdesign og redigering: {editor_names}</t>
  </si>
  <si>
    <t>Oversættelse: {translation_names}</t>
  </si>
  <si>
    <t>Politikgennemgang udført af</t>
  </si>
  <si>
    <t>Zpráva 1000 Cities Challenge</t>
  </si>
  <si>
    <t>Politické ukazatele pro zdravá a udržitelná města</t>
  </si>
  <si>
    <t>Politické a prostorové indikátory pro zdravá a udržitelná města</t>
  </si>
  <si>
    <t>Prostorové indikátory pro zdravá a udržitelná města</t>
  </si>
  <si>
    <t>Předběžná zjištění nejsou určena ke zveřejnění, dokud nebudou ověřeny a schváleny výsledky a interpretace.</t>
  </si>
  <si>
    <t>Data kontrolního seznamu zásad se nepodařilo načíst a byla přeskočena. Viz https://healthysustainablecities.github.io/software/#Policy-checklist</t>
  </si>
  <si>
    <t>POUZE NÁVRH</t>
  </si>
  <si>
    <t>kontextu {city_name}</t>
  </si>
  <si>
    <t>Úrovně vlády</t>
  </si>
  <si>
    <t>Demografie a rovnost ve zdraví</t>
  </si>
  <si>
    <t>Kontext ekologické katastrofy</t>
  </si>
  <si>
    <t>Další kontext</t>
  </si>
  <si>
    <t>Upravte konfigurační soubor oblasti tak, aby poskytoval kontext pozadí pro vaši studijní oblast. Stručně prosím shrňte polohu, historii a topografii, je-li to relevantní.</t>
  </si>
  <si>
    <t>Pro město {city_name} byly analyzovány následující úrovně vládní politiky: {policy_checklist_levels}.</t>
  </si>
  <si>
    <t>Mezi environmentální rizika, která mohou ovlivnit městskou oblast v nadcházejícím desetiletí, patří: {policy_checklist_hazards}.</t>
  </si>
  <si>
    <t>Uveďte podrobně jakákoli další hlediska týkající se nerovností v oblasti městského zdraví a geografie v tomto městě nebo úvahy o datech, které by mohly ovlivnit interpretaci zjištění.</t>
  </si>
  <si>
    <t>Místní</t>
  </si>
  <si>
    <t>Metropolitní</t>
  </si>
  <si>
    <t>Regionální</t>
  </si>
  <si>
    <t>Stát</t>
  </si>
  <si>
    <t>Národní</t>
  </si>
  <si>
    <t>Prudké bouřky</t>
  </si>
  <si>
    <t>Povodně</t>
  </si>
  <si>
    <t>Požáry křoví/divoké požáry</t>
  </si>
  <si>
    <t>Vlny veder</t>
  </si>
  <si>
    <t>Extrémní zima</t>
  </si>
  <si>
    <t>tajfuny</t>
  </si>
  <si>
    <t>Hurikány</t>
  </si>
  <si>
    <t>Cyklony</t>
  </si>
  <si>
    <t>Zemětřesení</t>
  </si>
  <si>
    <t>Oblast studie použitá k výpočtu prostorových ukazatelů pro populaci {city_name} uvedená v této zprávě byla zvýrazněna na mapě níže pomocí stínování paralelních čar.</t>
  </si>
  <si>
    <t>Studijní region</t>
  </si>
  <si>
    <t>Legenda mapy</t>
  </si>
  <si>
    <t>Administrativní hranice ({source})</t>
  </si>
  <si>
    <t>křižovatka správní hranice a městské hranice</t>
  </si>
  <si>
    <t>Ne</t>
  </si>
  <si>
    <t>Ano</t>
  </si>
  <si>
    <t>{percent} populace v {city_name} žije do 500 metrů od veřejné dopravy</t>
  </si>
  <si>
    <t>{percent} populace ve městě {city_name} žije do 500 m od veřejné dopravy s průměrnou frekvencí 20 minut nebo lepší v pracovní dny</t>
  </si>
  <si>
    <t>{percent} populace v {city_name} žije do 500 m od veřejného prostranství o velikosti alespoň 1,5 hektaru</t>
  </si>
  <si>
    <t>{percent} populace v {city_name} žije ve čtvrtích, které splňují práh hustoty zalidnění pro 80% pravděpodobnost, že se zapojí do jakékoli pěší dopravy ({n} lidí {per_unit})</t>
  </si>
  <si>
    <t>{percent} populace v {city_name} žije ve čtvrtích, které splňují prahovou hodnotu hustoty křižovatek pro 80% pravděpodobnost, že se zapojí do jakékoli chůze za účelem dopravy ({n} křižovatek {per_unit})</t>
  </si>
  <si>
    <t>{percent} populace v {city_name} žije ve čtvrtích s hodnocením pěší dostupnosti pod průměrem 25 měst v mezinárodním měřítku (rámeček 1)</t>
  </si>
  <si>
    <t>% populace s přístupem do 500 m k:</t>
  </si>
  <si>
    <t>Hustota obyvatelstva v sousedství (na km²)</t>
  </si>
  <si>
    <t>Hustota křižovatek sousedství (na km²)</t>
  </si>
  <si>
    <t>Medián a mezikvartilový rozsah pro 25 měst v mezinárodním měřítku (rámeček 1)</t>
  </si>
  <si>
    <t>Mapy prostorového rozložení uvedené v této zprávě zobrazují výsledky pro oblasti s odhady populace podle {config[population][name]}.</t>
  </si>
  <si>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</si>
  <si>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</si>
  <si>
    <t>Procento obyvatel s přístupem k vybavení do 500 metrů (m)</t>
  </si>
  <si>
    <t>Pěší dostupnost a přístup k cíli</t>
  </si>
  <si>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</si>
  <si>
    <t>Skóre přítomnosti zásad</t>
  </si>
  <si>
    <t>Přítomnost městských a dopravních politik podporujících zdraví a udržitelnost</t>
  </si>
  <si>
    <t>Skóre kvality zásad</t>
  </si>
  <si>
    <t>Hodnocení kvality politiky pro měřitelné politiky v souladu s důkazy o zdravých městech</t>
  </si>
  <si>
    <t>Nesrovnalosti v pochůznosti</t>
  </si>
  <si>
    <t>Rámeček 1: Studie Lancet Global Health Series 25 měst po celém světě</t>
  </si>
  <si>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</si>
  <si>
    <t>Městské prahy pro podporu chůze</t>
  </si>
  <si>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</si>
  <si>
    <t>Pravděpodobnost zapojení se do jakékoli chůze pro dopravu</t>
  </si>
  <si>
    <t>5 700 lidí na km²</t>
  </si>
  <si>
    <t>cílový práh</t>
  </si>
  <si>
    <t>V souladu s důkazy zdravých měst</t>
  </si>
  <si>
    <t>Prahová hodnota založená na důkazech</t>
  </si>
  <si>
    <t>Klíč: Ano ✔ Ne ✘ Smíšené ✔/✘ Nelze použít -</t>
  </si>
  <si>
    <t>Integrované politiky městského plánování pro zdraví a udržitelnost</t>
  </si>
  <si>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</si>
  <si>
    <t>Dopravní politika s opatřeními zaměřenými na zdraví</t>
  </si>
  <si>
    <t>Městská politika s akcemi zaměřenými na zdraví</t>
  </si>
  <si>
    <t>Požadavky na hodnocení vlivu na zdraví v městské/dopravní politice</t>
  </si>
  <si>
    <t>Městská/dopravní politika se výslovně zaměřuje na integrované městské plánování</t>
  </si>
  <si>
    <t>Veřejně dostupné informace o vládních výdajích na různé druhy dopravy</t>
  </si>
  <si>
    <t>Zásady schůdnosti a přístupu k cíli</t>
  </si>
  <si>
    <t>Požadavky na bezpečnost provozu</t>
  </si>
  <si>
    <t>Omezení výstavby bydlení na zelené louce</t>
  </si>
  <si>
    <t>Směs typů/velikostí krytu</t>
  </si>
  <si>
    <t>Směs místních destinací pro každodenní život</t>
  </si>
  <si>
    <t>Blízká vzdálenost do destinací každodenního života</t>
  </si>
  <si>
    <t>Poměr pracovních míst k bydlení</t>
  </si>
  <si>
    <t>Prostředí zdravé výživy</t>
  </si>
  <si>
    <t>Prevence kriminality prostřednictvím environmentálního designu</t>
  </si>
  <si>
    <t>Politika měst odolných vůči klimatu</t>
  </si>
  <si>
    <t>Kvalita ovzduší ve městech a řešení založená na přírodě</t>
  </si>
  <si>
    <t>Politika kvality ovzduší ve městech a řešení založená na přírodě</t>
  </si>
  <si>
    <t>Dopravní politika k omezení znečištění ovzduší</t>
  </si>
  <si>
    <t>Politiky využívání půdy ke snížení expozice znečištění ovzduší</t>
  </si>
  <si>
    <t>Požadavky na koruny stromů a městskou zeleň</t>
  </si>
  <si>
    <t>Ochrana a podpora městské biodiverzity</t>
  </si>
  <si>
    <t>Snížení rizika klimatických katastrof</t>
  </si>
  <si>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</si>
  <si>
    <t>Adaptace a strategie snižování rizika katastrof</t>
  </si>
  <si>
    <t>Politika veřejné dopravy</t>
  </si>
  <si>
    <t>Politika veřejného otevřeného prostoru</t>
  </si>
  <si>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</si>
  <si>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</si>
  <si>
    <t>Úplné podrobnosti o datech a metodách jsou k dispozici na</t>
  </si>
  <si>
    <t>Po kontrole výsledků pro vaše město poskytněte kontextový souhrn úpravou textu „souhrnu“ pro každý nakonfigurovaný jazyk v konfiguračním souboru regionu.</t>
  </si>
  <si>
    <t>Tato práce podléhá licenci Creative Commons CC BY-NC Attribution-NonCommercial 4.0 International License.</t>
  </si>
  <si>
    <t>Členové městského týmu: {author_names}</t>
  </si>
  <si>
    <t>Přidejte jména autorů úpravou nastavení hlášení konfigurace regionu pomocí textového editoru</t>
  </si>
  <si>
    <t>Návrh a úprava přehledu: {editor_names}</t>
  </si>
  <si>
    <t>Překlad: {translation_names}</t>
  </si>
  <si>
    <t>Přezkum zásad provedl</t>
  </si>
  <si>
    <t>Beleidsindicatoren voor gezonde en duurzame steden</t>
  </si>
  <si>
    <t>Beleids- en ruimtelijke indicatoren voor gezonde en duurzame steden</t>
  </si>
  <si>
    <t>Ruimtelijke indicatoren voor gezonde en duurzame steden</t>
  </si>
  <si>
    <t>Voorlopige bevindingen zijn niet bedoeld voor publieke publicatie totdat de resultaten en interpretaties zijn gevalideerd en goedgekeurd.</t>
  </si>
  <si>
    <t>Gegevens uit de beleidschecklist kunnen niet worden geladen en zijn overgeslagen. Zie https://healthysustainablecities.github.io/software/#Policy-checklist</t>
  </si>
  <si>
    <t>ALLEEN ONTWERP</t>
  </si>
  <si>
    <t>Bestuursniveaus</t>
  </si>
  <si>
    <t>Demografie en gelijkheid in de gezondheidszorg</t>
  </si>
  <si>
    <t>Context van milieurampen</t>
  </si>
  <si>
    <t>Aanvullende context</t>
  </si>
  <si>
    <t>Bewerk het regioconfiguratiebestand om achtergrondcontext voor uw studieregio te bieden. Geef een korte samenvatting van de locatie, geschiedenis en topografie, indien relevant.</t>
  </si>
  <si>
    <t>De volgende niveaus van overheidsbeleid zijn geanalyseerd voor {city_name}: {policy_checklist_levels}.</t>
  </si>
  <si>
    <t>Milieugevaren die het komende decennium van invloed kunnen zijn op het stedelijk gebied zijn onder meer: {policy_checklist_hazards}.</t>
  </si>
  <si>
    <t>Geef een gedetailleerd overzicht van eventuele andere overwegingen met betrekking tot ongelijkheid op gezondheidsgebied in de stad en de geografie in deze stad, of gegevensoverwegingen die de interpretatie van bevindingen zouden kunnen beïnvloeden.</t>
  </si>
  <si>
    <t>Lokaal</t>
  </si>
  <si>
    <t>Metropolitaans</t>
  </si>
  <si>
    <t>Regionaal</t>
  </si>
  <si>
    <t>Staat</t>
  </si>
  <si>
    <t>Nationaal</t>
  </si>
  <si>
    <t>Zware stormen</t>
  </si>
  <si>
    <t>Overstromingen</t>
  </si>
  <si>
    <t>Bosbranden/bosbranden</t>
  </si>
  <si>
    <t>Hittegolven</t>
  </si>
  <si>
    <t>Extreem koud</t>
  </si>
  <si>
    <t>Tyfoons</t>
  </si>
  <si>
    <t>Orkanen</t>
  </si>
  <si>
    <t>Cyclonen</t>
  </si>
  <si>
    <t>Aardbevingen</t>
  </si>
  <si>
    <t>De studieregio die wordt gebruikt om de ruimtelijke indicatoren te berekenen voor de bevolking van {city_name} die in dit rapport wordt gepresenteerd, is op de onderstaande kaart gemarkeerd met behulp van parallelle lijnarcering.</t>
  </si>
  <si>
    <t>Studie regio</t>
  </si>
  <si>
    <t>Kaartlegenda</t>
  </si>
  <si>
    <t>Administratieve grens ({source})</t>
  </si>
  <si>
    <t>Grens studiegebied ({source})</t>
  </si>
  <si>
    <t>snijpunt van de administratieve grens en de stedelijke grens</t>
  </si>
  <si>
    <t>M</t>
  </si>
  <si>
    <t>Nee</t>
  </si>
  <si>
    <t>{percent} van de bevolking in {city_name} woont binnen 500 meter van het openbaar vervoer</t>
  </si>
  <si>
    <t>{percent} van de bevolking in {city_name} woont binnen 500 meter van de openbare ruimte van minimaal 1,5 hectare groot</t>
  </si>
  <si>
    <t>% van de bevolking met toegang binnen 500 meter tot:</t>
  </si>
  <si>
    <t>Bevolkingsdichtheid van de buurt (per km²)</t>
  </si>
  <si>
    <t>Dichtheid kruispunten in de buurt (per km²)</t>
  </si>
  <si>
    <t>Mediaan en interkwartielbereik voor 25 internationale steden (Box 1)</t>
  </si>
  <si>
    <t>De ruimtelijke distributiekaarten in dit rapport geven resultaten weer voor gebieden met bevolkingsschattingen volgens {config[population][name]}.</t>
  </si>
  <si>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</si>
  <si>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</si>
  <si>
    <t>Percentage van de bevolking met toegang tot voorzieningen binnen 500 meter (m)</t>
  </si>
  <si>
    <t>Beloopbaarheid en toegang tot bestemmingen</t>
  </si>
  <si>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</si>
  <si>
    <t>Score voor beleidsaanwezigheid</t>
  </si>
  <si>
    <t>Aanwezigheid van stedelijk en transportbeleid ter ondersteuning van gezondheid en duurzaamheid</t>
  </si>
  <si>
    <t>Kwaliteitsscore van beleid</t>
  </si>
  <si>
    <t>Beleidskwaliteitsbeoordeling voor meetbaar beleid afgestemd op bewijsmateriaal over gezonde steden</t>
  </si>
  <si>
    <t>Ongelijkheid op het gebied van beloopbaarheid</t>
  </si>
  <si>
    <t>Box 1: De Lancet Global Health Series-studie van 25 internationale steden</t>
  </si>
  <si>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</si>
  <si>
    <t>Stedenbouwkundige drempels om lopen te bevorderen</t>
  </si>
  <si>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</si>
  <si>
    <t>Waarschijnlijkheid dat u gaat wandelen voor transport</t>
  </si>
  <si>
    <t>5.700 mensen per km²</t>
  </si>
  <si>
    <t>doeldrempel</t>
  </si>
  <si>
    <t>Sluit aan bij het bewijs van gezonde steden</t>
  </si>
  <si>
    <t>Op bewijs gebaseerde drempel</t>
  </si>
  <si>
    <t>Legende: Ja ✔ Nee ✘ Gemengd ✔/✘ Niet van toepassing -</t>
  </si>
  <si>
    <t>Geïntegreerd stadsplanningsbeleid voor gezondheid en duurzaamheid</t>
  </si>
  <si>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</si>
  <si>
    <t>Transportbeleid met op gezondheid gerichte acties</t>
  </si>
  <si>
    <t>Stedelijk beleid met op gezondheid gerichte acties</t>
  </si>
  <si>
    <t>Vereisten voor gezondheidseffectbeoordelingen in het stads- en transportbeleid</t>
  </si>
  <si>
    <t>Het stads- en transportbeleid streeft expliciet naar geïntegreerde stadsplanning</t>
  </si>
  <si>
    <t>Openbaar beschikbare informatie over overheidsuitgaven voor verschillende vervoerswijzen</t>
  </si>
  <si>
    <t>Beleid inzake beloopbaarheid en toegang tot bestemmingen</t>
  </si>
  <si>
    <t>Verkeersveiligheidseisen</t>
  </si>
  <si>
    <t>Grenzen aan de ontwikkeling van groene woningen</t>
  </si>
  <si>
    <t>Mengsel van woningtypen/groottes</t>
  </si>
  <si>
    <t>Mix van lokale bestemmingen voor het dagelijks leven</t>
  </si>
  <si>
    <t>Korte afstand tot dagelijkse woonbestemmingen</t>
  </si>
  <si>
    <t>Verhouding tussen banen en woningen</t>
  </si>
  <si>
    <t>Gezonde voedselomgevingen</t>
  </si>
  <si>
    <t>Misdaadpreventie door middel van milieuontwerp</t>
  </si>
  <si>
    <t>Beleid voor klimaatbestendige steden</t>
  </si>
  <si>
    <t>Stedelijke luchtkwaliteit en op de natuur gebaseerde oplossingen</t>
  </si>
  <si>
    <t>Stedelijke luchtkwaliteit en beleid voor op de natuur gebaseerde oplossingen</t>
  </si>
  <si>
    <t>Transportbeleid om de luchtvervuiling te beperken</t>
  </si>
  <si>
    <t>Beleid inzake landgebruik om de blootstelling aan luchtverontreiniging te verminderen</t>
  </si>
  <si>
    <t>Vereisten voor boomkruinen en stedelijke vergroening</t>
  </si>
  <si>
    <t>Bescherming en bevordering van stedelijke biodiversiteit</t>
  </si>
  <si>
    <t>Risicovermindering van klimaatrampen</t>
  </si>
  <si>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</si>
  <si>
    <t>Strategieën voor aanpassing en rampenrisicovermindering</t>
  </si>
  <si>
    <t>Openbaar vervoersbeleid</t>
  </si>
  <si>
    <t>Beleid voor de openbare ruimte</t>
  </si>
  <si>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</si>
  <si>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</si>
  <si>
    <t>Volledige details van de gegevens en methoden zijn beschikbaar op</t>
  </si>
  <si>
    <t>Dit werk valt onder een Creative Commons CC BY-NC Attribution-NonCommercial 4.0 International-licentie.</t>
  </si>
  <si>
    <t>Leden van het stadsteam: {author_names}</t>
  </si>
  <si>
    <t>Voeg auteursnamen toe door de rapportage-instellingen voor regioconfiguraties te bewerken met een teksteditor</t>
  </si>
  <si>
    <t>Ontwerp en redactie van rapporten: {editor_names}</t>
  </si>
  <si>
    <t>Vertaling: {translation_names}</t>
  </si>
  <si>
    <t>Beleidsonderzoek uitgevoerd door</t>
  </si>
  <si>
    <t>Bericht zur 1000 Cities Challenge</t>
  </si>
  <si>
    <t>Politische Indikatoren für gesunde und nachhaltige Städte</t>
  </si>
  <si>
    <t>Politische und räumliche Indikatoren für gesunde und nachhaltige Städte</t>
  </si>
  <si>
    <t>Raumindikatoren für gesunde und nachhaltige Städte</t>
  </si>
  <si>
    <t>Vorläufige Ergebnisse sind nicht zur Veröffentlichung vorgesehen, bis die Ergebnisse und Interpretationen validiert und genehmigt wurden.</t>
  </si>
  <si>
    <t>Die Daten der Richtlinien-Checkliste konnten nicht geladen werden und wurden übersprungen. Siehe https://healthysustainablecities.github.io/software/#Policy-checklist</t>
  </si>
  <si>
    <t>NUR ENTWURF</t>
  </si>
  <si>
    <t>{city_name}-Kontext</t>
  </si>
  <si>
    <t>Regierungsebenen</t>
  </si>
  <si>
    <t>Demografie und gesundheitliche Chancengleichheit</t>
  </si>
  <si>
    <t>Kontext einer Umweltkatastrophe</t>
  </si>
  <si>
    <t>Zusätzlicher Kontext</t>
  </si>
  <si>
    <t>Bearbeiten Sie die Regionskonfigurationsdatei, um Hintergrundkontext für Ihre Studienregion bereitzustellen. Bitte fassen Sie gegebenenfalls kurz den Standort, die Geschichte und die Topografie zusammen.</t>
  </si>
  <si>
    <t>Die folgenden Ebenen der Regierungspolitik wurden für {city_name} analysiert: {policy_checklist_levels}.</t>
  </si>
  <si>
    <t>Zu den Umweltgefahren, die sich im kommenden Jahrzehnt auf das Stadtgebiet auswirken könnten, gehören: {policy_checklist_hazards}.</t>
  </si>
  <si>
    <t>Erläutern Sie alle anderen Überlegungen im Zusammenhang mit städtischen gesundheitlichen Ungleichheiten und der Geografie dieser Stadt oder Datenüberlegungen, die die Interpretation der Ergebnisse beeinflussen könnten.</t>
  </si>
  <si>
    <t>Zustand</t>
  </si>
  <si>
    <t>Schwere Stürme</t>
  </si>
  <si>
    <t>Überschwemmungen</t>
  </si>
  <si>
    <t>Buschfeuer/Waldbrände</t>
  </si>
  <si>
    <t>Hitzewellen</t>
  </si>
  <si>
    <t>Taifune</t>
  </si>
  <si>
    <t>Erdbeben</t>
  </si>
  <si>
    <t>Die Untersuchungsregion, die zur Berechnung räumlicher Indikatoren für die in diesem Bericht dargestellte Bevölkerung von {city_name} verwendet wurde, wurde in der Karte unten durch parallele Linienschattierung hervorgehoben.</t>
  </si>
  <si>
    <t>Studienregion</t>
  </si>
  <si>
    <t>Kartenlegende</t>
  </si>
  <si>
    <t>Verwaltungsgrenze ({source})</t>
  </si>
  <si>
    <t>Stadtgrenze ({source})</t>
  </si>
  <si>
    <t>Grenze der Untersuchungsregion ({source})</t>
  </si>
  <si>
    <t>Schnittpunkt von Verwaltungsgrenze und Stadtgrenze</t>
  </si>
  <si>
    <t>% der Bevölkerung mit Zugang im Umkreis von 500 m zu:</t>
  </si>
  <si>
    <t>Bevölkerungsdichte in der Nachbarschaft (pro km²)</t>
  </si>
  <si>
    <t>Median- und Interquartilbereich für 25 Städte weltweit (Kasten 1)</t>
  </si>
  <si>
    <t>Die in diesem Bericht vorgestellten räumlichen Verteilungskarten zeigen Ergebnisse für Gebiete mit Bevölkerungsschätzungen gemäß {config[population][name]}.</t>
  </si>
  <si>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</si>
  <si>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</si>
  <si>
    <t>Prozentsatz der Bevölkerung mit Zugang zu Einrichtungen im Umkreis von 500 Metern (m)</t>
  </si>
  <si>
    <t>Bewertung der Richtlinienpräsenz</t>
  </si>
  <si>
    <t>Vorhandensein einer Stadt- und Verkehrspolitik, die Gesundheit und Nachhaltigkeit unterstützt</t>
  </si>
  <si>
    <t>Qualitätsbewertung der Richtlinie</t>
  </si>
  <si>
    <t>Kasten 1: Die Lancet Global Health Series-Studie mit 25 Städten weltweit</t>
  </si>
  <si>
    <t>Städtebauliche Schwellen zur Förderung des Gehens</t>
  </si>
  <si>
    <t>5.700 Menschen pro km²</t>
  </si>
  <si>
    <t>Zielschwelle</t>
  </si>
  <si>
    <t>Entspricht den Erkenntnissen zu gesunden Städten</t>
  </si>
  <si>
    <t>Evidenzbasierte Schwelle</t>
  </si>
  <si>
    <t>Schlüssel: Ja ✔ Nein ✘ Gemischt ✔/✘ Nicht anwendbar -</t>
  </si>
  <si>
    <t>Integrierte Stadtplanungspolitik für Gesundheit und Nachhaltigkeit</t>
  </si>
  <si>
    <t>Verkehrspolitik mit gesundheitsorientierten Maßnahmen</t>
  </si>
  <si>
    <t>Stadtpolitik mit gesundheitsorientierten Maßnahmen</t>
  </si>
  <si>
    <t>Anforderungen an die Gesundheitsfolgenabschätzung in der Stadt-/Verkehrspolitik</t>
  </si>
  <si>
    <t>Die Stadt-/Verkehrspolitik zielt explizit auf eine integrierte Stadtplanung ab</t>
  </si>
  <si>
    <t>Öffentlich verfügbare Informationen zu den Staatsausgaben für verschiedene Verkehrsträger</t>
  </si>
  <si>
    <t>Richtlinien zur Begehbarkeit und zum Zielzugang</t>
  </si>
  <si>
    <t>Anforderungen an die Verkehrssicherheit</t>
  </si>
  <si>
    <t>Grenzen für die Entwicklung von Wohnraum auf der grünen Wiese</t>
  </si>
  <si>
    <t>Mischung aus Wohnungstypen/-größen</t>
  </si>
  <si>
    <t>Mischung aus lokalen Zielen für das tägliche Leben</t>
  </si>
  <si>
    <t>In unmittelbarer Nähe zu den Zielen des täglichen Lebens</t>
  </si>
  <si>
    <t>Verhältnis von Arbeitsplätzen zu Wohnraum</t>
  </si>
  <si>
    <t>Gesunde Lebensmittelumgebungen</t>
  </si>
  <si>
    <t>Klimaresiliente Städtepolitik</t>
  </si>
  <si>
    <t>Stadtluftqualität und naturbasierte Lösungen</t>
  </si>
  <si>
    <t>Verkehrspolitik zur Begrenzung der Luftverschmutzung</t>
  </si>
  <si>
    <t>Landnutzungsrichtlinien zur Reduzierung der Luftverschmutzung</t>
  </si>
  <si>
    <t>Anforderungen an Baumkronen und Stadtbegrünung</t>
  </si>
  <si>
    <t>Schutz und Förderung der städtischen Biodiversität</t>
  </si>
  <si>
    <t>Reduzierung des Risikos von Klimakatastrophen</t>
  </si>
  <si>
    <t>ÖPNV-Politik</t>
  </si>
  <si>
    <t>Öffentliche Freiraumpolitik</t>
  </si>
  <si>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</si>
  <si>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</si>
  <si>
    <t>Ausführliche Informationen zu den Daten und Methoden finden Sie unter</t>
  </si>
  <si>
    <t>Dieses Werk ist unter einer Creative Commons CC BY-NC Attribution-NonCommercial 4.0 International License lizenziert.</t>
  </si>
  <si>
    <t>Mitglieder des Stadtteams: {author_names}</t>
  </si>
  <si>
    <t>Fügen Sie Autorennamen hinzu, indem Sie die Berichtseinstellungen für die Regionskonfiguration mit einem Texteditor bearbeiten</t>
  </si>
  <si>
    <t>Berichtsdesign und -bearbeitung: {editor_names}</t>
  </si>
  <si>
    <t>Übersetzung: {translation_names}</t>
  </si>
  <si>
    <t>Richtlinienüberprüfung durchgeführt von</t>
  </si>
  <si>
    <t>Rahoton Kalubalen Birane 1000</t>
  </si>
  <si>
    <t>Manufofin manufofi don birane masu lafiya da dorewa</t>
  </si>
  <si>
    <t>Manufofin siyasa da sararin samaniya don birane masu lafiya da dorewa</t>
  </si>
  <si>
    <t>Alamun sararin samaniya don birane masu lafiya da dorewa</t>
  </si>
  <si>
    <t>Ba a yi nufin binciken farko don sakin jama'a ba har sai an tabbatar da sakamako da fassarorin da aka amince da su.</t>
  </si>
  <si>
    <t>Ba za a iya loda bayanan lissafin manufofin ba kuma an tsallake su. Duba https://healthysustainablecities.github.io/software/#Policy-checklist</t>
  </si>
  <si>
    <t>DAFATAR KAWAI</t>
  </si>
  <si>
    <t>Matakan gwamnati</t>
  </si>
  <si>
    <t>Alkaluman jama'a da daidaiton lafiya</t>
  </si>
  <si>
    <t>Halin bala'in muhalli</t>
  </si>
  <si>
    <t>Ƙarin mahallin</t>
  </si>
  <si>
    <t>Shirya fayil ɗin sanyi na yanki don samar da bayanan baya don yankin binciken ku. Da fatan za a taƙaice wuri, tarihi da hoton ƙasa, kamar yadda ya dace.</t>
  </si>
  <si>
    <t>An yi nazarin matakan manufofin gwamnati masu zuwa don {city_name}: {policy_checklist_levels}.</t>
  </si>
  <si>
    <t>Cikakkun duk wasu la'akari da suka shafi rashin daidaiton lafiyar birane da yanayin ƙasa a cikin wannan birni, ko la'akari da bayanan da za su iya yin tasiri ga fassarar binciken.</t>
  </si>
  <si>
    <t>Na gida</t>
  </si>
  <si>
    <t>Yanki</t>
  </si>
  <si>
    <t>Jiha</t>
  </si>
  <si>
    <t>Ƙasa</t>
  </si>
  <si>
    <t>Guguwa mai tsanani</t>
  </si>
  <si>
    <t>Ambaliyar ruwa</t>
  </si>
  <si>
    <t>Gobarar daji / gobarar daji</t>
  </si>
  <si>
    <t>Hawan zafi</t>
  </si>
  <si>
    <t>Tsananin sanyi</t>
  </si>
  <si>
    <t>Guguwa</t>
  </si>
  <si>
    <t>Girgizar kasa</t>
  </si>
  <si>
    <t>Yankin karatu</t>
  </si>
  <si>
    <t>Labarin taswira</t>
  </si>
  <si>
    <t>Iyakar gudanarwa ({source})</t>
  </si>
  <si>
    <t>Iyakar birni ({source})</t>
  </si>
  <si>
    <t>Iyakar yanki na nazari ({source})</t>
  </si>
  <si>
    <t>mahada na gudanarwa iyaka da birane iyaka</t>
  </si>
  <si>
    <t>A'a</t>
  </si>
  <si>
    <t>Ee</t>
  </si>
  <si>
    <t>% na yawan jama'a tare da shiga tsakanin 500m zuwa:</t>
  </si>
  <si>
    <t>Matsakaici da tsaka-tsaki na birane 25 na duniya (Akwatin 1)</t>
  </si>
  <si>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</si>
  <si>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</si>
  <si>
    <t>Tafiya da samun damar zuwa</t>
  </si>
  <si>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</si>
  <si>
    <t>Makin kasancewar manufa</t>
  </si>
  <si>
    <t>Kasancewar manufofin birane da sufuri masu tallafawa lafiya da dorewa</t>
  </si>
  <si>
    <t>Maki ingancin manufofin</t>
  </si>
  <si>
    <t>Ƙimar ingancin manufofin don manufofin ma'auni masu dacewa da shaida akan birane masu lafiya</t>
  </si>
  <si>
    <t>Rashin daidaiton tafiya</t>
  </si>
  <si>
    <t>Akwati 1: Nazarin Lancet Global Health Series na birane 25 na duniya</t>
  </si>
  <si>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</si>
  <si>
    <t>Ƙofar ƙirar birni don haɓaka tafiya</t>
  </si>
  <si>
    <t>Yiwuwar shiga kowane tafiya don sufuri</t>
  </si>
  <si>
    <t>manufa kofa</t>
  </si>
  <si>
    <t>Daidaita da shaidar birane masu lafiya</t>
  </si>
  <si>
    <t>Shaida - bakin kofa</t>
  </si>
  <si>
    <t>Maɓalli: Ee ✔ A'a ✘ Mixed ✔/✘ Ba a zartar ba -</t>
  </si>
  <si>
    <t>Hadaddiyar manufofin tsara birni don lafiya da dorewa</t>
  </si>
  <si>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</si>
  <si>
    <t>Manufar sufuri tare da ayyuka mai da hankali kan lafiya</t>
  </si>
  <si>
    <t>Manufar birni tare da ayyuka mai da hankali kan lafiya</t>
  </si>
  <si>
    <t>Bukatun kimanta Tasirin Lafiya a cikin manufofin sufuri na birane</t>
  </si>
  <si>
    <t>Manufofin birni/ jigilar kayayyaki a sarari na nufin haɗaɗɗen tsara birane</t>
  </si>
  <si>
    <t>Akwai bayanan jama'a game da kashe kuɗin gwamnati don hanyoyin sufuri daban-daban</t>
  </si>
  <si>
    <t>Hanyar tafiya da manufofin isa ga manufa</t>
  </si>
  <si>
    <t>Bukatun aminci na zirga-zirga</t>
  </si>
  <si>
    <t>Iyaka kan ci gaban gidaje na Greenfield</t>
  </si>
  <si>
    <t>Cakuda nau'ikan gidaje/masu girma dabam</t>
  </si>
  <si>
    <t>Cakuɗen wurare na gida don rayuwar yau da kullun</t>
  </si>
  <si>
    <t>Kusa da nisa zuwa wuraren zama na yau da kullun</t>
  </si>
  <si>
    <t>Ratio na ayyuka zuwa gidaje</t>
  </si>
  <si>
    <t>Lafiyayyen muhallin abinci</t>
  </si>
  <si>
    <t>Kariyar laifuka ta hanyar ƙirar muhalli</t>
  </si>
  <si>
    <t>Manufofin birane masu juriyar yanayi</t>
  </si>
  <si>
    <t>Ingantacciyar iska ta birni, da mafita na tushen yanayi</t>
  </si>
  <si>
    <t>Ingancin iska na birni, da manufofin mafita na tushen yanayi</t>
  </si>
  <si>
    <t>Manufofin sufuri don iyakance gurɓataccen iska</t>
  </si>
  <si>
    <t>Manufofin amfani da ƙasa don rage gurɓataccen iska</t>
  </si>
  <si>
    <t>Alfarwar itace da buƙatun kore na birni</t>
  </si>
  <si>
    <t>Kariyar halittun birni &amp; haɓakawa</t>
  </si>
  <si>
    <t>Rage haɗarin bala'in yanayi</t>
  </si>
  <si>
    <t>cikin fuskantar sauyin yanayi, ana buƙatar gina wuraren da aka gina don rage tasirin lafiyar da ke faruwa akai-akai da matsananciyar yanayi, kamar raƙuman zafi, ambaliya, gobarar daji / gobarar daji da matsananciyar guguwa.</t>
  </si>
  <si>
    <t>Daidaituwa da dabarun rage haɗarin bala'i</t>
  </si>
  <si>
    <t>Manufar safarar jama'a</t>
  </si>
  <si>
    <t>Manufar bude sararin samaniya</t>
  </si>
  <si>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</si>
  <si>
    <t>Misali rahoton kawai. Kwafi da shirya fayil ɗin .yml misali a cikin babban fayil ɗin sanyi/yankuna don ayyana yankin binciken ku don bincike da bayar da rahoto. Bayan daidaitawa da bincike, ƙila a samar da rahotannin manufofi da/ko na sarari bisa ga kwatance a</t>
  </si>
  <si>
    <t>Ana samun cikakkun bayanai na bayanai da hanyoyin a</t>
  </si>
  <si>
    <t>Wannan aikin yana da lasisi ƙarƙashin Creative Commons CC BY-NC Attribution-NonCommercial 4.0 International License.</t>
  </si>
  <si>
    <t>Mambobin ƙungiyar birni: {author_names}</t>
  </si>
  <si>
    <t>Ƙara sunayen mawallafi ta hanyar gyara saitunan rahoton daidaitawar yanki ta amfani da editan rubutu</t>
  </si>
  <si>
    <t>Rahoton ƙira da gyarawa: {editor_names}</t>
  </si>
  <si>
    <t>Fassara: {translation_names}</t>
  </si>
  <si>
    <t>Bitar manufofin gudanar da</t>
  </si>
  <si>
    <t>Nga tohu kaupapa here mo nga taone hauora me te tauwhiro</t>
  </si>
  <si>
    <t>Kaupapa here me nga tohu mokowā mo nga taone hauora me te tauwhiro</t>
  </si>
  <si>
    <t>Ko nga tohu mokowhiti mo nga taone hauora me te tauwhiro</t>
  </si>
  <si>
    <t>Ko nga kitenga tuatahi kaore i te whakaarohia mo te whakaputanga ma te iwi tae noa ki te whakamanatanga me te whakamanatanga o nga hua me nga whakamaarama.</t>
  </si>
  <si>
    <t>Ko nga raraunga rarangi arowhai kaupapa here kaore i taea te uta, kua pekehia. Tirohia https://healthysustainablecities.github.io/software/#Policy-checklist</t>
  </si>
  <si>
    <t>TAHUA ANAKE</t>
  </si>
  <si>
    <t>{city_name} horopaki</t>
  </si>
  <si>
    <t>Nga taumata o te kawanatanga</t>
  </si>
  <si>
    <t>Te taupori me te tika o te hauora</t>
  </si>
  <si>
    <t>Te horopaki aituā taiao</t>
  </si>
  <si>
    <t>He horopaki taapiri</t>
  </si>
  <si>
    <t>Whakatikaina te kōnae whirihoranga rohe hei whakarato i te horopaki papamuri mo to rohe ako. Tena koa whakarapopototia te waahi, te hitori me te ahuatanga o te whenua, mena e tika ana.</t>
  </si>
  <si>
    <t>Ko nga taumata e whai ake nei o nga kaupapa here a te kawanatanga i tātarihia mo {city_name}: {policy_checklist_levels}.</t>
  </si>
  <si>
    <t>Ko nga aitua taiao ka pa ki te taone nui i roto i nga tau tekau kei te heke mai ko: {policy_checklist_hazards}.</t>
  </si>
  <si>
    <t>Whakamāramahia etahi atu whakaaro e pa ana ki nga koretake o te hauora taone me te matawhenua o tenei taone, me nga whakaaro raraunga ka whakaawe i te whakamaoritanga o nga kitenga.</t>
  </si>
  <si>
    <t>rohe</t>
  </si>
  <si>
    <t>Rohe</t>
  </si>
  <si>
    <t>Motu</t>
  </si>
  <si>
    <t>Nga tupuhi kino</t>
  </si>
  <si>
    <t>Waipuke</t>
  </si>
  <si>
    <t>Te ahi ngahere/nga ahi mohoao</t>
  </si>
  <si>
    <t>Ngaru wera</t>
  </si>
  <si>
    <t>Tino makariri</t>
  </si>
  <si>
    <t>Nga awhiowhio</t>
  </si>
  <si>
    <t>Huripari</t>
  </si>
  <si>
    <t>Nga rū whenua</t>
  </si>
  <si>
    <t>Ko te rohe ako i whakamahia hei tatau i nga tohu mokowā mo te taupori o {city_name} kua whakaatuhia i roto i tenei purongo kua tohuhia ki te mapi i raro nei ma te whakamarumaru raina whakarara.</t>
  </si>
  <si>
    <t>Te rohe ako</t>
  </si>
  <si>
    <t>Mapi korero</t>
  </si>
  <si>
    <t>Te rohe whakahaere ({source})</t>
  </si>
  <si>
    <t>Te rohe taone ({source})</t>
  </si>
  <si>
    <t>Akohia te rohe rohe ({source})</t>
  </si>
  <si>
    <t>te whakawhitinga o te rohe whakahaere me te rohe taone</t>
  </si>
  <si>
    <t>Kao</t>
  </si>
  <si>
    <t>Ae</t>
  </si>
  <si>
    <t>% o te taupori whai urunga i roto i te 500m ki:</t>
  </si>
  <si>
    <t>Kiato taupori noho tata (ia km²)</t>
  </si>
  <si>
    <t>Te kiatotanga o te noho tata (ia km²)</t>
  </si>
  <si>
    <t>Te awhe waenga me te hauwhā mo nga taone 25 o te ao (Pouaka 1)</t>
  </si>
  <si>
    <t>Homai koa he whakaahua 'whakaahua toa' taumira teitei e whakaatu ana i te tiriti o te taone nui e taea ana te hikoi, i te waahi whanui ranei mo tenei taone nui, he ahua pai ki te whakatakotoranga .jpg me te rahi o te 21:10 (hei tauira, 2100px ki te 1000px)</t>
  </si>
  <si>
    <t>Tukuna mai he whakaahua 'whakaahua toa' taumira teitei e whakaatu ana i te tiriti o te taone nui e taea ana te hikoi, i te waahi whanui ranei mo tenei taone nui, he pai rawa ki te whakatakotoranga .jpg me nga inenga o te 1:1 (hei tauira, 1000px ki te 1000px)</t>
  </si>
  <si>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</si>
  <si>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</si>
  <si>
    <t>Te ōrau o te taupori e uru ana ki ngā rawa i roto i te 500 mita (m)</t>
  </si>
  <si>
    <t>Te hikoi me te uru ki te waahi</t>
  </si>
  <si>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</si>
  <si>
    <t>Te kaute kaupapa here</t>
  </si>
  <si>
    <t>Te aroaro o nga kaupapa here mo nga taone me nga waka e tautoko ana i te hauora me te oranga tonutanga</t>
  </si>
  <si>
    <t>Tohu kounga kaupapa here</t>
  </si>
  <si>
    <t>Ko te whakatauranga o te kounga kaupapa here mo nga kaupapa here ine e hono ana ki nga taunakitanga mo nga taone hauora</t>
  </si>
  <si>
    <t>Te kore tika o te haere</t>
  </si>
  <si>
    <t>Pouaka 1: Te Rangataka Hauora a Lancet Global Health Series mo nga taone 25 o te ao</t>
  </si>
  <si>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</si>
  <si>
    <t>Nga paepae hoahoa taone hei whakatairanga i te hikoi</t>
  </si>
  <si>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</si>
  <si>
    <t>Te tūponotanga o te haere i roto i tetahi hīkoi mō te kawe</t>
  </si>
  <si>
    <t>5,700 tangata mo ia km²</t>
  </si>
  <si>
    <t>taumata taumata</t>
  </si>
  <si>
    <t>Ka whakahāngai ki nga taunakitanga taone hauora</t>
  </si>
  <si>
    <t>Te paepae whakamohio i nga taunakitanga</t>
  </si>
  <si>
    <t>Kī: Āe ✔ Kāo ✘ Ranu ✔/✘ Kāore e hāngai -</t>
  </si>
  <si>
    <t>Ko nga kaupapa here whakamahere taone nui mo te hauora me te oranga tonutanga</t>
  </si>
  <si>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</si>
  <si>
    <t>Kaupapa here kawe me nga mahi e arotahi ana ki te hauora</t>
  </si>
  <si>
    <t>Kaupapa here taone me nga mahi e arotahi ana ki te hauora</t>
  </si>
  <si>
    <t>Nga whakaritenga Aromatawai Paanga Hauora i roto i nga kaupapa here mo te taone/whakahaere</t>
  </si>
  <si>
    <t>Ko te kaupapa here mo te taone/whakaahua e tino whai ana ki te whakamahere taone nui</t>
  </si>
  <si>
    <t>Ko nga korero mo te iwi whanui mo nga whakapaunga a te kawanatanga mo nga momo momo waka</t>
  </si>
  <si>
    <t>Nga kaupapa here mo te haere me te whai waahi ki te waahi</t>
  </si>
  <si>
    <t>Nga whakaritenga haumaru waka</t>
  </si>
  <si>
    <t>Te herenga mo te whakawhanaketanga whare papaariki</t>
  </si>
  <si>
    <t>Te ranunga o nga momo whare/rahi</t>
  </si>
  <si>
    <t>Te whakakotahitanga o nga waahi o te rohe mo te oranga o ia ra</t>
  </si>
  <si>
    <t>He tata ki nga waahi noho o ia ra</t>
  </si>
  <si>
    <t>Te ōwehenga o ngā mahi ki te whare</t>
  </si>
  <si>
    <t>Te taiao kai hauora</t>
  </si>
  <si>
    <t>Te aukati hara ma te hoahoa taiao</t>
  </si>
  <si>
    <t>Nga kaupapa here o nga taone nui e kaha ana te rangi</t>
  </si>
  <si>
    <t>Ko te kounga o te hau taone, me nga otinga-a-taiao</t>
  </si>
  <si>
    <t>Ko te kounga o te hau taone, me nga kaupapa here mo nga otinga taiao</t>
  </si>
  <si>
    <t>Ko nga kaupapa here kawe waka hei whakaiti i te parahanga hau</t>
  </si>
  <si>
    <t>Ko nga kaupapa here whakamahi whenua hei whakaiti i te parahanga o te hau</t>
  </si>
  <si>
    <t>Ko nga tikanga mo te whakato rakau me te whakakao i nga taone</t>
  </si>
  <si>
    <t>Te tiaki me te whakatairanga i te kanorau koiora o te taone</t>
  </si>
  <si>
    <t>Te whakahekenga o nga aitua o te rangi</t>
  </si>
  <si>
    <t>mua i te huringa o te huarere, me hoahoa nga taiao hanga hei whakaiti i nga paanga hauora o te piki haere o te maha me te kino o nga ahuatanga o te huarere, penei i te ngaru wera, te waipuke, te ahi ngahere/nga ahi mohoao me nga awha nui.</t>
  </si>
  <si>
    <t>Te urutau me nga rautaki whakaheke morearea</t>
  </si>
  <si>
    <t>Kaupapa here waka tūmatanui</t>
  </si>
  <si>
    <t>Kaupapa here mo nga waahi tuwhera mo te iwi</t>
  </si>
  <si>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</si>
  <si>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</si>
  <si>
    <t>Kei te waatea nga korero katoa mo nga raraunga me nga tikanga</t>
  </si>
  <si>
    <t>Kua raihanatia tenei mahi i raro i te Creative Commons CC BY-NC Attribution-NonCommercial 4.0 International License.</t>
  </si>
  <si>
    <t>Tāpiri ingoa kaituhi mā te whakatika i ngā tautuhinga pūrongo whirihoranga rohe mā te ētita kuputuhi</t>
  </si>
  <si>
    <t>Ripoata hoahoa me te whakatika: {editor_names}</t>
  </si>
  <si>
    <t>Te arotake kaupapa here i whakahaerehia e</t>
  </si>
  <si>
    <t>Relatório do Desafio 1000 Cidades</t>
  </si>
  <si>
    <t>Indicadores políticos para cidades saudáveis e sustentáveis</t>
  </si>
  <si>
    <t>Indicadores políticos e espaciais para cidades saudáveis e sustentáveis</t>
  </si>
  <si>
    <t>Indicadores espaciais para cidades saudáveis e sustentáveis</t>
  </si>
  <si>
    <t>As descobertas preliminares não se destinam à divulgação pública até que os resultados e as interpretações sejam validados e aprovados.</t>
  </si>
  <si>
    <t>Os dados da lista de verificação de políticas não puderam ser carregados e foram ignorados. Consulte https://healthysustainablecities.github.io/software/#Policy-checklist</t>
  </si>
  <si>
    <t>SOMENTE ESBOÇO</t>
  </si>
  <si>
    <t>Contexto de {city_name}</t>
  </si>
  <si>
    <t>Níveis de governo</t>
  </si>
  <si>
    <t>Demografia e equidade na saúde</t>
  </si>
  <si>
    <t>Edite o arquivo de configuração da região para fornecer contexto de fundo para sua região de estudo. Por favor, resuma brevemente a localização, história e topografia, conforme relevante.</t>
  </si>
  <si>
    <t>Os seguintes níveis de política governamental foram analisados para {city_name}: {policy_checklist_levels}.</t>
  </si>
  <si>
    <t>Os riscos ambientais que podem impactar a área urbana na próxima década incluem: {policy_checklist_hazards}.</t>
  </si>
  <si>
    <t>Detalhe quaisquer outras considerações relacionadas com as desigualdades na saúde urbana e a geografia nesta cidade, ou considerações sobre dados que possam influenciar a interpretação dos resultados.</t>
  </si>
  <si>
    <t>Tempestades severas</t>
  </si>
  <si>
    <t>Inundações</t>
  </si>
  <si>
    <t>Incêndios florestais/incêndios florestais</t>
  </si>
  <si>
    <t>Ondas de calor</t>
  </si>
  <si>
    <t>Frio extremo</t>
  </si>
  <si>
    <t>Tufões</t>
  </si>
  <si>
    <t>Furacões</t>
  </si>
  <si>
    <t>região de estudo utilizada para calcular os indicadores espaciais para a população de {city_name} apresentados neste relatório foi destacada no mapa abaixo usando sombreamento de linhas paralelas.</t>
  </si>
  <si>
    <t>Região de estudo</t>
  </si>
  <si>
    <t>Legenda do mapa</t>
  </si>
  <si>
    <t>interseção da fronteira administrativa e da fronteira urbana</t>
  </si>
  <si>
    <t>Não</t>
  </si>
  <si>
    <t>Sim</t>
  </si>
  <si>
    <t>{percent} da população de {city_name} vive a menos de 500 metros de transporte público</t>
  </si>
  <si>
    <t>{percent} da população de {city_name} vive a menos de 500 m de transporte público, com frequência média de 20 minutos ou melhor durante a semana</t>
  </si>
  <si>
    <t>{percent} da população de {city_name} vive num raio de 500 m de espaços públicos abertos com pelo menos 1,5 hectares de tamanho</t>
  </si>
  <si>
    <t>{percent} da população de {city_name} vive em bairros que atendem ao limite de densidade populacional para 80% de probabilidade de praticar qualquer caminhada para transporte ({n} pessoas {per_unit})</t>
  </si>
  <si>
    <t>{percent} da população de {city_name} vive em bairros que atendem ao limite de densidade de interseções de ruas com 80% de probabilidade de caminhar para se deslocar ({n} interseções {per_unit})</t>
  </si>
  <si>
    <t>% da população com acesso num raio de 500m a:</t>
  </si>
  <si>
    <t>Densidade populacional do bairro (por km²)</t>
  </si>
  <si>
    <t>Densidade de interseções de bairros (por km²)</t>
  </si>
  <si>
    <t>Mediana e intervalo interquartil para 25 cidades internacionalmente (Quadro 1)</t>
  </si>
  <si>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</si>
  <si>
    <t>Percentagem da população com acesso a comodidades num raio de 500 metros (m)</t>
  </si>
  <si>
    <t>Caminhabilidade e acesso ao destino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</si>
  <si>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</si>
  <si>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Pontuação de presença de política</t>
  </si>
  <si>
    <t>Presença de políticas urbanas e de transporte que apoiam a saúde e a sustentabilidade</t>
  </si>
  <si>
    <t>Índice de qualidade da política</t>
  </si>
  <si>
    <t>Classificação da qualidade das políticas para políticas mensuráveis alinhadas com evidências sobre cidades saudáveis</t>
  </si>
  <si>
    <t>Desigualdades de caminhabilidade</t>
  </si>
  <si>
    <t>Caixa 1: Estudo The Lancet Global Health Series de 25 cidades internacionalmente</t>
  </si>
  <si>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</si>
  <si>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Limiares de desenho urbano para promover caminhadas</t>
  </si>
  <si>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</si>
  <si>
    <t>Probabilidade de praticar qualquer caminhada para transporte</t>
  </si>
  <si>
    <t>5.700 pessoas por km²</t>
  </si>
  <si>
    <t>limite alvo</t>
  </si>
  <si>
    <t>Alinha-se com as evidências de cidades saudáveis</t>
  </si>
  <si>
    <t>Limite informado por evidências</t>
  </si>
  <si>
    <t>Legenda: Sim ✔ Não ✘ Misto ✔/✘ Não aplicável -</t>
  </si>
  <si>
    <t>Políticas integradas de planejamento urbano para saúde e sustentabilidade</t>
  </si>
  <si>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</si>
  <si>
    <t>Política de transportes com ações focadas na saúde</t>
  </si>
  <si>
    <t>Política urbana com ações voltadas para a saúde</t>
  </si>
  <si>
    <t>Requisitos de avaliação de impacto na saúde na política urbana/de transportes</t>
  </si>
  <si>
    <t>A política urbana/de transportes visa explicitamente o planeamento urbano integrado</t>
  </si>
  <si>
    <t>Informações publicamente disponíveis sobre despesas governamentais para diferentes modos de transporte</t>
  </si>
  <si>
    <t>Políticas de caminhabilidade e acesso ao destino</t>
  </si>
  <si>
    <t>Requisitos de segurança no trânsito</t>
  </si>
  <si>
    <t>Limites no desenvolvimento de moradias greenfield</t>
  </si>
  <si>
    <t>Mistura de tipos/tamanhos de caixas</t>
  </si>
  <si>
    <t>Mistura de destinos locais para a vida diária</t>
  </si>
  <si>
    <t>Perto dos destinos de vida diária</t>
  </si>
  <si>
    <t>Proporção entre empregos e habitação</t>
  </si>
  <si>
    <t>Ambientes alimentares saudáveis</t>
  </si>
  <si>
    <t>Prevenção do crime através do design ambiental</t>
  </si>
  <si>
    <t>Políticas para cidades resilientes ao clima</t>
  </si>
  <si>
    <t>Qualidade do ar urbano e soluções baseadas na natureza</t>
  </si>
  <si>
    <t>Qualidade do ar urbano e políticas de soluções baseadas na natureza</t>
  </si>
  <si>
    <t>Políticas de transporte para limitar a poluição atmosférica</t>
  </si>
  <si>
    <t>Políticas de uso do solo para reduzir a exposição à poluição do ar</t>
  </si>
  <si>
    <t>Requisitos de copa das árvores e ecologização urbana</t>
  </si>
  <si>
    <t>Proteção e promoção da biodiversidade urbana</t>
  </si>
  <si>
    <t>Redução do risco de desastres climáticos</t>
  </si>
  <si>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</si>
  <si>
    <t>Estratégias de adaptação e redução do risco de desastres</t>
  </si>
  <si>
    <t>Política de espaço público aberto</t>
  </si>
  <si>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</si>
  <si>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</si>
  <si>
    <t>Detalhes completos dos dados e métodos estão disponíveis em</t>
  </si>
  <si>
    <t>Este trabalho está licenciado sob uma Licença Creative Commons CC BY-NC Attribution-NonCommercial 4.0 International.</t>
  </si>
  <si>
    <t>Membros da equipe da cidade: {author_names}</t>
  </si>
  <si>
    <t>Adicione nomes de autores editando as configurações de relatórios de configuração de região usando um editor de texto</t>
  </si>
  <si>
    <t>Design e edição do relatório: {editor_names}</t>
  </si>
  <si>
    <t>Tradução: {translation_names}</t>
  </si>
  <si>
    <t>Revisão de política conduzida por</t>
  </si>
  <si>
    <t>ஆரோக்கியமான மற்றும் நிலையான நகரங்களுக்கான கொள்கை குறிகாட்டிகள்</t>
  </si>
  <si>
    <t>ஆரோக்கியமான மற்றும் நிலையான நகரங்களுக்கான கொள்கை மற்றும் இடஞ்சார்ந்த குறிகாட்டிகள்</t>
  </si>
  <si>
    <t>ஆரோக்கியமான மற்றும் நிலையான நகரங்களுக்கான இடஞ்சார்ந்த குறிகாட்டிகள்</t>
  </si>
  <si>
    <t>கொள்கை சரிபார்ப்புப் பட்டியல் தரவை ஏற்ற முடியவில்லை மற்றும் தவிர்க்கப்பட்டது. பார்க்கவும் https://healthysustainablecities.github.io/software/#Policy-checklist</t>
  </si>
  <si>
    <t>வரைவு மட்டுமே</t>
  </si>
  <si>
    <t>{city_name} சூழல்</t>
  </si>
  <si>
    <t>அரசாங்கத்தின் நிலைகள்</t>
  </si>
  <si>
    <t>மக்கள்தொகை மற்றும் சுகாதார சமத்துவம்</t>
  </si>
  <si>
    <t>சுற்றுச்சூழல் பேரழிவு சூழல்</t>
  </si>
  <si>
    <t>கூடுதல் சூழல்</t>
  </si>
  <si>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</si>
  <si>
    <t>{city_name} க்கான அரசாங்கக் கொள்கையின் பின்வரும் நிலைகள் பகுப்பாய்வு செய்யப்பட்டன: {policy_checklist_levels}.</t>
  </si>
  <si>
    <t>வரவிருக்கும் தசாப்தத்தில் நகர்ப்புறத்தை பாதிக்கக்கூடிய சுற்றுச்சூழல் அபாயங்கள்: {policy_checklist_hazards}.</t>
  </si>
  <si>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</si>
  <si>
    <t>உள்ளூர்</t>
  </si>
  <si>
    <t>பெருநகரம்</t>
  </si>
  <si>
    <t>பிராந்தியமானது</t>
  </si>
  <si>
    <t>நிலை</t>
  </si>
  <si>
    <t>தேசிய</t>
  </si>
  <si>
    <t>கடுமையான புயல்கள்</t>
  </si>
  <si>
    <t>வெள்ளம்</t>
  </si>
  <si>
    <t>காட்டுத்தீ / காட்டுத்தீ</t>
  </si>
  <si>
    <t>வெப்ப அலைகள்</t>
  </si>
  <si>
    <t>கடும் குளிர்</t>
  </si>
  <si>
    <t>புயல்கள்</t>
  </si>
  <si>
    <t>சூறாவளிகள்</t>
  </si>
  <si>
    <t>பூகம்பங்கள்</t>
  </si>
  <si>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</si>
  <si>
    <t>படிப்பு பகுதி</t>
  </si>
  <si>
    <t>வரைபட புராணம்</t>
  </si>
  <si>
    <t>நிர்வாக எல்லை ({source})</t>
  </si>
  <si>
    <t>நகர்ப்புற எல்லை ({source})</t>
  </si>
  <si>
    <t>ஆய்வுப் பகுதி எல்லை ({source})</t>
  </si>
  <si>
    <t>நிர்வாக எல்லை மற்றும் நகர்ப்புற எல்லையின் குறுக்குவெட்டு</t>
  </si>
  <si>
    <t>இல்லை</t>
  </si>
  <si>
    <t>ஆம்</t>
  </si>
  <si>
    <t>{city_name} இல் உள்ள மக்கள்தொகையில் {percent} பேர் 500மீ பொதுப் போக்குவரத்தில் வாழ்கின்றனர்</t>
  </si>
  <si>
    <t>{city_name} இல் உள்ள மக்கள் தொகையில் {percent} பேர் 500m பொதுப் போக்குவரத்தில் 20 நிமிடங்கள் அல்லது சிறந்த சராசரி வார நாள் அதிர்வெண்ணுடன் வாழ்கின்றனர்</t>
  </si>
  <si>
    <t>{city_name} இல் உள்ள மக்கள் தொகையில் {percent} பேர், குறைந்தபட்சம் 1.5 ஹெக்டேர் அளவிலான பொது திறந்தவெளியில் 500மீட்டருக்குள் வாழ்கின்றனர்</t>
  </si>
  <si>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</si>
  <si>
    <t>{city_name} இல் உள்ள மக்கள்தொகையில் {percent} பேர், சர்வதேச அளவில் 25 நகரங்களின் சராசரிக்கும் குறைவான நடைப்பயணத்துடன் சுற்றுப்புறங்களில் வாழ்கின்றனர் (பெட்டி 1)</t>
  </si>
  <si>
    <t>500 மீட்டருக்குள் அணுகக்கூடிய மக்கள் தொகையின்%:</t>
  </si>
  <si>
    <t>சுற்றுப்புற மக்கள் தொகை அடர்த்தி (கிமீ²க்கு)</t>
  </si>
  <si>
    <t>அக்கம்பக்கத்தின் குறுக்குவெட்டு அடர்த்தி (கிமீ²க்கு)</t>
  </si>
  <si>
    <t>சர்வதேச அளவில் 25 நகரங்களுக்கான இடைநிலை மற்றும் இடைக்கால வரம்பு (பெட்டி 1)</t>
  </si>
  <si>
    <t>இந்த அறிக்கையில் இடம்பெற்றுள்ள இடஞ்சார்ந்த விநியோக வரைபடங்கள், {config[population][name]} இன் படி மக்கள்தொகை மதிப்பீடுகளைக் கொண்ட பகுதிகளுக்கான முடிவுகளைக் காண்பிக்கும்.</t>
  </si>
  <si>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</si>
  <si>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</si>
  <si>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500 மீட்டருக்குள் (மீ) வசதிகளுடன் கூடிய மக்கள்தொகை சதவீதம்</t>
  </si>
  <si>
    <t>நடைபயிற்சி மற்றும் இலக்கு அணுகல்</t>
  </si>
  <si>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</si>
  <si>
    <t>பாலிசி இருப்பு மதிப்பெண்</t>
  </si>
  <si>
    <t>சுகாதாரம் மற்றும் நிலைத்தன்மையை ஆதரிக்கும் நகர்ப்புற மற்றும் போக்குவரத்துக் கொள்கைகளின் இருப்பு</t>
  </si>
  <si>
    <t>கொள்கை தர மதிப்பெண்</t>
  </si>
  <si>
    <t>ஆரோக்கியமான நகரங்களின் ஆதாரங்களுடன் சீரமைக்கப்பட்ட அளவிடக்கூடிய கொள்கைகளுக்கான கொள்கை தர மதிப்பீடு</t>
  </si>
  <si>
    <t>நடக்கக்கூடிய ஏற்றத்தாழ்வுகள்</t>
  </si>
  <si>
    <t>பெட்டி 1: சர்வதேச அளவில் 25 நகரங்களின் லான்செட் குளோபல் ஹெல்த் சீரிஸ் ஆய்வு</t>
  </si>
  <si>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</si>
  <si>
    <t>நடைப்பயிற்சியை ஊக்குவிக்க நகர்ப்புற வடிவமைப்பு வரம்புகள்</t>
  </si>
  <si>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</si>
  <si>
    <t>போக்குவரத்துக்காக எந்த நடைப்பயணத்திலும் ஈடுபடுவதற்கான நிகழ்தகவு</t>
  </si>
  <si>
    <t>ஒரு கிமீ²க்கு 5,700 பேர்</t>
  </si>
  <si>
    <t>இலக்கு வாசல்</t>
  </si>
  <si>
    <t>ஆரோக்கியமான நகரங்களின் சான்றுகளுடன் இணைகிறது</t>
  </si>
  <si>
    <t>சான்று-அறிவிக்கப்பட்ட வாசல்</t>
  </si>
  <si>
    <t>விசை: ஆம் ✔ இல்லை ✘ கலப்பு ✔/✘ பொருந்தாது -</t>
  </si>
  <si>
    <t>ஆரோக்கியம் மற்றும் நிலைத்தன்மைக்கான ஒருங்கிணைந்த நகர திட்டமிடல் கொள்கைகள்</t>
  </si>
  <si>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</si>
  <si>
    <t>சுகாதாரத்தை மையமாகக் கொண்ட நடவடிக்கைகள் கொண்ட போக்குவரத்துக் கொள்கை</t>
  </si>
  <si>
    <t>ஆரோக்கியத்தை மையமாகக் கொண்ட நடவடிக்கைகள் கொண்ட நகர்ப்புறக் கொள்கை</t>
  </si>
  <si>
    <t>நகர்ப்புற/போக்குவரத்து கொள்கையில் சுகாதார பாதிப்பு மதிப்பீட்டுத் தேவைகள்</t>
  </si>
  <si>
    <t>நகர்ப்புற/போக்குவரத்து கொள்கையானது ஒருங்கிணைந்த நகர திட்டமிடலை வெளிப்படையாக நோக்கமாகக் கொண்டுள்ளது</t>
  </si>
  <si>
    <t>வெவ்வேறு போக்குவரத்து முறைகளுக்கான அரசாங்க செலவினங்கள் பற்றிய பொதுவில் கிடைக்கும் தகவல்கள்</t>
  </si>
  <si>
    <t>நடைபயிற்சி மற்றும் இலக்கு அணுகல் கொள்கைகள்</t>
  </si>
  <si>
    <t>போக்குவரத்து பாதுகாப்பு தேவைகள்</t>
  </si>
  <si>
    <t>கிரீன்ஃபீல்ட் வீட்டு மேம்பாட்டிற்கான வரம்புகள்</t>
  </si>
  <si>
    <t>வீட்டு வகைகள்/அளவுகளின் கலவை</t>
  </si>
  <si>
    <t>தினசரி வாழ்க்கைக்கான உள்ளூர் இடங்களின் கலவை</t>
  </si>
  <si>
    <t>தினசரி வாழும் இடங்களுக்கு நெருக்கமான தூரம்</t>
  </si>
  <si>
    <t>வீட்டு வேலைகளின் விகிதம்</t>
  </si>
  <si>
    <t>ஆரோக்கியமான உணவு சூழல்கள்</t>
  </si>
  <si>
    <t>சுற்றுச்சூழல் வடிவமைப்பு மூலம் குற்றத் தடுப்பு</t>
  </si>
  <si>
    <t>தட்பவெப்ப நிலையைத் தாங்கும் நகரங்களின் கொள்கைகள்</t>
  </si>
  <si>
    <t>நகர்ப்புற காற்றின் தரம் மற்றும் இயற்கை அடிப்படையிலான தீர்வுகள்</t>
  </si>
  <si>
    <t>நகர்ப்புற காற்றின் தரம் மற்றும் இயற்கை அடிப்படையிலான தீர்வுகள் கொள்கைகள்</t>
  </si>
  <si>
    <t>காற்று மாசுபாட்டைக் கட்டுப்படுத்த போக்குவரத்துக் கொள்கைகள்</t>
  </si>
  <si>
    <t>காற்று மாசு வெளிப்பாட்டைக் குறைப்பதற்கான நில பயன்பாட்டுக் கொள்கைகள்</t>
  </si>
  <si>
    <t>மர விதானம் மற்றும் நகர்ப்புற பசுமை தேவைகள்</t>
  </si>
  <si>
    <t>நகர்ப்புற பல்லுயிர் பாதுகாப்பு மற்றும் மேம்பாடு</t>
  </si>
  <si>
    <t>காலநிலை பேரழிவு ஆபத்து குறைப்பு</t>
  </si>
  <si>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</si>
  <si>
    <t>தழுவல் மற்றும் பேரிடர் அபாயத்தைக் குறைக்கும் உத்திகள்</t>
  </si>
  <si>
    <t>பொது போக்குவரத்து கொள்கை</t>
  </si>
  <si>
    <t>பொது திறந்தவெளி கொள்கை</t>
  </si>
  <si>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</si>
  <si>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</si>
  <si>
    <t>தரவு மற்றும் முறைகள் பற்றிய முழு விவரங்கள் இங்கே கிடைக்கின்றன</t>
  </si>
  <si>
    <t>இந்த வேலை கிரியேட்டிவ் காமன்ஸ் CC BY-NC Attribution-NonCommercial 4.0 சர்வதேச உரிமத்தின் கீழ் உரிமம் பெற்றது.</t>
  </si>
  <si>
    <t>நகரக் குழு உறுப்பினர்கள்: {author_names}</t>
  </si>
  <si>
    <t>உரை திருத்தியைப் பயன்படுத்தி பிராந்திய உள்ளமைவு அறிக்கையிடல் அமைப்புகளைத் திருத்துவதன் மூலம் ஆசிரியர் பெயர்களைச் சேர்க்கவும்</t>
  </si>
  <si>
    <t>அறிக்கை வடிவமைப்பு மற்றும் திருத்தம்: {editor_names}</t>
  </si>
  <si>
    <t>மொழிபெயர்ப்பு: {translation_names}</t>
  </si>
  <si>
    <t>கொள்கை மதிப்பாய்வு நடத்தியது</t>
  </si>
  <si>
    <t>ใช่</t>
  </si>
  <si>
    <t>Các chỉ số chính sách cho các thành phố lành mạnh và bền vững</t>
  </si>
  <si>
    <t>Các chỉ số chính sách và không gian cho các thành phố lành mạnh và bền vững</t>
  </si>
  <si>
    <t>Các chỉ số không gian cho các thành phố lành mạnh và bền vững</t>
  </si>
  <si>
    <t>Không thể tải dữ liệu danh sách kiểm tra chính sách và đã bị bỏ qua. Xem https://healthysustainablecities.github.io/software/#Policy-checklist</t>
  </si>
  <si>
    <t>bối cảnh {city_name}</t>
  </si>
  <si>
    <t>Các cấp chính quyền</t>
  </si>
  <si>
    <t>Nhân khẩu học và công bằng sức khỏe</t>
  </si>
  <si>
    <t>Bối cảnh thảm họa môi trường</t>
  </si>
  <si>
    <t>Bối cảnh bổ sung</t>
  </si>
  <si>
    <t>Chỉnh sửa tệp cấu hình vùng để cung cấp bối cảnh cơ bản cho khu vực nghiên cứu của bạn. Vui lòng tóm tắt ngắn gọn về vị trí, lịch sử và địa hình nếu có liên quan.</t>
  </si>
  <si>
    <t>Các mối nguy hiểm về môi trường có thể ảnh hưởng đến khu vực đô thị trong thập kỷ tới bao gồm: {policy_checklist_hazards}.</t>
  </si>
  <si>
    <t>Địa phương</t>
  </si>
  <si>
    <t>Lũ lụt</t>
  </si>
  <si>
    <t>Động đất</t>
  </si>
  <si>
    <t>Vùng nghiên cứu</t>
  </si>
  <si>
    <t>Địa giới hành chính ({source})</t>
  </si>
  <si>
    <t>Ranh giới đô thị ({source})</t>
  </si>
  <si>
    <t>Ranh giới khu vực nghiên cứu ({source})</t>
  </si>
  <si>
    <t>nơi giao nhau giữa địa giới hành chính và ranh giới đô thị</t>
  </si>
  <si>
    <t>KHÔNG</t>
  </si>
  <si>
    <t>% dân số có thể tiếp cận trong phạm vi 500m tới:</t>
  </si>
  <si>
    <t>Tỷ lệ dân số được tiếp cận các tiện ích trong phạm vi 500 mét (m)</t>
  </si>
  <si>
    <t>Sự hiện diện của các chính sách đô thị và giao thông hỗ trợ sức khỏe và tính bền vững</t>
  </si>
  <si>
    <t>Bất bình đẳng về khả năng đi bộ</t>
  </si>
  <si>
    <t>Ngưỡng thiết kế đô thị để thúc đẩy việc đi bộ</t>
  </si>
  <si>
    <t>ngưỡng mục tiêu</t>
  </si>
  <si>
    <t>Phù hợp với bằng chứng về thành phố lành mạnh</t>
  </si>
  <si>
    <t>Chìa khóa: Có ✔ Không ✘ Hỗn hợp ✔/✘ Không áp dụng -</t>
  </si>
  <si>
    <t>Yêu cầu đánh giá tác động sức khỏe trong chính sách đô thị/giao thông</t>
  </si>
  <si>
    <t>Thông tin công khai về chi tiêu của chính phủ cho các phương thức vận tải khác nhau</t>
  </si>
  <si>
    <t>Yêu cầu an toàn giao thông</t>
  </si>
  <si>
    <t>Hạn chế phát triển nhà ở vùng xanh</t>
  </si>
  <si>
    <t>Sự kết hợp giữa các loại/quy mô nhà ở</t>
  </si>
  <si>
    <t>Sự kết hợp của các điểm đến địa phương cho cuộc sống hàng ngày</t>
  </si>
  <si>
    <t>Khoảng cách gần đến các điểm đến sinh hoạt hàng ngày</t>
  </si>
  <si>
    <t>Tỷ lệ việc làm trên nhà ở</t>
  </si>
  <si>
    <t>Môi trường thực phẩm lành mạnh</t>
  </si>
  <si>
    <t>Phòng chống tội phạm thông qua thiết kế môi trường</t>
  </si>
  <si>
    <t>Chính sách thành phố thích ứng với khí hậu</t>
  </si>
  <si>
    <t>Chất lượng không khí đô thị và các giải pháp dựa vào thiên nhiên</t>
  </si>
  <si>
    <t>Chính sách giao thông nhằm hạn chế ô nhiễm không khí</t>
  </si>
  <si>
    <t>Chính sách sử dụng đất để giảm phơi nhiễm ô nhiễm không khí</t>
  </si>
  <si>
    <t>Yêu cầu về tán cây và phủ xanh đô thị</t>
  </si>
  <si>
    <t>Bảo vệ và thúc đẩy đa dạng sinh học đô thị</t>
  </si>
  <si>
    <t>Giảm thiểu rủi ro thiên tai khí hậu</t>
  </si>
  <si>
    <t>Chiến lược thích ứng và giảm thiểu rủi ro thiên tai</t>
  </si>
  <si>
    <t>Chính sách giao thông công cộng</t>
  </si>
  <si>
    <t>Chính sách không gian mở công cộng</t>
  </si>
  <si>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</si>
  <si>
    <t>Chi tiết đầy đủ về dữ liệu và phương pháp có sẵn tại</t>
  </si>
  <si>
    <t>Thiết kế và chỉnh sửa báo cáo: {editor_names}</t>
  </si>
  <si>
    <t>Bản dịch: {translation_names}</t>
  </si>
  <si>
    <t>Đánh giá chính sách được thực hiện bởi</t>
  </si>
  <si>
    <t>1000 個城市挑戰報告</t>
  </si>
  <si>
    <t>健康與永續城市的政策指標</t>
  </si>
  <si>
    <t>健康與永續城市的政策和空間指標</t>
  </si>
  <si>
    <t>健康與永續城市的空間指標</t>
  </si>
  <si>
    <t>在結果和解釋得到驗證和批准之前，初步調查結果不會公開發布。</t>
  </si>
  <si>
    <t>僅草稿</t>
  </si>
  <si>
    <t>政府層級</t>
  </si>
  <si>
    <t>人口統計和健康公平</t>
  </si>
  <si>
    <t>環境災害背景</t>
  </si>
  <si>
    <t>額外的背景資訊</t>
  </si>
  <si>
    <t>編輯區域設定檔以為您的研究區域提供背景上下文。請簡要概述相關的位置、歷史和地形。</t>
  </si>
  <si>
    <t>針對 {city_name} 分析了以下層級的政府政策：{policy_checklist_levels}。</t>
  </si>
  <si>
    <t>未來十年可能影響城市地區的環境危害包括：{policy_checklist_hazards}。</t>
  </si>
  <si>
    <t>強風暴</t>
  </si>
  <si>
    <t>叢林大火/野火</t>
  </si>
  <si>
    <t>熱浪</t>
  </si>
  <si>
    <t>極冷</t>
  </si>
  <si>
    <t>颱風</t>
  </si>
  <si>
    <t>颶風</t>
  </si>
  <si>
    <t>本報告中用於計算 {city_name} 人口空間指標的研究區域已在下圖中使用平行線陰影突出顯示。</t>
  </si>
  <si>
    <t>研究區域</t>
  </si>
  <si>
    <t>地圖圖例</t>
  </si>
  <si>
    <t>行政邊界（{source}）</t>
  </si>
  <si>
    <t>研究區域邊界（{source}）</t>
  </si>
  <si>
    <t>行政邊界與城市邊界相交</t>
  </si>
  <si>
    <t>{city_name} 的 {percent} 人口居住在公共交通 500m 範圍內，工作日平均發車頻率為 20 分鐘或更短</t>
  </si>
  <si>
    <t>{city_name} 的 {percent} 人口居住在面積至少 1.5 公頃的公共開放空間 500m 範圍內</t>
  </si>
  <si>
    <t>{city_name} 的 {percent} 人口居住在步行適宜性得分低於國際 25 個城市中位數的社區（框 1）</t>
  </si>
  <si>
    <t>國際 25 個城市的中位數和四分位數範圍（框 1）</t>
  </si>
  <si>
    <t>本報告中的空間分佈圖顯示了根據 {config[population][name]} 進行人口估計的區域的結果。</t>
  </si>
  <si>
    <t>步行便利性和目的地可及性</t>
  </si>
  <si>
    <t>政策品質得分</t>
  </si>
  <si>
    <t>對可衡量政策的政策質量評級與健康城市的證據一致</t>
  </si>
  <si>
    <t>步行適宜性不平等</t>
  </si>
  <si>
    <t>框 1：《刺胳針》全球健康系列對國際 25 個城市的研究</t>
  </si>
  <si>
    <t>目標閾值</t>
  </si>
  <si>
    <t>與健康城市證據一致</t>
  </si>
  <si>
    <t>循證閾值</t>
  </si>
  <si>
    <t>重點：是 ✔ 否 ✘ 混合 ✔/✘ 不適用 -</t>
  </si>
  <si>
    <t>促進健康與永續發展的綜合城市規劃政策</t>
  </si>
  <si>
    <t>城市/交通政策明確以綜合城市規劃為目標</t>
  </si>
  <si>
    <t>有關不同交通方式的政府支出的公開信息</t>
  </si>
  <si>
    <t>住宅建築高度限制</t>
  </si>
  <si>
    <t>綠地住房開發的限制</t>
  </si>
  <si>
    <t>距離日常生活目的地較近</t>
  </si>
  <si>
    <t>就業與住房比率</t>
  </si>
  <si>
    <t>健康的飲食環境</t>
  </si>
  <si>
    <t>氣候調適型城市政策</t>
  </si>
  <si>
    <t>城市空氣品質和基於自然的解決方案</t>
  </si>
  <si>
    <t>城市空氣品質和基於自然的解決方案政策</t>
  </si>
  <si>
    <t>限制空氣污染的交通政策</t>
  </si>
  <si>
    <t>減少空氣污染暴露的土地使用政策</t>
  </si>
  <si>
    <t>樹冠及城市綠化要求</t>
  </si>
  <si>
    <t>城市生物多樣性保育與促進</t>
  </si>
  <si>
    <t>面對氣候變化，建築環境的設計需要減少日益頻繁和嚴重的極端天氣事件（例如熱浪、洪水、叢林大火/野火和極端風暴）對健康的影響。</t>
  </si>
  <si>
    <t>大眾運輸政策</t>
  </si>
  <si>
    <t>公共開放空間政策</t>
  </si>
  <si>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</si>
  <si>
    <t>僅範例報告。複製並編輯configuration/regions資料夾中的範例.yml文件，以定義您自己的研究區域以進行分析和報告。在配置和分析之後，可以根據以下的指示產生策略和/或空間指示符報告：</t>
  </si>
  <si>
    <t>有關數據和方法的完整詳細信息，請訪問</t>
  </si>
  <si>
    <t>本作品根據 Creative Commons CC BY-NC Attribution-NonCommercial 4.0 International License 授權。</t>
  </si>
  <si>
    <t>城市團隊成員：{author_names}</t>
  </si>
  <si>
    <t>透過使用文字編輯器編輯區域配置報告設定來新增作者姓名</t>
  </si>
  <si>
    <t>報告設計與編輯：{editor_names}</t>
  </si>
  <si>
    <t>翻譯：{translation_names}</t>
  </si>
  <si>
    <t>政策審查由</t>
  </si>
  <si>
    <t>Límit administratiu ({source})</t>
  </si>
  <si>
    <t>Límit urbà ({source})</t>
  </si>
  <si>
    <t>Estudi del límit de la regió ({source})</t>
  </si>
  <si>
    <t>Městská hranice ({source})</t>
  </si>
  <si>
    <t>Hranice studijní oblasti ({source})</t>
  </si>
  <si>
    <t>Stedelijke grens ({source})</t>
  </si>
  <si>
    <t>Administrativ grænse ({source})</t>
  </si>
  <si>
    <t>Bygrænse ({source})</t>
  </si>
  <si>
    <t>Undersøgelsesregionsgrænse ({source})</t>
  </si>
  <si>
    <t>Limite administrativo ({source})</t>
  </si>
  <si>
    <t>Limite urbano ({source})</t>
  </si>
  <si>
    <t>Limite da região de estudo ({source})</t>
  </si>
  <si>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</si>
  <si>
    <t>Hybrid</t>
  </si>
  <si>
    <t>Izvješće 1000 Cities Challenge</t>
  </si>
  <si>
    <t>Pokazatelji politike za zdrave i održive gradove</t>
  </si>
  <si>
    <t>Politika i prostorni pokazatelji za zdrave i održive gradove</t>
  </si>
  <si>
    <t>Prostorni pokazatelji za zdrave i održive gradove</t>
  </si>
  <si>
    <t>Preliminarni nalazi nisu namijenjeni javnoj objavi dok se rezultati i tumačenja ne potvrde i odobre.</t>
  </si>
  <si>
    <t>Podaci popisa pravila nisu se mogli učitati i preskočeni su. Pogledajte https://healthysustainablecities.github.io/software/#Policy-checklist</t>
  </si>
  <si>
    <t>SAMO NACRT</t>
  </si>
  <si>
    <t>Globalna suradnja pokazatelja zdravog i održivog grada</t>
  </si>
  <si>
    <t>Razine vlasti</t>
  </si>
  <si>
    <t>Demografija i zdravstvena jednakost</t>
  </si>
  <si>
    <t>Kontekst ekološke katastrofe</t>
  </si>
  <si>
    <t>Dodatni kontekst</t>
  </si>
  <si>
    <t>Uredite konfiguracijsku datoteku regije kako biste pružili pozadinski kontekst za svoju regiju proučavanja. Molimo ukratko opišite lokaciju, povijest i topografiju, prema potrebi.</t>
  </si>
  <si>
    <t>Sljedeće razine vladine politike analizirane su za {city_name}: {policy_checklist_levels}.</t>
  </si>
  <si>
    <t>Opasnosti za okoliš koje bi mogle utjecati na urbano područje u narednom desetljeću uključuju: {policy_checklist_hazards}.</t>
  </si>
  <si>
    <t>Detaljno navedite sva druga razmatranja koja se odnose na urbane zdravstvene nejednakosti i geografiju u ovom gradu ili razmatranja podataka koja bi mogla utjecati na tumačenje nalaza.</t>
  </si>
  <si>
    <t>Lokalni</t>
  </si>
  <si>
    <t>mitropolita</t>
  </si>
  <si>
    <t>Regionalni</t>
  </si>
  <si>
    <t>država</t>
  </si>
  <si>
    <t>Nacionalni</t>
  </si>
  <si>
    <t>Jake oluje</t>
  </si>
  <si>
    <t>Poplave</t>
  </si>
  <si>
    <t>Šumski požari/šumski požari</t>
  </si>
  <si>
    <t>Toplinski valovi</t>
  </si>
  <si>
    <t>Ekstremna hladnoća</t>
  </si>
  <si>
    <t>Tajfuni</t>
  </si>
  <si>
    <t>uragani</t>
  </si>
  <si>
    <t>Cikloni</t>
  </si>
  <si>
    <t>Potresi</t>
  </si>
  <si>
    <t>Regija istraživanja korištena za izračun prostornih pokazatelja za populaciju grada {city_name} predstavljena u ovom izvješću istaknuta je na donjoj karti sjenčanjem paralelnih linija.</t>
  </si>
  <si>
    <t>Studijska regija</t>
  </si>
  <si>
    <t>Legenda karte</t>
  </si>
  <si>
    <t>Administrativna granica ({source})</t>
  </si>
  <si>
    <t>Granica grada ({source})</t>
  </si>
  <si>
    <t>Granica regije proučavanja ({source})</t>
  </si>
  <si>
    <t>raskrižje administrativne granice i urbane granice</t>
  </si>
  <si>
    <t>po km²</t>
  </si>
  <si>
    <t>Tržnica hrane</t>
  </si>
  <si>
    <t>Mini market</t>
  </si>
  <si>
    <t>Svaki javni otvoreni prostor</t>
  </si>
  <si>
    <t>Veliki javni otvoreni prostor</t>
  </si>
  <si>
    <t>Stajalište javnog prijevoza</t>
  </si>
  <si>
    <t>Javni prijevoz s redovnom linijom</t>
  </si>
  <si>
    <t>Javni prijevoz s redovnom linijom (nije ocijenjeno)</t>
  </si>
  <si>
    <t>Prohodnost četvrti u odnosu na 25 gradova u svijetu</t>
  </si>
  <si>
    <t>Niska</t>
  </si>
  <si>
    <t>Prosjek</t>
  </si>
  <si>
    <t>visoko</t>
  </si>
  <si>
    <t>Da</t>
  </si>
  <si>
    <t>{percent} stanovništva u gradu {city_name} živi unutar 500 m od javnog prijevoza</t>
  </si>
  <si>
    <t>{percent} stanovništva u gradu {city_name} živi unutar 500 m od javnog prijevoza s prosječnom učestalošću radnim danom od 20 minuta ili bolje</t>
  </si>
  <si>
    <t>{percent} stanovništva u gradu {city_name} živi unutar 500 m javnog otvorenog prostora veličine najmanje 1,5 hektara</t>
  </si>
  <si>
    <t>{percent} stanovništva u gradu {city_name} živi u četvrtima koje zadovoljavaju prag gustoće naseljenosti za 80% vjerojatnosti pješačenja radi prijevoza ({n} ljudi {per_unit})</t>
  </si>
  <si>
    <t>{percent} stanovništva u gradu {city_name} živi u četvrtima koje zadovoljavaju prag gustoće uličnih raskrižja za 80% vjerojatnosti pješačenja radi prijevoza ({n} raskrižja {per_unit})</t>
  </si>
  <si>
    <t>{percent} stanovništva u gradu {city_name} živi u četvrtima s ocjenom prohodnosti ispod medijana 25 međunarodnih gradova (okvir 1)</t>
  </si>
  <si>
    <t>Politike identificirane</t>
  </si>
  <si>
    <t>% stanovništva s pristupom unutar 500 m do:</t>
  </si>
  <si>
    <t>Gustoća naseljenosti četvrti (po km²)</t>
  </si>
  <si>
    <t>Gustoća raskrižja u susjedstvu (po km²)</t>
  </si>
  <si>
    <t>Medijan i interkvartilni raspon za 25 međunarodnih gradova (Okvir 1)</t>
  </si>
  <si>
    <t>Karte prostorne distribucije prikazane u ovom izvješću prikazuju rezultate za područja s procjenama stanovništva prema {config[population][name]}.</t>
  </si>
  <si>
    <t>Molimo dostavite fotografiju visoke rezolucije "slike heroja" koja prikazuje društvenu gradsku ulicu ili javni prostor za šetnju u ovom gradu, idealno u .jpg formatu s dimenzijama u omjeru 21:10 (npr. 2100px x 1000px)</t>
  </si>
  <si>
    <t>Molimo dostavite fotografiju visoke rezolucije "slike heroja" koja prikazuje društvenu, prohodnu gradsku ulicu ili javni prostor za ovaj grad, idealno u .jpg formatu s dimenzijama u omjeru 1:1 (npr. 1000px x 1000px)</t>
  </si>
  <si>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</si>
  <si>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</si>
  <si>
    <t>Postotak stanovništva s pristupom sadržajima unutar 500 metara (m)</t>
  </si>
  <si>
    <t>Prohodnost i pristup odredištu</t>
  </si>
  <si>
    <t>Javne politike ključne su za podupiranje dizajna i stvaranja zdravih i održivih gradova i susjedstava. Kontrolni popis politike izazova 1000 gradova korišten je za procjenu prisutnosti i kvalitete politika usklađenih s dokazima i načelima za zdrave i održive gradove.</t>
  </si>
  <si>
    <t>Ocjena prisutnosti politike</t>
  </si>
  <si>
    <t>Prisutnost urbanih i prometnih politika koje podržavaju zdravlje i održivost</t>
  </si>
  <si>
    <t>Ocjena kvalitete politike</t>
  </si>
  <si>
    <t>Ocjena kvalitete politika za mjerljive politike usklađene s dokazima o zdravim gradovima</t>
  </si>
  <si>
    <t>Urbanistički zahtjevi</t>
  </si>
  <si>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</si>
  <si>
    <t>Nejednakosti u prohodnosti</t>
  </si>
  <si>
    <t>Okvir 1: Studija Lancetove globalne zdravstvene serije o 25 međunarodnih gradova</t>
  </si>
  <si>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</si>
  <si>
    <t>Urbanistički dizajn pragova za promicanje hodanja</t>
  </si>
  <si>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</si>
  <si>
    <t>Vjerojatnost upuštanja u bilo kakvo hodanje radi prijevoza</t>
  </si>
  <si>
    <t>5700 ljudi po km²</t>
  </si>
  <si>
    <t>ciljni prag</t>
  </si>
  <si>
    <t>Politika identificirana</t>
  </si>
  <si>
    <t>U skladu s dokazima o zdravim gradovima</t>
  </si>
  <si>
    <t>Mjerljivi cilj</t>
  </si>
  <si>
    <t>Dokazno informirani prag</t>
  </si>
  <si>
    <t>Ključ: Da ✔ Ne ✘ Mješovito ✔/✘ Nije primjenjivo -</t>
  </si>
  <si>
    <t>Politike integriranog planiranja grada za zdravlje i održivost</t>
  </si>
  <si>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</si>
  <si>
    <t>Prometna politika s aktivnostima usmjerenim na zdravlje</t>
  </si>
  <si>
    <t>Urbana politika s djelovanjem usmjerenim na zdravlje</t>
  </si>
  <si>
    <t>Zahtjevi procjene utjecaja na zdravlje u urbanoj/prometnoj politici</t>
  </si>
  <si>
    <t>Urbana/prometna politika izričito cilja na integrirano planiranje grada</t>
  </si>
  <si>
    <t>Javno dostupne informacije o državnim izdacima za različite načine prijevoza</t>
  </si>
  <si>
    <t>Pravila prohodnosti i pristupa odredištu</t>
  </si>
  <si>
    <t>Zahtjevi za ulično povezivanje</t>
  </si>
  <si>
    <t>Ograničenja parkiranja kako bi se obeshrabrilo korištenje automobila</t>
  </si>
  <si>
    <t>Zahtjevi sigurnosti prometa</t>
  </si>
  <si>
    <t>Osiguranje pješačke infrastrukture</t>
  </si>
  <si>
    <t>Osiguranje biciklističke infrastrukture</t>
  </si>
  <si>
    <t>Ciljevi sudjelovanja u hodanju</t>
  </si>
  <si>
    <t>Ciljevi sudjelovanja u biciklizmu</t>
  </si>
  <si>
    <t>Zahtjevi za gustoću smještaja</t>
  </si>
  <si>
    <t>Ograničenja izgradnje novih stambenih objekata</t>
  </si>
  <si>
    <t>Mješavina tipova/veličina kućišta</t>
  </si>
  <si>
    <t>Mješavina lokalnih destinacija za svakodnevni život</t>
  </si>
  <si>
    <t>Bliska udaljenost od dnevnih odredišta za život</t>
  </si>
  <si>
    <t>Zahtjevi raspodjele zaposlenja</t>
  </si>
  <si>
    <t>Omjer radnih mjesta i stambenog prostora</t>
  </si>
  <si>
    <t>Okruženje zdrave hrane</t>
  </si>
  <si>
    <t>Prevencija kriminala kroz dizajn okoliša</t>
  </si>
  <si>
    <t>Politike gradova otpornih na klimatske promjene</t>
  </si>
  <si>
    <t>Kvaliteta urbanog zraka i rješenja temeljena na prirodi</t>
  </si>
  <si>
    <t>Kvaliteta zraka u gradovima i politika rješenja temeljena na prirodi</t>
  </si>
  <si>
    <t>Prometna politika za ograničavanje onečišćenja zraka</t>
  </si>
  <si>
    <t>Politike korištenja zemljišta za smanjenje izloženosti onečišćenju zraka</t>
  </si>
  <si>
    <t>Zahtjevi za krošnje drveća i urbano ozelenjavanje</t>
  </si>
  <si>
    <t>Zaštita i promicanje urbane biološke raznolikosti</t>
  </si>
  <si>
    <t>Smanjenje rizika od klimatskih katastrofa</t>
  </si>
  <si>
    <t>Suočeni s klimatskim promjenama, izgrađeni okoliši moraju biti dizajnirani tako da umanje utjecaje na zdravlje sve češćih i ozbiljnijih ekstremnih vremenskih događaja, kao što su toplinski valovi, poplave, šumski požari/požari i ekstremne oluje.</t>
  </si>
  <si>
    <t>Strategije prilagodbe i smanjenja rizika od katastrofa</t>
  </si>
  <si>
    <t>Politika javnog prijevoza</t>
  </si>
  <si>
    <t>Zahtjevi za pristup javnom prijevozu zapošljavanju i uslugama</t>
  </si>
  <si>
    <t>Minimalni zahtjevi za pristup javnom prijevozu</t>
  </si>
  <si>
    <t>Ciljevi za korištenje javnog prijevoza</t>
  </si>
  <si>
    <t>Politika javnog otvorenog prostora</t>
  </si>
  <si>
    <t>Minimalni zahtjevi za pristup javnom otvorenom prostoru</t>
  </si>
  <si>
    <t>Pristup javnim prijevozom</t>
  </si>
  <si>
    <t>Pristup javnom otvorenom prostoru</t>
  </si>
  <si>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</si>
  <si>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</si>
  <si>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</si>
  <si>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</si>
  <si>
    <t>Sve pojedinosti o podacima i metodama dostupne su na</t>
  </si>
  <si>
    <t>Podaci o stanovništvu</t>
  </si>
  <si>
    <t>Urbane granice</t>
  </si>
  <si>
    <t>Urbanistička obilježja</t>
  </si>
  <si>
    <t>Skala boja</t>
  </si>
  <si>
    <t>Sažetak</t>
  </si>
  <si>
    <t>Ovo je djelo licencirano pod međunarodnom licencom Creative Commons CC BY-NC Attribution-NonCommercial 4.0.</t>
  </si>
  <si>
    <t>Članovi gradskog tima: {author_names}</t>
  </si>
  <si>
    <t>Dodajte imena autora uređivanjem postavki izvješća o konfiguraciji regije pomoću uređivača teksta</t>
  </si>
  <si>
    <t>Dizajn i uređivanje izvješća: {editor_names}</t>
  </si>
  <si>
    <t>Prijevod: {translation_names}</t>
  </si>
  <si>
    <t>Pregled politike proveo</t>
  </si>
  <si>
    <t>Croation</t>
  </si>
  <si>
    <t>1000 Cities Challenge -raportti</t>
  </si>
  <si>
    <t>Alustavia havaintoja ei ole tarkoitettu julkistettaviksi ennen kuin tulokset ja tulkinnat on validoitu ja hyväksytty.</t>
  </si>
  <si>
    <t>Ympäristökatastrofin konteksti</t>
  </si>
  <si>
    <t>Lisäkonteksti</t>
  </si>
  <si>
    <t>Paikallinen</t>
  </si>
  <si>
    <t>Hallinnollinen raja ({source})</t>
  </si>
  <si>
    <t>Tutkimusalueen raja ({source})</t>
  </si>
  <si>
    <t>Ruokakauppa</t>
  </si>
  <si>
    <t>Lähikauppa</t>
  </si>
  <si>
    <t>Mikä tahansa julkinen avoin tila</t>
  </si>
  <si>
    <t>Suuri julkinen avoin tila</t>
  </si>
  <si>
    <t>Julkisen liikenteen pysäkki</t>
  </si>
  <si>
    <t>Julkinen liikenne säännöllisellä liikenteellä</t>
  </si>
  <si>
    <t>Julkinen liikenne säännöllisellä liikenteellä (ei arvioitu)</t>
  </si>
  <si>
    <t>Matala</t>
  </si>
  <si>
    <t>Keskiverto</t>
  </si>
  <si>
    <t>Korkea</t>
  </si>
  <si>
    <t>Ei</t>
  </si>
  <si>
    <t>% väestöstä, joilla on pääsy 500 metrin säteellä:</t>
  </si>
  <si>
    <t>Naapuruston väestötiheys (per km²)</t>
  </si>
  <si>
    <t>Naapuruston risteystiheys (per km²)</t>
  </si>
  <si>
    <t>Prosenttiosuus väestöstä, jolla on pääsy palveluihin 500 metrin säteellä (m)</t>
  </si>
  <si>
    <t>Kaupunkisuunnittelun vaatimukset</t>
  </si>
  <si>
    <t>5 700 henkilöä/km²</t>
  </si>
  <si>
    <t>Mitattavissa oleva tavoite</t>
  </si>
  <si>
    <t>Liikenneturvallisuusvaatimukset</t>
  </si>
  <si>
    <t>Terveelliset ruokaympäristöt</t>
  </si>
  <si>
    <t>Kaupunkien ilmanlaatu ja luontopohjaiset ratkaisut</t>
  </si>
  <si>
    <t>Ilmastokatastrofiriskin vähentäminen</t>
  </si>
  <si>
    <t>Sopeutuminen ja katastrofiriskin vähentämisstrategiat</t>
  </si>
  <si>
    <t>Väestötiedot</t>
  </si>
  <si>
    <t>Väriskaala</t>
  </si>
  <si>
    <t>Yhteenveto</t>
  </si>
  <si>
    <t>Raportin suunnittelu ja muokkaus: {editor_names}</t>
  </si>
  <si>
    <t>Käännös: {translation_names}</t>
  </si>
  <si>
    <t>Finnish</t>
  </si>
  <si>
    <t>एन</t>
  </si>
  <si>
    <t>1000 शहरों की चुनौती रिपोर्ट</t>
  </si>
  <si>
    <t>स्वस्थ और टिकाऊ शहरों के लिए नीति संकेतक</t>
  </si>
  <si>
    <t>स्वस्थ और टिकाऊ शहरों के लिए नीति और स्थानिक संकेतक</t>
  </si>
  <si>
    <t>स्वस्थ और टिकाऊ शहरों के लिए स्थानिक संकेतक</t>
  </si>
  <si>
    <t>जब तक परिणाम और व्याख्याएं मान्य और स्वीकृत नहीं हो जातीं, तब तक प्रारंभिक निष्कर्षों को सार्वजनिक रूप से जारी करने का इरादा नहीं है।</t>
  </si>
  <si>
    <t>पॉलिसी चेकलिस्ट डेटा लोड नहीं किया जा सका और छोड़ दिया गया है। https://healthysustainablecities.github.io/software/#Policy-checklist देखें</t>
  </si>
  <si>
    <t>केवल ड्राफ्ट</t>
  </si>
  <si>
    <t>वैश्विक स्वस्थ और सतत शहर संकेतक सहयोग</t>
  </si>
  <si>
    <t>सरकार के स्तर</t>
  </si>
  <si>
    <t>जनसांख्यिकी और स्वास्थ्य समानता</t>
  </si>
  <si>
    <t>पर्यावरणीय आपदा संदर्भ</t>
  </si>
  <si>
    <t>अतिरिक्त प्रसंग</t>
  </si>
  <si>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</si>
  <si>
    <t>आने वाले दशक में शहरी क्षेत्र को प्रभावित करने वाले पर्यावरणीय खतरों में शामिल हैं: {policy_checklist_hazards}.</t>
  </si>
  <si>
    <t>इस शहर में शहरी स्वास्थ्य असमानताओं और भूगोल, या डेटा विचारों से संबंधित किसी भी अन्य विचार का विवरण दें जो निष्कर्षों की व्याख्या को प्रभावित कर सकता है।</t>
  </si>
  <si>
    <t>स्थानीय</t>
  </si>
  <si>
    <t>महानगर</t>
  </si>
  <si>
    <t>क्षेत्रीय</t>
  </si>
  <si>
    <t>राज्य</t>
  </si>
  <si>
    <t>राष्ट्रीय</t>
  </si>
  <si>
    <t>भयंकर तूफ़ान</t>
  </si>
  <si>
    <t>पानी की बाढ़</t>
  </si>
  <si>
    <t>झाड़ियों की आग/जंगल की आग</t>
  </si>
  <si>
    <t>गर्म तरंगें</t>
  </si>
  <si>
    <t>चरम ठंड़</t>
  </si>
  <si>
    <t>टाइफून</t>
  </si>
  <si>
    <t>तूफान</t>
  </si>
  <si>
    <t>चक्रवात</t>
  </si>
  <si>
    <t>भूकंप</t>
  </si>
  <si>
    <t>अध्ययन क्षेत्र</t>
  </si>
  <si>
    <t>नक्शा कथा</t>
  </si>
  <si>
    <t>प्रशासनिक सीमा और शहरी सीमा का प्रतिच्छेदन</t>
  </si>
  <si>
    <t>किमी</t>
  </si>
  <si>
    <t>एम</t>
  </si>
  <si>
    <t>प्रति किमी²</t>
  </si>
  <si>
    <t>खाद्य बाजार</t>
  </si>
  <si>
    <t>सुविधा स्टोर</t>
  </si>
  <si>
    <t>कोई भी सार्वजनिक खुला स्थान</t>
  </si>
  <si>
    <t>बड़ा सार्वजनिक खुला स्थान</t>
  </si>
  <si>
    <t>सार्वजनिक परिवहन बंद</t>
  </si>
  <si>
    <t>नियमित सेवा वाला सार्वजनिक परिवहन</t>
  </si>
  <si>
    <t>नियमित सेवा वाला सार्वजनिक परिवहन (मूल्यांकन नहीं किया गया)</t>
  </si>
  <si>
    <t>अंतरराष्ट्रीय स्तर पर 25 शहरों के सापेक्ष पड़ोस में चलने की क्षमता</t>
  </si>
  <si>
    <t>कम</t>
  </si>
  <si>
    <t>औसत</t>
  </si>
  <si>
    <t>उच्च</t>
  </si>
  <si>
    <t>नहीं</t>
  </si>
  <si>
    <t>हाँ</t>
  </si>
  <si>
    <t>नीतियों की पहचान की गई</t>
  </si>
  <si>
    <t>500 मीटर के भीतर पहुँच वाली जनसंख्या का %:</t>
  </si>
  <si>
    <t>पड़ोस का जनसंख्या घनत्व (प्रति वर्ग किमी)</t>
  </si>
  <si>
    <t>पड़ोस का चौराहा घनत्व (प्रति किमी²)</t>
  </si>
  <si>
    <t>अंतरराष्ट्रीय स्तर पर 25 शहरों के लिए माध्यिका और अंतरचतुर्थक सीमा (बॉक्स 1)</t>
  </si>
  <si>
    <t>इस रिपोर्ट में प्रदर्शित स्थानिक वितरण मानचित्र {config[population][name]} के अनुसार जनसंख्या अनुमान वाले क्षेत्रों के परिणाम प्रदर्शित करते हैं।</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</si>
  <si>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</si>
  <si>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</si>
  <si>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</si>
  <si>
    <t>500 मीटर (मीटर) के भीतर सुविधाओं तक पहुंच वाली जनसंख्या का प्रतिशत</t>
  </si>
  <si>
    <t>चलने योग्यता और गंतव्य तक पहुंच</t>
  </si>
  <si>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</si>
  <si>
    <t>नीति उपस्थिति स्कोर</t>
  </si>
  <si>
    <t>स्वास्थ्य और स्थिरता का समर्थन करने वाली शहरी और परिवहन नीतियों की उपस्थिति</t>
  </si>
  <si>
    <t>नीति गुणवत्ता स्कोर</t>
  </si>
  <si>
    <t>स्वस्थ शहरों पर साक्ष्य के साथ संरेखित मापने योग्य नीतियों के लिए नीति गुणवत्ता रेटिंग</t>
  </si>
  <si>
    <t>नगर नियोजन आवश्यकताएँ</t>
  </si>
  <si>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</si>
  <si>
    <t>चलने योग्यता असमानताएँ</t>
  </si>
  <si>
    <t>बॉक्स 1: लैंसेट ग्लोबल हेल्थ सीरीज़ द्वारा अंतरराष्ट्रीय स्तर पर 25 शहरों का अध्ययन</t>
  </si>
  <si>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</si>
  <si>
    <t>पैदल चलने को बढ़ावा देने के लिए शहरी डिज़ाइन की सीमाएं</t>
  </si>
  <si>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</si>
  <si>
    <t>परिवहन के लिए किसी भी प्रकार की पैदल यात्रा में संलग्न होने की संभावना</t>
  </si>
  <si>
    <t>प्रति किमी² 5,700 लोग</t>
  </si>
  <si>
    <t>लक्ष्य सीमा</t>
  </si>
  <si>
    <t>नीति की पहचान की गई</t>
  </si>
  <si>
    <t>स्वस्थ शहरों के साक्ष्य के साथ संरेखित</t>
  </si>
  <si>
    <t>मापने योग्य लक्ष्य</t>
  </si>
  <si>
    <t>साक्ष्य- सूचित सीमा</t>
  </si>
  <si>
    <t>कुंजी: हाँ ✔ नहीं ✘ मिश्रित ✔/✘ लागू नहीं -</t>
  </si>
  <si>
    <t>स्वास्थ्य और स्थिरता के लिए एकीकृत शहर नियोजन नीतियां</t>
  </si>
  <si>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</si>
  <si>
    <t>स्वास्थ्य-केंद्रित कार्यों के साथ परिवहन नीति</t>
  </si>
  <si>
    <t>स्वास्थ्य-केंद्रित कार्यों वाली शहरी नीति</t>
  </si>
  <si>
    <t>शहरी/परिवहन नीति में स्वास्थ्य प्रभाव आकलन आवश्यकताएँ</t>
  </si>
  <si>
    <t>शहरी/परिवहन नीति का लक्ष्य स्पष्ट रूप से एकीकृत शहर नियोजन है</t>
  </si>
  <si>
    <t>विभिन्न परिवहन साधनों के लिए सरकारी व्यय की जानकारी सार्वजनिक रूप से उपलब्ध है</t>
  </si>
  <si>
    <t>चलने योग्यता और गंतव्य पहुंच नीतियां</t>
  </si>
  <si>
    <t>सड़क कनेक्टिविटी आवश्यकताएँ</t>
  </si>
  <si>
    <t>कार के उपयोग को हतोत्साहित करने के लिए पार्किंग प्रतिबंध</t>
  </si>
  <si>
    <t>यातायात सुरक्षा आवश्यकताएँ</t>
  </si>
  <si>
    <t>पैदल यात्री बुनियादी ढांचे का प्रावधान</t>
  </si>
  <si>
    <t>साइक्लिंग बुनियादी ढांचे का प्रावधान</t>
  </si>
  <si>
    <t>पैदल भागीदारी लक्ष्य</t>
  </si>
  <si>
    <t>साइक्लिंग भागीदारी लक्ष्य</t>
  </si>
  <si>
    <t>आवास घनत्व आवश्यकताएँ</t>
  </si>
  <si>
    <t>ग्रीनफ़ील्ड आवास विकास पर सीमाएँ</t>
  </si>
  <si>
    <t>आवास के प्रकार/आकार का मिश्रण</t>
  </si>
  <si>
    <t>दैनिक जीवन के लिए स्थानीय स्थलों का मिश्रण</t>
  </si>
  <si>
    <t>दैनिक जीवन के गंतव्यों से निकट दूरी</t>
  </si>
  <si>
    <t>रोजगार वितरण आवश्यकताएँ</t>
  </si>
  <si>
    <t>आवास के लिए नौकरियों का अनुपात</t>
  </si>
  <si>
    <t>स्वस्थ भोजन वातावरण</t>
  </si>
  <si>
    <t>पर्यावरण डिज़ाइन के माध्यम से अपराध की रोकथाम</t>
  </si>
  <si>
    <t>जलवायु अनुकूल शहरों की नीतियां</t>
  </si>
  <si>
    <t>शहरी वायु गुणवत्ता, और प्रकृति-आधारित समाधान</t>
  </si>
  <si>
    <t>शहरी वायु गुणवत्ता, और प्रकृति-आधारित समाधान नीतियां</t>
  </si>
  <si>
    <t>वायु प्रदूषण को सीमित करने के लिए परिवहन नीतियां</t>
  </si>
  <si>
    <t>वायु प्रदूषण जोखिम को कम करने के लिए भूमि उपयोग नीतियां</t>
  </si>
  <si>
    <t>वृक्ष छत्रछाया और शहरी हरियाली आवश्यकताएँ</t>
  </si>
  <si>
    <t>शहरी जैव विविधता संरक्षण एवं संवर्धन</t>
  </si>
  <si>
    <t>जलवायु आपदा जोखिम में कमी</t>
  </si>
  <si>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</si>
  <si>
    <t>अनुकूलन और आपदा जोखिम न्यूनीकरण रणनीतियाँ</t>
  </si>
  <si>
    <t>सार्वजनिक परिवहन नीति</t>
  </si>
  <si>
    <t>रोजगार और सेवाओं तक सार्वजनिक परिवहन पहुंच के लिए आवश्यकताएँ</t>
  </si>
  <si>
    <t>सार्वजनिक परिवहन पहुंच के लिए न्यूनतम आवश्यकताएँ</t>
  </si>
  <si>
    <t>सार्वजनिक परिवहन उपयोग के लिए लक्ष्य</t>
  </si>
  <si>
    <t>सार्वजनिक खुली जगह नीति</t>
  </si>
  <si>
    <t>सार्वजनिक खुले स्थान तक पहुँच के लिए न्यूनतम आवश्यकताएँ</t>
  </si>
  <si>
    <t>सार्वजनिक परिवहन पहुंच</t>
  </si>
  <si>
    <t>सार्वजनिक खुले स्थान तक पहुंच</t>
  </si>
  <si>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</si>
  <si>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</si>
  <si>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</si>
  <si>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</si>
  <si>
    <t>डेटा और विधियों का पूरा विवरण यहां उपलब्ध है</t>
  </si>
  <si>
    <t>जनसंख्या डेटा</t>
  </si>
  <si>
    <t>शहरी सीमाएँ</t>
  </si>
  <si>
    <t>शहरी विशेषताएँ</t>
  </si>
  <si>
    <t>रंग पैमाना</t>
  </si>
  <si>
    <t>उद्धरण</t>
  </si>
  <si>
    <t>सारांश</t>
  </si>
  <si>
    <t>यह कार्य क्रिएटिव कॉमन्स CC BY-NC एट्रिब्यूशन-नॉन-कमर्शियल 4.0 इंटरनेशनल लाइसेंस के तहत लाइसेंस प्राप्त है।</t>
  </si>
  <si>
    <t>शहर टीम के सदस्य: {author_names}</t>
  </si>
  <si>
    <t>टेक्स्ट एडिटर का उपयोग करके क्षेत्र कॉन्फ़िगरेशन रिपोर्टिंग सेटिंग्स को संपादित करके लेखक के नाम जोड़ें</t>
  </si>
  <si>
    <t>रिपोर्ट डिज़ाइन और संपादन: {editor_names}</t>
  </si>
  <si>
    <t>अनुवाद: {translation_names}</t>
  </si>
  <si>
    <t>द्वारा नीति समीक्षा संचालित की गई</t>
  </si>
  <si>
    <t>Hindi</t>
  </si>
  <si>
    <t>Laporan Tantangan 1000 Kota</t>
  </si>
  <si>
    <t>Indikator kebijakan untuk kota yang sehat dan berkelanjutan</t>
  </si>
  <si>
    <t>Indikator kebijakan dan spasial untuk kota yang sehat dan berkelanjutan</t>
  </si>
  <si>
    <t>Indikator spasial kota yang sehat dan berkelanjutan</t>
  </si>
  <si>
    <t>Temuan awal tidak dimaksudkan untuk dipublikasikan sampai hasil dan interpretasi divalidasi dan disetujui.</t>
  </si>
  <si>
    <t>Data daftar periksa kebijakan tidak dapat dimuat dan dilewati. Lihat https://healthysustainablecities.github.io/software/#Policy-checklist</t>
  </si>
  <si>
    <t>HANYA DRAFT</t>
  </si>
  <si>
    <t>Kolaborasi Indikator Kota Sehat dan Berkelanjutan Global</t>
  </si>
  <si>
    <t>Tingkat pemerintahan</t>
  </si>
  <si>
    <t>Demografi dan kesetaraan kesehatan</t>
  </si>
  <si>
    <t>Konteks bencana lingkungan</t>
  </si>
  <si>
    <t>Konteks tambahan</t>
  </si>
  <si>
    <t>Edit file konfigurasi wilayah untuk memberikan konteks latar belakang wilayah studi Anda. Harap rangkum secara singkat lokasi, sejarah dan topografi, jika relevan.</t>
  </si>
  <si>
    <t>Tingkat kebijakan pemerintah berikut ini dianalisis untuk {city_name}: {policy_checklist_levels}.</t>
  </si>
  <si>
    <t>Bahaya lingkungan yang mungkin berdampak pada wilayah perkotaan dalam dekade mendatang meliputi: {policy_checklist_hazards}.</t>
  </si>
  <si>
    <t>Rincikan pertimbangan lain yang berkaitan dengan kesenjangan kesehatan perkotaan dan geografi di kota ini, atau pertimbangan data yang dapat memengaruhi interpretasi temuan.</t>
  </si>
  <si>
    <t>metropolitan</t>
  </si>
  <si>
    <t>Daerah</t>
  </si>
  <si>
    <t>Negara</t>
  </si>
  <si>
    <t>Nasional</t>
  </si>
  <si>
    <t>Badai hebat</t>
  </si>
  <si>
    <t>Banjir</t>
  </si>
  <si>
    <t>Kebakaran hutan/kebakaran hutan</t>
  </si>
  <si>
    <t>Gelombang panas</t>
  </si>
  <si>
    <t>Sangat dingin</t>
  </si>
  <si>
    <t>Topan</t>
  </si>
  <si>
    <t>Badai</t>
  </si>
  <si>
    <t>Gempa bumi</t>
  </si>
  <si>
    <t>Wilayah studi yang digunakan untuk menghitung indikator spasial untuk populasi {city_name} yang disajikan dalam laporan ini telah ditandai pada peta di bawah ini dengan menggunakan arsir garis paralel.</t>
  </si>
  <si>
    <t>Wilayah studi</t>
  </si>
  <si>
    <t>Legenda peta</t>
  </si>
  <si>
    <t>Batas administratif ({source})</t>
  </si>
  <si>
    <t>Batas kota ({source})</t>
  </si>
  <si>
    <t>Batas wilayah studi ({source})</t>
  </si>
  <si>
    <t>perpotongan batas administrasi dan batas kota</t>
  </si>
  <si>
    <t>Pasar makanan</t>
  </si>
  <si>
    <t>Toko serba-ada</t>
  </si>
  <si>
    <t>Ruang terbuka publik apa pun</t>
  </si>
  <si>
    <t>Ruang terbuka publik yang luas</t>
  </si>
  <si>
    <t>Halte angkutan umum</t>
  </si>
  <si>
    <t>Angkutan umum dengan layanan reguler</t>
  </si>
  <si>
    <t>Angkutan umum dengan layanan reguler (tidak dievaluasi)</t>
  </si>
  <si>
    <t>Kemampuan berjalan kaki di lingkungan sekitar dibandingkan dengan 25 kota secara internasional</t>
  </si>
  <si>
    <t>Rendah</t>
  </si>
  <si>
    <t>Rata-rata</t>
  </si>
  <si>
    <t>Tinggi</t>
  </si>
  <si>
    <t>TIDAK</t>
  </si>
  <si>
    <t>Ya</t>
  </si>
  <si>
    <t>{percent} populasi di {city_name} tinggal di lingkungan yang memenuhi ambang batas kepadatan penduduk dengan kemungkinan 80% untuk menggunakan transportasi jalan kaki ({n} orang {per_unit})</t>
  </si>
  <si>
    <t>{percent} populasi di {city_name} tinggal di lingkungan yang memenuhi ambang batas kepadatan persimpangan jalan dengan kemungkinan 80% untuk menggunakan transportasi jalan kaki ({n} persimpangan {per_unit})</t>
  </si>
  <si>
    <t>{percent} populasi di {city_name} tinggal di lingkungan dengan skor kemampuan berjalan kaki di bawah median 25 kota secara internasional (Kotak 1)</t>
  </si>
  <si>
    <t>Kebijakan diidentifikasi</t>
  </si>
  <si>
    <t>% populasi dengan akses dalam jarak 500 m ke:</t>
  </si>
  <si>
    <t>Kepadatan penduduk di lingkungan sekitar (per km²)</t>
  </si>
  <si>
    <t>Kepadatan persimpangan lingkungan (per km²)</t>
  </si>
  <si>
    <t>Kisaran median dan interkuartil untuk 25 kota secara internasional (Kotak 1)</t>
  </si>
  <si>
    <t>Peta sebaran spasial yang ditampilkan dalam laporan ini menampilkan hasil wilayah dengan perkiraan populasi menurut {config[population][name]}.</t>
  </si>
  <si>
    <t>Harap berikan foto 'gambar pahlawan' beresolusi tinggi yang menunjukkan jalan kota atau ruang publik yang ramah dan dapat dilalui untuk berjalan kaki di kota ini, idealnya dalam format .jpg dengan dimensi dalam rasio 21:10 (misalnya 2100px kali 1000px)</t>
  </si>
  <si>
    <t>Harap berikan foto 'gambar pahlawan' beresolusi tinggi yang menunjukkan jalan kota atau ruang publik yang nyaman dan dapat dilalui untuk berjalan kaki di kota ini, idealnya dalam format .jpg dengan dimensi dalam rasio 1:1 (misalnya 1000px kali 1000px)</t>
  </si>
  <si>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</si>
  <si>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</si>
  <si>
    <t>Persentase penduduk yang memiliki akses terhadap fasilitas dalam jarak 500 meter (m)</t>
  </si>
  <si>
    <t>Walkability dan akses tujuan</t>
  </si>
  <si>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</si>
  <si>
    <t>Skor kehadiran kebijakan</t>
  </si>
  <si>
    <t>Adanya kebijakan perkotaan dan transportasi yang mendukung kesehatan dan keberlanjutan</t>
  </si>
  <si>
    <t>Skor kualitas kebijakan</t>
  </si>
  <si>
    <t>Penilaian kualitas kebijakan untuk kebijakan yang terukur dan selaras dengan bukti mengenai kota yang sehat</t>
  </si>
  <si>
    <t>Persyaratan perencanaan kota</t>
  </si>
  <si>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</si>
  <si>
    <t>Ketimpangan walkability</t>
  </si>
  <si>
    <t>Kotak 1: Studi Lancet Global Health Series terhadap 25 kota secara internasional</t>
  </si>
  <si>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</si>
  <si>
    <t>Ambang batas desain perkotaan untuk mendorong berjalan kaki</t>
  </si>
  <si>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</si>
  <si>
    <t>Kemungkinan melakukan perjalanan apa pun untuk transportasi</t>
  </si>
  <si>
    <t>5.700 orang per km²</t>
  </si>
  <si>
    <t>ambang batas sasaran</t>
  </si>
  <si>
    <t>Selaras dengan bukti kota sehat</t>
  </si>
  <si>
    <t>Sasaran yang terukur</t>
  </si>
  <si>
    <t>Bukti- ambang batas yang diinformasikan</t>
  </si>
  <si>
    <t>Kunci: Ya ✔ Tidak ✘ Campuran ✔/✘ Tidak berlaku -</t>
  </si>
  <si>
    <t>Kebijakan perencanaan kota terpadu untuk kesehatan dan keberlanjutan</t>
  </si>
  <si>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</si>
  <si>
    <t>Kebijakan transportasi dengan tindakan yang berfokus pada kesehatan</t>
  </si>
  <si>
    <t>Kebijakan perkotaan dengan tindakan yang berfokus pada kesehatan</t>
  </si>
  <si>
    <t>Persyaratan Penilaian Dampak Kesehatan dalam kebijakan perkotaan/transportasi</t>
  </si>
  <si>
    <t>Kebijakan perkotaan/transportasi secara eksplisit bertujuan untuk perencanaan kota yang terpadu</t>
  </si>
  <si>
    <t>Informasi yang tersedia untuk umum mengenai pengeluaran pemerintah untuk berbagai moda transportasi</t>
  </si>
  <si>
    <t>Kebijakan walkability dan akses destinasi</t>
  </si>
  <si>
    <t>Persyaratan konektivitas jalan</t>
  </si>
  <si>
    <t>Pembatasan parkir untuk mencegah penggunaan mobil</t>
  </si>
  <si>
    <t>Persyaratan keselamatan lalu lintas</t>
  </si>
  <si>
    <t>Penyediaan infrastruktur pejalan kaki</t>
  </si>
  <si>
    <t>Penyediaan infrastruktur bersepeda</t>
  </si>
  <si>
    <t>Target partisipasi jalan kaki</t>
  </si>
  <si>
    <t>Target partisipasi bersepeda</t>
  </si>
  <si>
    <t>Persyaratan kepadatan perumahan</t>
  </si>
  <si>
    <t>Batasan pembangunan perumahan greenfield</t>
  </si>
  <si>
    <t>Campuran tipe/ukuran perumahan</t>
  </si>
  <si>
    <t>Campuran destinasi lokal untuk kehidupan sehari-hari</t>
  </si>
  <si>
    <t>Jarak dekat ke destinasi kehidupan sehari-hari</t>
  </si>
  <si>
    <t>Persyaratan distribusi lapangan kerja</t>
  </si>
  <si>
    <t>Rasio pekerjaan terhadap perumahan</t>
  </si>
  <si>
    <t>Lingkungan makanan yang sehat</t>
  </si>
  <si>
    <t>Pencegahan kejahatan melalui desain lingkungan</t>
  </si>
  <si>
    <t>Kebijakan kota yang berketahanan iklim</t>
  </si>
  <si>
    <t>Kualitas udara perkotaan, dan solusi berbasis alam</t>
  </si>
  <si>
    <t>Kebijakan kualitas udara perkotaan dan solusi berbasis alam</t>
  </si>
  <si>
    <t>Kebijakan transportasi untuk membatasi polusi udara</t>
  </si>
  <si>
    <t>Kebijakan penggunaan lahan untuk mengurangi paparan polusi udara</t>
  </si>
  <si>
    <t>Persyaratan kanopi pohon dan penghijauan perkotaan</t>
  </si>
  <si>
    <t>Perlindungan &amp; promosi keanekaragaman hayati perkotaan</t>
  </si>
  <si>
    <t>Pengurangan risiko bencana iklim</t>
  </si>
  <si>
    <t>Dalam menghadapi perubahan iklim, lingkungan binaan perlu dirancang untuk mengurangi dampak kesehatan dari kejadian cuaca ekstrem yang semakin sering terjadi dan parah, seperti gelombang panas, banjir, kebakaran hutan/kebakaran hutan, dan badai ekstrem.</t>
  </si>
  <si>
    <t>Strategi adaptasi dan pengurangan risiko bencana</t>
  </si>
  <si>
    <t>Kebijakan transportasi umum</t>
  </si>
  <si>
    <t>Persyaratan akses angkutan umum terhadap pekerjaan dan layanan</t>
  </si>
  <si>
    <t>Persyaratan minimum untuk akses transportasi umum</t>
  </si>
  <si>
    <t>Target penggunaan angkutan umum</t>
  </si>
  <si>
    <t>Kebijakan ruang terbuka publik</t>
  </si>
  <si>
    <t>Persyaratan minimal akses ruang terbuka publik</t>
  </si>
  <si>
    <t>Akses transportasi umum</t>
  </si>
  <si>
    <t>Akses ruang terbuka publik</t>
  </si>
  <si>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</si>
  <si>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</si>
  <si>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</si>
  <si>
    <t>Contoh laporan saja. Salin dan edit contoh file .yml di folder konfigurasi/wilayah untuk menentukan wilayah studi Anda sendiri untuk analisis dan pelaporan. Setelah konfigurasi dan analisis, laporan kebijakan dan/atau indikator spasial dapat dihasilkan sesuai dengan arahan di</t>
  </si>
  <si>
    <t>Rincian lengkap data dan metode tersedia di</t>
  </si>
  <si>
    <t>Data populasi</t>
  </si>
  <si>
    <t>Batas kota</t>
  </si>
  <si>
    <t>Fitur perkotaan</t>
  </si>
  <si>
    <t>Skala warna</t>
  </si>
  <si>
    <t>Kutipan</t>
  </si>
  <si>
    <t>Ringkasan</t>
  </si>
  <si>
    <t>Karya ini dilisensikan di bawah Lisensi Internasional Creative Commons CC BY-NC Attribution-NonCommercial 4.0.</t>
  </si>
  <si>
    <t>Anggota tim kota: {author_names}</t>
  </si>
  <si>
    <t>Tambahkan nama penulis dengan mengedit pengaturan pelaporan konfigurasi wilayah menggunakan editor teks</t>
  </si>
  <si>
    <t>Desain dan pengeditan laporan: {editor_names}</t>
  </si>
  <si>
    <t>Terjemahan: {translation_names}</t>
  </si>
  <si>
    <t>Tinjauan kebijakan dilakukan oleh</t>
  </si>
  <si>
    <t>Indonesian</t>
  </si>
  <si>
    <t>Indicatori spaziali per città sane e sostenibili</t>
  </si>
  <si>
    <t>SOLO BOZZA</t>
  </si>
  <si>
    <t>I rischi ambientali che potrebbero avere un impatto sull'area urbana nel prossimo decennio includono: {policy_checklist_hazards}.</t>
  </si>
  <si>
    <t>Locale</t>
  </si>
  <si>
    <t>Regionale</t>
  </si>
  <si>
    <t>Nazionale</t>
  </si>
  <si>
    <t>Forti tempeste</t>
  </si>
  <si>
    <t>Inondazioni</t>
  </si>
  <si>
    <t>Freddo estremo</t>
  </si>
  <si>
    <t>Tifoni</t>
  </si>
  <si>
    <t>Uragani</t>
  </si>
  <si>
    <t>Cicloni</t>
  </si>
  <si>
    <t>Terremoti</t>
  </si>
  <si>
    <t>Regione di studio</t>
  </si>
  <si>
    <t>Legenda della mappa</t>
  </si>
  <si>
    <t>Confine amministrativo ({source})</t>
  </si>
  <si>
    <t>Confine urbano ({source})</t>
  </si>
  <si>
    <t>Confine della regione di studio ({source})</t>
  </si>
  <si>
    <t>Supermercato</t>
  </si>
  <si>
    <t>Minimarket</t>
  </si>
  <si>
    <t>Ampio spazio pubblico all'aperto</t>
  </si>
  <si>
    <t>Mezzi pubblici con servizio regolare</t>
  </si>
  <si>
    <t>Mezzi pubblici con servizio regolare (non valutati)</t>
  </si>
  <si>
    <t>Basso</t>
  </si>
  <si>
    <t>Il {percent} della popolazione di {city_name} vive entro 500 metri dai trasporti pubblici</t>
  </si>
  <si>
    <t>Politiche identificate</t>
  </si>
  <si>
    <t>% della popolazione con accesso entro 500 m a:</t>
  </si>
  <si>
    <t>Densità di popolazione del quartiere (per km²)</t>
  </si>
  <si>
    <t>Densità di intersezioni del quartiere (per km²)</t>
  </si>
  <si>
    <t>Percentuale di popolazione con accesso ai servizi entro 500 metri (m)</t>
  </si>
  <si>
    <t>5.700 abitanti per km²</t>
  </si>
  <si>
    <t>soglia obiettivo</t>
  </si>
  <si>
    <t>Politica identificata</t>
  </si>
  <si>
    <t>Obiettivo misurabile</t>
  </si>
  <si>
    <t>Legenda: Sì ✔ No ✘ Misto ✔/✘ Non applicabile -</t>
  </si>
  <si>
    <t>Politiche urbanistiche integrate per la salute e la sostenibilità</t>
  </si>
  <si>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</si>
  <si>
    <t>Politica dei trasporti con azioni incentrate sulla salute</t>
  </si>
  <si>
    <t>Requisiti di connettività stradale</t>
  </si>
  <si>
    <t>Restrizioni al parcheggio per scoraggiare l'uso dell'auto</t>
  </si>
  <si>
    <t>Requisiti di sicurezza stradale</t>
  </si>
  <si>
    <t>Fornitura di infrastrutture pedonali</t>
  </si>
  <si>
    <t>Limiti allo sviluppo edilizio greenfield</t>
  </si>
  <si>
    <t>Requisiti di distribuzione dell'occupazione</t>
  </si>
  <si>
    <t>La prevenzione della criminalità attraverso la progettazione ambientale</t>
  </si>
  <si>
    <t>Qualità dell’aria urbana e soluzioni basate sulla natura</t>
  </si>
  <si>
    <t>Politiche relative alla qualità dell’aria urbana e alle soluzioni basate sulla natura</t>
  </si>
  <si>
    <t>Tutela e promozione della biodiversità urbana</t>
  </si>
  <si>
    <t>Riduzione del rischio di disastri climatici</t>
  </si>
  <si>
    <t>Strategie di adattamento e di riduzione del rischio di catastrofi</t>
  </si>
  <si>
    <t>La politica dei trasporti pubblici</t>
  </si>
  <si>
    <t>Requisiti minimi per l'accesso ai trasporti pubblici</t>
  </si>
  <si>
    <t>Requisiti minimi per l'accesso agli spazi pubblici aperti</t>
  </si>
  <si>
    <t>Accesso ai trasporti pubblici</t>
  </si>
  <si>
    <t>Accesso allo spazio pubblico aperto</t>
  </si>
  <si>
    <t>Dati sulla popolazione</t>
  </si>
  <si>
    <t>Confini urbani</t>
  </si>
  <si>
    <t>Caratteristiche urbane</t>
  </si>
  <si>
    <t>Scala di colori</t>
  </si>
  <si>
    <t>Citazione</t>
  </si>
  <si>
    <t>Riepilogo</t>
  </si>
  <si>
    <t>Aggiungi i nomi degli autori modificando le impostazioni di reporting della configurazione della regione utilizzando un editor di testo</t>
  </si>
  <si>
    <t>Progettazione e modifica del report: {editor_names}</t>
  </si>
  <si>
    <t>Traduzione: {translation_names}</t>
  </si>
  <si>
    <t>Italian</t>
  </si>
  <si>
    <t>1000 Cities Challenge レポート</t>
  </si>
  <si>
    <t>健康で持続可能な都市に向けた政策指標</t>
  </si>
  <si>
    <t>健康で持続可能な都市のための政策と空間指標</t>
  </si>
  <si>
    <t>健康で持続可能な都市のための空間指標</t>
  </si>
  <si>
    <t>ドラフトのみ</t>
  </si>
  <si>
    <t>{city_name} コンテキスト</t>
  </si>
  <si>
    <t>政府のレベル</t>
  </si>
  <si>
    <t>人口動態と健康の公平性</t>
  </si>
  <si>
    <t>環境災害の背景</t>
  </si>
  <si>
    <t>追加のコンテキスト</t>
  </si>
  <si>
    <t>メトロポリタン</t>
  </si>
  <si>
    <t>州</t>
  </si>
  <si>
    <t>激しい嵐</t>
  </si>
  <si>
    <t>森林火災/山火事</t>
  </si>
  <si>
    <t>熱波</t>
  </si>
  <si>
    <t>極寒</t>
  </si>
  <si>
    <t>台風</t>
  </si>
  <si>
    <t>ハリケーン</t>
  </si>
  <si>
    <t>調査地域</t>
  </si>
  <si>
    <t>地図の凡例</t>
  </si>
  <si>
    <t>調査領域の境界 ({source})</t>
  </si>
  <si>
    <t>コンビニ</t>
  </si>
  <si>
    <t>定期運行の公共交通機関</t>
  </si>
  <si>
    <t>定期運行の公共交通機関 (未評価)</t>
  </si>
  <si>
    <t>低い</t>
  </si>
  <si>
    <t>平均</t>
  </si>
  <si>
    <t>高い</t>
  </si>
  <si>
    <t>いいえ</t>
  </si>
  <si>
    <t>はい</t>
  </si>
  <si>
    <t>1km²あたり5,700人</t>
  </si>
  <si>
    <t>目標閾値</t>
  </si>
  <si>
    <t>健康と持続可能性のための総合的な都市計画政策</t>
  </si>
  <si>
    <t>健康を重視した交通政策</t>
  </si>
  <si>
    <t>健康を重視した都市政策</t>
  </si>
  <si>
    <t>歩行者インフラの整備</t>
  </si>
  <si>
    <t>健康的な食環境</t>
  </si>
  <si>
    <t>気候変動に強い都市政策</t>
  </si>
  <si>
    <t>都市の大気質と自然ベースのソリューション</t>
  </si>
  <si>
    <t>大気汚染を制限するための交通政策</t>
  </si>
  <si>
    <t>大気汚染への曝露を軽減するための土地利用政策</t>
  </si>
  <si>
    <t>人口データ</t>
  </si>
  <si>
    <t>都市境界線</t>
  </si>
  <si>
    <t>都市の特徴</t>
  </si>
  <si>
    <t>カラースケール</t>
  </si>
  <si>
    <t>引用</t>
  </si>
  <si>
    <t>レポートのデザインと編集: {editor_names}</t>
  </si>
  <si>
    <t>Japanese</t>
  </si>
  <si>
    <t>1000개 도시 챌린지 보고서</t>
  </si>
  <si>
    <t>건강하고 지속가능한 도시를 위한 정책 지표</t>
  </si>
  <si>
    <t>건강하고 지속가능한 도시를 위한 정책 및 공간 지표</t>
  </si>
  <si>
    <t>건강하고 지속가능한 도시를 위한 공간 지표</t>
  </si>
  <si>
    <t>인구통계 및 건강 형평성</t>
  </si>
  <si>
    <t>환경 재해 상황</t>
  </si>
  <si>
    <t>{city_name}에 대해 다음 수준의 정부 정책이 분석되었습니다: {policy_checklist_levels}.</t>
  </si>
  <si>
    <t>향후 10년 동안 도시 지역에 영향을 미칠 수 있는 환경 위험은 다음과 같습니다. {policy_checklist_hazards}.</t>
  </si>
  <si>
    <t>지역</t>
  </si>
  <si>
    <t>심한 폭풍</t>
  </si>
  <si>
    <t>홍수</t>
  </si>
  <si>
    <t>태풍</t>
  </si>
  <si>
    <t>허리케인</t>
  </si>
  <si>
    <t>사이클론</t>
  </si>
  <si>
    <t>지진</t>
  </si>
  <si>
    <t>연구 지역</t>
  </si>
  <si>
    <t>지도 범례</t>
  </si>
  <si>
    <t>행정 경계({source})</t>
  </si>
  <si>
    <t>도시 경계({source})</t>
  </si>
  <si>
    <t>연구 지역 경계({source})</t>
  </si>
  <si>
    <t>행정경계와 도시경계의 교차점</t>
  </si>
  <si>
    <t>킬로미터</t>
  </si>
  <si>
    <t>km²당</t>
  </si>
  <si>
    <t>편의점</t>
  </si>
  <si>
    <t>대중교통 정류장</t>
  </si>
  <si>
    <t>평균</t>
  </si>
  <si>
    <t>아니요</t>
  </si>
  <si>
    <t>예</t>
  </si>
  <si>
    <t>확인된 정책</t>
  </si>
  <si>
    <t>500m 이내에 접근 가능한 인구 비율:</t>
  </si>
  <si>
    <t>km²당 5,700명</t>
  </si>
  <si>
    <t>측정 가능한 목표</t>
  </si>
  <si>
    <t>건강에 초점을 맞춘 교통 정책</t>
  </si>
  <si>
    <t>주택 유형/크기의 혼합</t>
  </si>
  <si>
    <t>일자리와 주택의 비율</t>
  </si>
  <si>
    <t>건강한 식품 환경</t>
  </si>
  <si>
    <t>환경디자인을 통한 범죄예방</t>
  </si>
  <si>
    <t>기후 회복력 있는 도시 정책</t>
  </si>
  <si>
    <t>대기 오염을 제한하는 교통 정책</t>
  </si>
  <si>
    <t>나무 캐노피 및 도시 녹화 요구 사항</t>
  </si>
  <si>
    <t>적응 및 재해 위험 감소 전략</t>
  </si>
  <si>
    <t>인구 데이터</t>
  </si>
  <si>
    <t>도시 경계</t>
  </si>
  <si>
    <t>컬러 스케일</t>
  </si>
  <si>
    <t>요약</t>
  </si>
  <si>
    <t>보고서 디자인 및 편집: {editor_names}</t>
  </si>
  <si>
    <t>번역: {translation_names}</t>
  </si>
  <si>
    <t>1000 शहर चुनौती रिपोर्ट</t>
  </si>
  <si>
    <t>स्वस्थ र दिगो शहरहरूको लागि नीति सूचकहरू</t>
  </si>
  <si>
    <t>स्वस्थ र दिगो सहरहरूको लागि नीति र स्थानिय सूचकहरू</t>
  </si>
  <si>
    <t>स्वस्थ र दिगो शहरहरूको लागि स्थानिय सूचकहरू</t>
  </si>
  <si>
    <t>प्रारम्भिक निष्कर्षहरू सार्वजनिक विमोचनका लागि अभिप्रेरित छैनन् जबसम्म परिणामहरू र व्याख्याहरू मान्य र स्वीकृत हुँदैनन्।</t>
  </si>
  <si>
    <t>नीति चेकलिस्ट डेटा लोड गर्न सकिएन र छोडिएको छ। https://healthysustainablecities.github.io/software/#Policy-checklist हेर्नुहोस्</t>
  </si>
  <si>
    <t>ड्राफ्ट मात्र</t>
  </si>
  <si>
    <t>ग्लोबल स्वस्थ र दिगो शहर सूचक सहयोग</t>
  </si>
  <si>
    <t>{city_name} सन्दर्भ</t>
  </si>
  <si>
    <t>सरकारको स्तर</t>
  </si>
  <si>
    <t>जनसांख्यिकी र स्वास्थ्य समानता</t>
  </si>
  <si>
    <t>पर्यावरणीय प्रकोप सन्दर्भ</t>
  </si>
  <si>
    <t>अतिरिक्त सन्दर्भ</t>
  </si>
  <si>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</si>
  <si>
    <t>{city_name} का लागि सरकारी नीतिका निम्न स्तरहरू विश्लेषण गरियो: {policy_checklist_levels}।</t>
  </si>
  <si>
    <t>आगामी दशकमा सहरी क्षेत्रलाई असर गर्न सक्ने वातावरणीय खतराहरू समावेश छन्: {policy_checklist_hazards}।</t>
  </si>
  <si>
    <t>यस सहरको सहरी स्वास्थ्य असमानता र भूगोलसँग सम्बन्धित कुनै पनि अन्य विचारहरू, वा निष्कर्षहरूको व्याख्यालाई प्रभाव पार्न सक्ने डेटा विचारहरूको विवरण दिनुहोस्।</t>
  </si>
  <si>
    <t>स्थानिय</t>
  </si>
  <si>
    <t>राष्ट्रिय</t>
  </si>
  <si>
    <t>चर्को आँधी</t>
  </si>
  <si>
    <t>बाढी</t>
  </si>
  <si>
    <t>बुशफायर/जङ्गलको आगो</t>
  </si>
  <si>
    <t>गर्मी लहरहरू</t>
  </si>
  <si>
    <t>अत्यधिक चिसो</t>
  </si>
  <si>
    <t>टाइफुन्स</t>
  </si>
  <si>
    <t>आँधी</t>
  </si>
  <si>
    <t>भूकम्प</t>
  </si>
  <si>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</si>
  <si>
    <t>नक्सा पौराणिक कथा</t>
  </si>
  <si>
    <t>प्रशासनिक सीमा र शहरी सीमा को प्रतिच्छेदन</t>
  </si>
  <si>
    <t>खाद्य बजार</t>
  </si>
  <si>
    <t>कुनै पनि सार्वजनिक खुला ठाउँ</t>
  </si>
  <si>
    <t>ठूलो सार्वजनिक खुला ठाउँ</t>
  </si>
  <si>
    <t>सार्वजनिक यातायात बन्द</t>
  </si>
  <si>
    <t>नियमित सेवा सहित सार्वजनिक यातायात</t>
  </si>
  <si>
    <t>नियमित सेवा सहितको सार्वजनिक यातायात (मूल्याङ्कन नगरिएको)</t>
  </si>
  <si>
    <t>अन्तर्राष्ट्रिय रूपमा 25 शहरहरू सापेक्ष छिमेकी हिड्ने क्षमता</t>
  </si>
  <si>
    <t>छैन</t>
  </si>
  <si>
    <t>हो</t>
  </si>
  <si>
    <t>नीतिहरू पहिचान गरियो</t>
  </si>
  <si>
    <t>500m भित्र पहुँच भएको जनसंख्याको %:</t>
  </si>
  <si>
    <t>छिमेकी जनसंख्या घनत्व (प्रति किमी²)</t>
  </si>
  <si>
    <t>छिमेकी प्रतिच्छेदन घनत्व (प्रति किमी²)</t>
  </si>
  <si>
    <t>अन्तर्राष्ट्रिय रूपमा 25 शहरहरूको लागि मध्य र अन्तर-चतुर्थक दायरा (बक्स 1)</t>
  </si>
  <si>
    <t>यस रिपोर्टमा चित्रित स्थानिय वितरण नक्साहरूले {config[population][name]} अनुसार जनसंख्या अनुमान भएका क्षेत्रहरूको लागि परिणामहरू देखाउँछन्।</t>
  </si>
  <si>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</si>
  <si>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</si>
  <si>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</si>
  <si>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</si>
  <si>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</si>
  <si>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500 मिटर (m) भित्र सुविधाहरूमा पहुँच भएको जनसंख्याको प्रतिशत</t>
  </si>
  <si>
    <t>हिड्ने क्षमता र गन्तव्य पहुँच</t>
  </si>
  <si>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</si>
  <si>
    <t>स्वास्थ्य र दिगोपनलाई समर्थन गर्ने सहरी र यातायात नीतिहरूको उपस्थिति</t>
  </si>
  <si>
    <t>नीति गुणस्तर स्कोर</t>
  </si>
  <si>
    <t>मापनयोग्य नीतिहरूको लागि नीति गुणस्तर मूल्याङ्कन स्वस्थ सहरहरूमा प्रमाणसँग पङ्क्तिबद्ध</t>
  </si>
  <si>
    <t>शहर योजना आवश्यकताहरू</t>
  </si>
  <si>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</si>
  <si>
    <t>हिड्ने असमानता</t>
  </si>
  <si>
    <t>बक्स 1: अन्तर्राष्ट्रिय रूपमा 25 शहरहरूको ल्यान्सेट ग्लोबल हेल्थ सीरीज अध्ययन</t>
  </si>
  <si>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</si>
  <si>
    <t>हिड्ने प्रवर्द्धन गर्न शहरी डिजाइन थ्रेसहोल्डहरू</t>
  </si>
  <si>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</si>
  <si>
    <t>यातायातको लागि कुनै पनि पैदल यात्रामा संलग्न हुने सम्भावना</t>
  </si>
  <si>
    <t>प्रति किमी 5,700 मान्छे</t>
  </si>
  <si>
    <t>प्रति किमी 100 प्रतिच्छेदन</t>
  </si>
  <si>
    <t>लक्ष्य थ्रेसहोल्ड</t>
  </si>
  <si>
    <t>नीति पहिचान गरियो</t>
  </si>
  <si>
    <t>स्वस्थ शहर प्रमाण संग पङ्क्तिबद्ध</t>
  </si>
  <si>
    <t>मापनयोग्य लक्ष्य</t>
  </si>
  <si>
    <t>प्रमाण - सूचित थ्रेसहोल्ड</t>
  </si>
  <si>
    <t>कुञ्जी: हो ✔ होइन ✘ मिश्रित ✔/✘ लागू हुँदैन -</t>
  </si>
  <si>
    <t>स्वास्थ्य र दिगोपनको लागि एकीकृत शहर योजना नीतिहरू</t>
  </si>
  <si>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</si>
  <si>
    <t>स्वास्थ्य केन्द्रित कार्यहरु संग यातायात नीति</t>
  </si>
  <si>
    <t>स्वास्थ्य केन्द्रित कार्यहरूको साथ शहरी नीति</t>
  </si>
  <si>
    <t>शहरी / यातायात नीतिमा स्वास्थ्य प्रभाव मूल्याङ्कन आवश्यकताहरू</t>
  </si>
  <si>
    <t>सहरी/ यातायात नीतिले स्पष्ट रूपमा एकीकृत सहर योजनाको उद्देश्य राख्छ</t>
  </si>
  <si>
    <t>विभिन्न यातायात मोडहरूको लागि सरकारी खर्चको बारेमा सार्वजनिक रूपमा उपलब्ध जानकारी</t>
  </si>
  <si>
    <t>हिड्ने क्षमता र गन्तव्य पहुँच नीतिहरू</t>
  </si>
  <si>
    <t>सडक जडान आवश्यकताहरू</t>
  </si>
  <si>
    <t>कार प्रयोगलाई निरुत्साहित गर्न पार्किङ प्रतिबन्धहरू</t>
  </si>
  <si>
    <t>ट्राफिक सुरक्षा आवश्यकताहरू</t>
  </si>
  <si>
    <t>पैदल यात्री पूर्वाधार प्रावधान</t>
  </si>
  <si>
    <t>साइकल पूर्वाधार प्रावधान</t>
  </si>
  <si>
    <t>पैदल सहभागिता लक्ष्यहरू</t>
  </si>
  <si>
    <t>साइकल सहभागिता लक्ष्य</t>
  </si>
  <si>
    <t>आवास घनत्व आवश्यकताहरु</t>
  </si>
  <si>
    <t>ग्रीनफिल्ड आवास विकासमा सीमाहरू</t>
  </si>
  <si>
    <t>आवास प्रकार/आकारको मिश्रण</t>
  </si>
  <si>
    <t>दैनिक जीवनको लागि स्थानीय गन्तव्यहरूको मिश्रण</t>
  </si>
  <si>
    <t>दैनिक जीवन गन्तव्यहरूको नजिकको दूरी</t>
  </si>
  <si>
    <t>रोजगारी वितरण आवश्यकताहरू</t>
  </si>
  <si>
    <t>रोजगारी र आवासको अनुपात</t>
  </si>
  <si>
    <t>स्वस्थ खाना वातावरण</t>
  </si>
  <si>
    <t>वातावरणीय डिजाइन मार्फत अपराध रोकथाम</t>
  </si>
  <si>
    <t>जलवायु लचिलो सहर नीतिहरू</t>
  </si>
  <si>
    <t>शहरी वायु गुणस्तर, र प्रकृति आधारित समाधान</t>
  </si>
  <si>
    <t>शहरी वायु गुणस्तर, र प्रकृति आधारित समाधान नीतिहरू</t>
  </si>
  <si>
    <t>वायु प्रदूषण सीमित गर्न यातायात नीतिहरू</t>
  </si>
  <si>
    <t>वायु प्रदूषण जोखिम कम गर्न भूमि प्रयोग नीतिहरू</t>
  </si>
  <si>
    <t>रूख छाता र शहरी हरियाली आवश्यकताहरू</t>
  </si>
  <si>
    <t>सहरी जैविक विविधता संरक्षण र प्रवर्द्धन</t>
  </si>
  <si>
    <t>जलवायु प्रकोप जोखिम न्यूनीकरण</t>
  </si>
  <si>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</si>
  <si>
    <t>अनुकूलन र विपद् जोखिम न्यूनीकरण रणनीतिहरू</t>
  </si>
  <si>
    <t>सार्वजनिक यातायात नीति</t>
  </si>
  <si>
    <t>रोजगारी र सेवाहरूमा सार्वजनिक यातायात पहुँचका लागि आवश्यकताहरू</t>
  </si>
  <si>
    <t>सार्वजनिक यातायात पहुँचको लागि न्यूनतम आवश्यकताहरू</t>
  </si>
  <si>
    <t>सार्वजनिक यातायात प्रयोगको लागि लक्ष्य</t>
  </si>
  <si>
    <t>सार्वजनिक खुला ठाउँ नीति</t>
  </si>
  <si>
    <t>सार्वजनिक खुला स्थान पहुँचको लागि न्यूनतम आवश्यकताहरू</t>
  </si>
  <si>
    <t>सार्वजनिक यातायात पहुँच</t>
  </si>
  <si>
    <t>सार्वजनिक खुला स्थान पहुँच</t>
  </si>
  <si>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</si>
  <si>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</si>
  <si>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</si>
  <si>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</si>
  <si>
    <t>डाटा र विधिहरूको पूर्ण विवरणहरू उपलब्ध छन्</t>
  </si>
  <si>
    <t>जनसंख्या डाटा</t>
  </si>
  <si>
    <t>शहरी सीमाहरू</t>
  </si>
  <si>
    <t>शहरी सुविधाहरू</t>
  </si>
  <si>
    <t>रङ स्केल</t>
  </si>
  <si>
    <t>यो काम क्रिएटिभ कमन्स CC BY-NC एट्रिब्युशन-नन कमर्शियल 4.0 अन्तर्राष्ट्रिय इजाजतपत्र अन्तर्गत इजाजतपत्र दिइएको छ।</t>
  </si>
  <si>
    <t>सहर टोलीका सदस्यहरू: {author_names}</t>
  </si>
  <si>
    <t>पाठ सम्पादक प्रयोग गरेर क्षेत्र कन्फिगरेसन रिपोर्टिङ सेटिङहरू सम्पादन गरेर लेखक नामहरू थप्नुहोस्</t>
  </si>
  <si>
    <t>रिपोर्ट डिजाइन र सम्पादन: {editor_names}</t>
  </si>
  <si>
    <t>द्वारा संचालित नीति समीक्षा</t>
  </si>
  <si>
    <t>{city_name}، {country} {year}</t>
  </si>
  <si>
    <t>زمینه {city_name}</t>
  </si>
  <si>
    <t>زمینه فاجعه زیست محیطی</t>
  </si>
  <si>
    <t>زمینه اضافی</t>
  </si>
  <si>
    <t>محلی</t>
  </si>
  <si>
    <t>ملی</t>
  </si>
  <si>
    <t>سیل</t>
  </si>
  <si>
    <t>امواج گرما</t>
  </si>
  <si>
    <t>سرمای شدید</t>
  </si>
  <si>
    <t>طوفان شدید</t>
  </si>
  <si>
    <t>ن</t>
  </si>
  <si>
    <t>کیلومتر</t>
  </si>
  <si>
    <t>متر</t>
  </si>
  <si>
    <t>در هر کیلومتر مربع</t>
  </si>
  <si>
    <t>بازار مواد غذایی</t>
  </si>
  <si>
    <t>خواروبارفروشی کوچک</t>
  </si>
  <si>
    <t>هر فضای باز عمومی</t>
  </si>
  <si>
    <t>فضای باز عمومی بزرگ</t>
  </si>
  <si>
    <t>کم</t>
  </si>
  <si>
    <t>خیر</t>
  </si>
  <si>
    <t>سیاست های شناسایی شده</t>
  </si>
  <si>
    <t>تراکم جمعیت محله (در هر کیلومتر مربع)</t>
  </si>
  <si>
    <t>تراکم تقاطع محله (در هر کیلومتر مربع)</t>
  </si>
  <si>
    <t>قابلیت پیاده روی و دسترسی به مقصد</t>
  </si>
  <si>
    <t>وجود سیاست های شهری و حمل و نقل حامی سلامت و پایداری</t>
  </si>
  <si>
    <t>امتیاز کیفیت خط مشی</t>
  </si>
  <si>
    <t>رتبه‌بندی کیفیت خط‌مشی برای سیاست‌های قابل اندازه‌گیری همسو با شواهدی در مورد شهرهای سالم</t>
  </si>
  <si>
    <t>الزامات برنامه ریزی شهری</t>
  </si>
  <si>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</si>
  <si>
    <t>آستانه هدف</t>
  </si>
  <si>
    <t>هدف قابل اندازه گیری</t>
  </si>
  <si>
    <t>سیاست شهری با اقدامات سلامت محور</t>
  </si>
  <si>
    <t>الزامات اتصال خیابان</t>
  </si>
  <si>
    <t>الزامات ایمنی ترافیک</t>
  </si>
  <si>
    <t>اهداف مشارکت دوچرخه سواری</t>
  </si>
  <si>
    <t>الزامات تراکم مسکن</t>
  </si>
  <si>
    <t>فاصله نزدیک به مقاصد زندگی روزانه</t>
  </si>
  <si>
    <t>الزامات توزیع اشتغال</t>
  </si>
  <si>
    <t>نسبت شغل به مسکن</t>
  </si>
  <si>
    <t>پیشگیری از جرم از طریق طراحی محیطی</t>
  </si>
  <si>
    <t>کیفیت هوای شهری و راهکارهای مبتنی بر طبیعت</t>
  </si>
  <si>
    <t>سیاست فضای باز عمومی</t>
  </si>
  <si>
    <t>حداقل الزامات برای دسترسی به فضای باز عمومی</t>
  </si>
  <si>
    <t>دسترسی به فضای باز عمومی</t>
  </si>
  <si>
    <t>ویژگی های شهری</t>
  </si>
  <si>
    <t>خلاصه</t>
  </si>
  <si>
    <t>طراحی و ویرایش گزارش: {editor_names}</t>
  </si>
  <si>
    <t>ترجمه: {translation_names}</t>
  </si>
  <si>
    <t>بررسی سیاست انجام شده توسط</t>
  </si>
  <si>
    <t>تقرير تحدي الألف مدينة</t>
  </si>
  <si>
    <t>مؤشرات السياسات من أجل مدن صحية ومستدامة</t>
  </si>
  <si>
    <t>المؤشرات المكانية للمدن الصحية والمستدامة</t>
  </si>
  <si>
    <t>النتائج الأولية ليست مخصصة للنشر العام حتى يتم التحقق من صحة النتائج والتفسيرات والموافقة عليها.</t>
  </si>
  <si>
    <t>تعذر تحميل بيانات قائمة التحقق من السياسة وتم تخطيها. راجع https://healthysustainablecities.github.io/software/#Policy-checklist</t>
  </si>
  <si>
    <t>مسودة فقط</t>
  </si>
  <si>
    <t>التعاون العالمي لمؤشرات المدن الصحية والمستدامة</t>
  </si>
  <si>
    <t>سياق {city_name}.</t>
  </si>
  <si>
    <t>مستويات الحكومة</t>
  </si>
  <si>
    <t>التركيبة السكانية والعدالة الصحية</t>
  </si>
  <si>
    <t>سياق الكوارث البيئية</t>
  </si>
  <si>
    <t>سياق إضافي</t>
  </si>
  <si>
    <t>قم بتحرير ملف تكوين المنطقة لتوفير سياق الخلفية لمنطقة دراستك. يرجى تلخيص الموقع والتاريخ والتضاريس بإيجاز، حسب الاقتضاء.</t>
  </si>
  <si>
    <t>تم تحليل المستويات التالية لسياسة الحكومة في {city_name}: {policy_checklist_levels}.</t>
  </si>
  <si>
    <t>تشمل المخاطر البيئية التي قد تؤثر على المنطقة الحضرية خلال العقد القادم ما يلي: {policy_checklist_hazards}.</t>
  </si>
  <si>
    <t>محلي</t>
  </si>
  <si>
    <t>المدن الكبرى</t>
  </si>
  <si>
    <t>إقليمي</t>
  </si>
  <si>
    <t>ولاية</t>
  </si>
  <si>
    <t>وطني</t>
  </si>
  <si>
    <t>العواصف الشديدة</t>
  </si>
  <si>
    <t>الفيضانات</t>
  </si>
  <si>
    <t>حرائق الغابات/حرائق الغابات</t>
  </si>
  <si>
    <t>موجات الحر</t>
  </si>
  <si>
    <t>البرد الشديد</t>
  </si>
  <si>
    <t>الأعاصير</t>
  </si>
  <si>
    <t>الزلازل</t>
  </si>
  <si>
    <t>تم تسليط الضوء على منطقة الدراسة المستخدمة لحساب المؤشرات المكانية لسكان {city_name} الواردة في هذا التقرير في الخريطة أدناه باستخدام تظليل الخط المتوازي.</t>
  </si>
  <si>
    <t>منطقة الدراسة</t>
  </si>
  <si>
    <t>مفتاح الخريطة</t>
  </si>
  <si>
    <t>تقاطع الحدود الإدارية والحدود الحضرية</t>
  </si>
  <si>
    <t>كم</t>
  </si>
  <si>
    <t>م</t>
  </si>
  <si>
    <t>لكل كيلومتر مربع</t>
  </si>
  <si>
    <t>سوق المواد الغذائية</t>
  </si>
  <si>
    <t>محل بقالة</t>
  </si>
  <si>
    <t>أي مساحة عامة مفتوحة</t>
  </si>
  <si>
    <t>مساحة عامة مفتوحة كبيرة</t>
  </si>
  <si>
    <t>توقف وسائل النقل العام</t>
  </si>
  <si>
    <t>وسائل النقل العام مع خدمة منتظمة</t>
  </si>
  <si>
    <t>وسائل النقل العام مع خدمة منتظمة (لم يتم تقييمها)</t>
  </si>
  <si>
    <t>إمكانية المشي في الحي مقارنة بـ 25 مدينة على المستوى الدولي</t>
  </si>
  <si>
    <t>قليل</t>
  </si>
  <si>
    <t>متوسط</t>
  </si>
  <si>
    <t>عالي</t>
  </si>
  <si>
    <t>لا</t>
  </si>
  <si>
    <t>نعم</t>
  </si>
  <si>
    <t>يعيش {percent} من السكان في {city_name} على بعد 500 متر من وسائل النقل العام</t>
  </si>
  <si>
    <t>يعيش {percent} من السكان في {city_name} ضمن مسافة 500 متر من وسائل النقل العام مع 20 دقيقة أو متوسط تردد أفضل خلال أيام الأسبوع</t>
  </si>
  <si>
    <t>يعيش {percent} من السكان في {city_name} ضمن مسافة 500 متر من المساحة العامة المفتوحة التي تبلغ مساحتها 1.5 هكتارًا على الأقل</t>
  </si>
  <si>
    <t>يعيش {percent} من السكان في {city_name} في أحياء تستوفي حد الكثافة السكانية بنسبة 80% مع احتمال المشاركة في أي مشي بغرض النقل ({n} من الأشخاص {per_unit})</t>
  </si>
  <si>
    <t>{percent} من السكان في {city_name} يعيشون في أحياء تستوفي الحد الأدنى لكثافة تقاطعات الشوارع بنسبة 80% لاحتمال المشاركة في أي مشي لأغراض النقل ({n} تقاطعات {per_unit})</t>
  </si>
  <si>
    <t>يعيش {percent} من السكان في {city_name} في أحياء ذات درجة إمكانية المشي أقل من متوسط 25 مدينة على المستوى الدولي (الإطار 1)</t>
  </si>
  <si>
    <t>تم تحديد السياسات</t>
  </si>
  <si>
    <t>النسبة المئوية للسكان الذين يمكنهم الوصول في نطاق 500 متر إلى:</t>
  </si>
  <si>
    <t>الكثافة السكانية للحي (لكل كيلومتر مربع)</t>
  </si>
  <si>
    <t>كثافة تقاطعات الحي (لكل كيلومتر مربع)</t>
  </si>
  <si>
    <t>النطاق المتوسط والربعي لـ 25 مدينة على المستوى الدولي (الإطار 1)</t>
  </si>
  <si>
    <t>تعرض خرائط التوزيع المكاني الواردة في هذا التقرير نتائج للمناطق ذات التقديرات السكانية وفقًا لـ {config[population][name]}.</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</si>
  <si>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</si>
  <si>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</si>
  <si>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</si>
  <si>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</si>
  <si>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</si>
  <si>
    <t>النسبة المئوية للسكان الذين يمكنهم الوصول إلى المرافق ضمن مسافة 500 متر (م2)</t>
  </si>
  <si>
    <t>إمكانية المشي والوصول إلى الوجهة</t>
  </si>
  <si>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</si>
  <si>
    <t>وجود سياسات حضرية وسياسات نقل تدعم الصحة والاستدامة</t>
  </si>
  <si>
    <t>نقاط جودة السياسة</t>
  </si>
  <si>
    <t>تصنيف جودة السياسات للسياسات القابلة للقياس المتوافقة مع الأدلة المتعلقة بالمدن الصحية</t>
  </si>
  <si>
    <t>متطلبات تخطيط المدينة</t>
  </si>
  <si>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</si>
  <si>
    <t>عدم المساواة في القدرة على المشي</t>
  </si>
  <si>
    <t>الإطار 1: دراسة سلسلة لانسيت للصحة العالمية التي شملت 25 مدينة على المستوى الدولي</t>
  </si>
  <si>
    <t>عتبات التصميم الحضري لتشجيع المشي</t>
  </si>
  <si>
    <t>5700 شخص لكل كيلومتر مربع</t>
  </si>
  <si>
    <t>عتبة الهدف</t>
  </si>
  <si>
    <t>تم تحديد السياسة</t>
  </si>
  <si>
    <t>يتوافق مع أدلة المدن الصحية</t>
  </si>
  <si>
    <t>هدف قابل للقياس</t>
  </si>
  <si>
    <t>عتبة مستنيرة بالأدلة</t>
  </si>
  <si>
    <t>المفتاح: نعم ✔ لا ✘ مختلط ✔/✘ لا ينطبق -</t>
  </si>
  <si>
    <t>سياسات تخطيط المدن المتكاملة من أجل الصحة والاستدامة</t>
  </si>
  <si>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</si>
  <si>
    <t>سياسة النقل مع الإجراءات التي تركز على الصحة</t>
  </si>
  <si>
    <t>السياسة الحضرية مع الإجراءات التي تركز على الصحة</t>
  </si>
  <si>
    <t>متطلبات تقييم الأثر الصحي في سياسة المناطق الحضرية/النقل</t>
  </si>
  <si>
    <t>تهدف سياسة المناطق الحضرية/سياسة النقل بشكل واضح إلى التخطيط المتكامل للمدينة</t>
  </si>
  <si>
    <t>معلومات متاحة للعامة حول الإنفاق الحكومي على وسائل النقل المختلفة</t>
  </si>
  <si>
    <t>سياسات إمكانية المشي والوصول إلى الوجهة</t>
  </si>
  <si>
    <t>متطلبات اتصال الشوارع</t>
  </si>
  <si>
    <t>قيود وقوف السيارات لتثبيط استخدام السيارة</t>
  </si>
  <si>
    <t>متطلبات السلامة المرورية</t>
  </si>
  <si>
    <t>توفير البنية التحتية للمشاة</t>
  </si>
  <si>
    <t>توفير البنية التحتية لركوب الدراجات</t>
  </si>
  <si>
    <t>أهداف المشاركة في المشي</t>
  </si>
  <si>
    <t>أهداف المشاركة في ركوب الدراجات</t>
  </si>
  <si>
    <t>متطلبات كثافة السكن</t>
  </si>
  <si>
    <t>القيود المفروضة على تطوير الإسكان الأخضر</t>
  </si>
  <si>
    <t>مزيج من أنواع/أحجام المساكن</t>
  </si>
  <si>
    <t>مزيج من الوجهات المحلية للحياة اليومية</t>
  </si>
  <si>
    <t>مسافة قريبة من وجهات الحياة اليومية</t>
  </si>
  <si>
    <t>متطلبات توزيع العمالة</t>
  </si>
  <si>
    <t>نسبة الوظائف إلى السكن</t>
  </si>
  <si>
    <t>البيئات الغذائية الصحية</t>
  </si>
  <si>
    <t>منع الجريمة من خلال التصميم البيئي</t>
  </si>
  <si>
    <t>سياسات المدن المقاومة للمناخ</t>
  </si>
  <si>
    <t>جودة الهواء في المناطق الحضرية، والحلول القائمة على الطبيعة</t>
  </si>
  <si>
    <t>جودة الهواء في المناطق الحضرية، وسياسات الحلول القائمة على الطبيعة</t>
  </si>
  <si>
    <t>سياسات النقل للحد من تلوث الهواء</t>
  </si>
  <si>
    <t>سياسات استخدام الأراضي للحد من التعرض لتلوث الهواء</t>
  </si>
  <si>
    <t>متطلبات مظلة الأشجار والتخضير الحضري</t>
  </si>
  <si>
    <t>حماية التنوع البيولوجي الحضري وتعزيزه</t>
  </si>
  <si>
    <t>الحد من مخاطر الكوارث المناخية</t>
  </si>
  <si>
    <t>استراتيجيات التكيف والحد من مخاطر الكوارث</t>
  </si>
  <si>
    <t>سياسة النقل العام</t>
  </si>
  <si>
    <t>متطلبات وسائل النقل العام للوصول إلى فرص العمل والخدمات</t>
  </si>
  <si>
    <t>الحد الأدنى من متطلبات الوصول إلى وسائل النقل العام</t>
  </si>
  <si>
    <t>أهداف لاستخدام وسائل النقل العام</t>
  </si>
  <si>
    <t>سياسة الفضاء العام المفتوح</t>
  </si>
  <si>
    <t>الحد الأدنى من المتطلبات للوصول إلى الأماكن العامة المفتوحة</t>
  </si>
  <si>
    <t>الوصول إلى وسائل النقل العام</t>
  </si>
  <si>
    <t>الوصول إلى الأماكن العامة المفتوحة</t>
  </si>
  <si>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</si>
  <si>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</si>
  <si>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</si>
  <si>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</si>
  <si>
    <t>التفاصيل الكاملة للبيانات والأساليب متاحة على</t>
  </si>
  <si>
    <t>البيانات السكانية</t>
  </si>
  <si>
    <t>الحدود الحضرية</t>
  </si>
  <si>
    <t>الميزات الحضرية</t>
  </si>
  <si>
    <t>مقياس اللون</t>
  </si>
  <si>
    <t>الاقتباس</t>
  </si>
  <si>
    <t>ملخص</t>
  </si>
  <si>
    <t>تم ترخيص هذا العمل بموجب ترخيص Creative Commons CC BY-NC Attribution-NonCommercial 4.0 International License.</t>
  </si>
  <si>
    <t>أعضاء فريق المدينة: {author_names}</t>
  </si>
  <si>
    <t>أضف أسماء المؤلفين عن طريق تحرير إعدادات إعداد التقارير الخاصة بتكوين المنطقة باستخدام محرر النصوص</t>
  </si>
  <si>
    <t>تصميم التقرير وتحريره: {editor_names}</t>
  </si>
  <si>
    <t>الترجمة: {translation_names}</t>
  </si>
  <si>
    <t>مراجعة السياسة التي أجراها</t>
  </si>
  <si>
    <t>Arabic</t>
  </si>
  <si>
    <t>Korean</t>
  </si>
  <si>
    <t>Nepali</t>
  </si>
  <si>
    <t>Persian</t>
  </si>
  <si>
    <t>Left</t>
  </si>
  <si>
    <t>Auto</t>
  </si>
  <si>
    <t>Right</t>
  </si>
  <si>
    <t>Default text alignment  (e.g. Arabic and Persian/Farsi are right aligned)</t>
  </si>
  <si>
    <t>Align</t>
  </si>
  <si>
    <t>Text shaping</t>
  </si>
  <si>
    <t>Name of script</t>
  </si>
  <si>
    <t>In English</t>
  </si>
  <si>
    <t>Translator names (add your name to comma-seperated list when satisfied with new translations; translators for any previously translated phrases will be added at the end if not already listed here)</t>
  </si>
  <si>
    <t>In this language/script</t>
  </si>
  <si>
    <t>hr</t>
  </si>
  <si>
    <t>fi</t>
  </si>
  <si>
    <t>hi</t>
  </si>
  <si>
    <t>id</t>
  </si>
  <si>
    <t>it</t>
  </si>
  <si>
    <t>ja</t>
  </si>
  <si>
    <t>ko</t>
  </si>
  <si>
    <t>ne</t>
  </si>
  <si>
    <t>fa</t>
  </si>
  <si>
    <t>ar</t>
  </si>
  <si>
    <t>Hrvatski</t>
  </si>
  <si>
    <t>Suomi</t>
  </si>
  <si>
    <t>हिंदी</t>
  </si>
  <si>
    <t>bahasa Indonesia</t>
  </si>
  <si>
    <t>Italiano</t>
  </si>
  <si>
    <t>日本語</t>
  </si>
  <si>
    <t>한국인</t>
  </si>
  <si>
    <t>नेपाली</t>
  </si>
  <si>
    <t>فارسی</t>
  </si>
  <si>
    <t>عربي</t>
  </si>
  <si>
    <t>{city_name} प्रसंग</t>
  </si>
  <si>
    <t>{city_name} के लिए सरकारी नीति के निम्नलिखित स्तरों का विश्लेषण किया गया: {policy_checklist_levels}।</t>
  </si>
  <si>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</si>
  <si>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</si>
  <si>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</si>
  <si>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शहरी सीमा ({source})</t>
  </si>
  <si>
    <t>अध्ययन क्षेत्र की सीमा ({source})</t>
  </si>
  <si>
    <t>प्रशासनिक सीमा ({source})</t>
  </si>
  <si>
    <t>अध्ययन क्षेत्र सीमा ({source})</t>
  </si>
  <si>
    <t>{city_name} में जनसंख्या का {percent} 20 मिनट या बेहतर औसत कार्यदिवस आवृत्ति के साथ सार्वजनिक परिवहन के 500 मीटर के भीतर रहता है</t>
  </si>
  <si>
    <t>{city_name} की {percent} आबादी कम से कम 1.5 हेक्टेयर आकार के सार्वजनिक खुले स्थान के 500 मीटर के भीतर रहती है</t>
  </si>
  <si>
    <t>{city_name} में आबादी का {percent} पड़ोस में रहता है जो सड़क चौराहे की घनत्व सीमा को पूरा करता है, जिससे परिवहन के लिए पैदल चलने की 80% संभावना होती है ({n} चौराहे {per_unit})</t>
  </si>
  <si>
    <t>{city_name} की आबादी का {percent} अंतरराष्ट्रीय स्तर पर 25 शहरों के औसत से नीचे चलने योग्य स्कोर वाले पड़ोस में रहता है (बॉक्स 1)</t>
  </si>
  <si>
    <t>{city_name} को जनसंख्याको {percent} सार्वजनिक यातायातको ५०० मिटर भित्र बस्छन्</t>
  </si>
  <si>
    <t>{city_name} मा जनसङ्ख्याको {percent} २० मिनेट वा राम्रो औसत साप्ताहिक फ्रिक्वेन्सीको साथ सार्वजनिक यातायातको ५०० मिटर भित्र बस्छन्</t>
  </si>
  <si>
    <t>{city_name} मा जनसंख्याको {percent} कम्तिमा १.५ हेक्टर आकारको सार्वजनिक खुला ठाउँको ५०० मिटर भित्र बस्छन्</t>
  </si>
  <si>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</si>
  <si>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</si>
  <si>
    <t>{city_name} मा जनसङ्ख्याको {percent} अन्तर्राष्ट्रिय रूपमा २५ सहरहरूको औसतभन्दा कम हिड्ने क्षमता स्कोरिङ भएको छिमेकमा बस्छन् (बक्स १)</t>
  </si>
  <si>
    <t>{city_name} की {percent} आबादी सार्वजनिक परिवहन के 500 मीटर के दायरे में रहती है</t>
  </si>
  <si>
    <t>{city_name} में जनसंख्या का {percent} पड़ोस में रहता है जो जनसंख्या घनत्व सीमा को पूरा करता है, परिवहन के लिए पैदल चलने की 80% संभावना है ({n} लोग {per_unit})</t>
  </si>
  <si>
    <t>100 intersections per km²</t>
  </si>
  <si>
    <t>100 Kreuzungen pro km²</t>
  </si>
  <si>
    <t>100 nga whakawhitinga mo ia km²</t>
  </si>
  <si>
    <t>100 intersecciones por km²</t>
  </si>
  <si>
    <t>100 cruzamentos por km²</t>
  </si>
  <si>
    <t>100 raskrižja po km²</t>
  </si>
  <si>
    <t>100 risteystä/km²</t>
  </si>
  <si>
    <t>100 persimpangan per km²</t>
  </si>
  <si>
    <t>100 incroci al km²</t>
  </si>
  <si>
    <t>1km²あたり100の交差点</t>
  </si>
  <si>
    <t>km²당 교차로 100개</t>
  </si>
  <si>
    <t>100 تقاطع لكل كيلومتر مربع</t>
  </si>
  <si>
    <t>100 تقاطع در هر کیلومتر مربع</t>
  </si>
  <si>
    <t>प्रति किमी² 100 चौराहे</t>
  </si>
  <si>
    <t>ஒரு கிமீ²க்கு 100 சந்திப்புகள்</t>
  </si>
  <si>
    <t>100 kruispunten per km²</t>
  </si>
  <si>
    <t>100 kryds pr. km²</t>
  </si>
  <si>
    <t>100 křižovatek na km²</t>
  </si>
  <si>
    <t>每平方公里 100 路口</t>
  </si>
  <si>
    <t>每平方公里 100 个交叉路口</t>
  </si>
  <si>
    <t>{city_name}，{country} {year}</t>
  </si>
  <si>
    <t>城市邊界（{source}）</t>
  </si>
  <si>
    <t>Greek</t>
  </si>
  <si>
    <t>Αγγλικά</t>
  </si>
  <si>
    <t>Έκθεση 1000 Cities Challenge</t>
  </si>
  <si>
    <t>Δείκτες πολιτικής για υγιείς και βιώσιμες πόλεις</t>
  </si>
  <si>
    <t>Πολιτικοί και χωρικοί δείκτες για υγιείς και βιώσιμες πόλεις</t>
  </si>
  <si>
    <t>Χωρικοί δείκτες για υγιείς και βιώσιμες πόλεις</t>
  </si>
  <si>
    <t>Τα προκαταρκτικά ευρήματα δεν προορίζονται για δημόσια δημοσίευση έως ότου επικυρωθούν και εγκριθούν τα αποτελέσματα και οι ερμηνείες.</t>
  </si>
  <si>
    <t>Δεν ήταν δυνατή η φόρτωση των δεδομένων της λίστας ελέγχου πολιτικής και παραλείφθηκαν. Δείτε https://healthysustainablecities.github.io/software/#Policy-checklist</t>
  </si>
  <si>
    <t>ΜΟΝΟ ΣΧΕΔΙΟ</t>
  </si>
  <si>
    <t>Παγκόσμια Συνεργασία Δείκτες Υγιεινής και Βιώσιμης Πόλης</t>
  </si>
  <si>
    <t>πλαίσιο {city_name}</t>
  </si>
  <si>
    <t>Επίπεδα διακυβέρνησης</t>
  </si>
  <si>
    <t>Δημογραφικά στοιχεία και ισότητα υγείας</t>
  </si>
  <si>
    <t>Πλαίσιο περιβαλλοντικής καταστροφής</t>
  </si>
  <si>
    <t>Πρόσθετο πλαίσιο</t>
  </si>
  <si>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</si>
  <si>
    <t>Τα ακόλουθα επίπεδα κυβερνητικής πολιτικής αναλύθηκαν για το {city_name}: {policy_checklist_levels}.</t>
  </si>
  <si>
    <t>Οι περιβαλλοντικοί κίνδυνοι που ενδέχεται να επηρεάσουν την αστική περιοχή την επόμενη δεκαετία περιλαμβάνουν: {policy_checklist_hazards}.</t>
  </si>
  <si>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</si>
  <si>
    <t>Τοπικός</t>
  </si>
  <si>
    <t>Μητροπολίτης</t>
  </si>
  <si>
    <t>Περιφερειακό</t>
  </si>
  <si>
    <t>κατάσταση</t>
  </si>
  <si>
    <t>Εθνικός</t>
  </si>
  <si>
    <t>Σφοδρές καταιγίδες</t>
  </si>
  <si>
    <t>Πλημμύρες</t>
  </si>
  <si>
    <t>Δασικές πυρκαγιές/πυρκαγιές</t>
  </si>
  <si>
    <t>Κύματα καύσωνα</t>
  </si>
  <si>
    <t>Ακραίο κρύο</t>
  </si>
  <si>
    <t>Τυφώνες</t>
  </si>
  <si>
    <t>Κυκλώνες</t>
  </si>
  <si>
    <t>Σεισμοί</t>
  </si>
  <si>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</si>
  <si>
    <t>Περιοχή μελέτης</t>
  </si>
  <si>
    <t>Θρύλος χάρτη</t>
  </si>
  <si>
    <t>διασταύρωση διοικητικού και αστικού ορίου</t>
  </si>
  <si>
    <t>Ν</t>
  </si>
  <si>
    <t>χλμ</t>
  </si>
  <si>
    <t>Μ</t>
  </si>
  <si>
    <t>ανά km²</t>
  </si>
  <si>
    <t>Αγορά τροφίμων</t>
  </si>
  <si>
    <t>Παντοπωλείο</t>
  </si>
  <si>
    <t>Οποιοσδήποτε δημόσιος ανοιχτός χώρος</t>
  </si>
  <si>
    <t>Μεγάλος δημόσιος ανοιχτός χώρος</t>
  </si>
  <si>
    <t>Στάση δημόσιας συγκοινωνίας</t>
  </si>
  <si>
    <t>Μέσα μαζικής μεταφοράς με τακτικά δρομολόγια</t>
  </si>
  <si>
    <t>Δημόσια συγκοινωνία με τακτικά δρομολόγια (δεν έχει αξιολογηθεί)</t>
  </si>
  <si>
    <t>Δυνατότητα πεζοπορίας γειτονιάς σε σχέση με 25 πόλεις διεθνώς</t>
  </si>
  <si>
    <t>Χαμηλός</t>
  </si>
  <si>
    <t>Μέση τιμή</t>
  </si>
  <si>
    <t>Υψηλός</t>
  </si>
  <si>
    <t>Οχι</t>
  </si>
  <si>
    <t>Ναί</t>
  </si>
  <si>
    <t>Το {percent} του πληθυσμού στο {city_name} ζει σε απόσταση 500 μέτρων από τα μέσα μαζικής μεταφοράς</t>
  </si>
  <si>
    <t>Το {percent} του πληθυσμού στο {city_name} ζει σε απόσταση 500 μέτρων από τα μέσα μαζικής μεταφοράς με 20 λεπτά ή καλύτερη μέση συχνότητα τις καθημερινές</t>
  </si>
  <si>
    <t>Το {percent} του πληθυσμού στην πόλη {city_name} ζει εντός 500 μέτρων δημόσιου ανοιχτού χώρου έκτασης τουλάχιστον 1,5 εκταρίων</t>
  </si>
  <si>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</si>
  <si>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</si>
  <si>
    <t>Το {percent} του πληθυσμού στο {city_name} ζει σε γειτονιές με βαθμολογία βατότητας κάτω από τη μέση τιμή 25 πόλεων διεθνώς (Πλαίσιο 1)</t>
  </si>
  <si>
    <t>Προσδιορίστηκαν πολιτικές</t>
  </si>
  <si>
    <t>% του πληθυσμού με πρόσβαση εντός 500 μέτρων σε:</t>
  </si>
  <si>
    <t>Πυκνότητα πληθυσμού γειτονιάς (ανά km²)</t>
  </si>
  <si>
    <t>Πυκνότητα τομής γειτονιάς (ανά km²)</t>
  </si>
  <si>
    <t>Διάμεσο και διατεταρτημόριο εύρος για 25 πόλεις διεθνώς (Πλαίσιο 1)</t>
  </si>
  <si>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</si>
  <si>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</si>
  <si>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</si>
  <si>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</si>
  <si>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</si>
  <si>
    <t>Ποσοστό πληθυσμού με πρόσβαση σε ανέσεις εντός 500 μέτρων (m)</t>
  </si>
  <si>
    <t>Δυνατότητα βάδισης και πρόσβαση στον προορισμό</t>
  </si>
  <si>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</si>
  <si>
    <t>Βαθμολογία παρουσίας πολιτικής</t>
  </si>
  <si>
    <t>Παρουσία αστικών πολιτικών και πολιτικών μεταφορών που υποστηρίζουν την υγεία και τη βιωσιμότητα</t>
  </si>
  <si>
    <t>Βαθμολογία ποιότητας πολιτικής</t>
  </si>
  <si>
    <t>Αξιολόγηση ποιότητας πολιτικής για μετρήσιμες πολιτικές ευθυγραμμισμένες με στοιχεία για υγιείς πόλεις</t>
  </si>
  <si>
    <t>Απαιτήσεις πολεοδομικού σχεδιασμού</t>
  </si>
  <si>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</si>
  <si>
    <t>Ανισότητες βατότητας</t>
  </si>
  <si>
    <t>Πλαίσιο 1: Η μελέτη Lancet Global Health Series σε 25 πόλεις διεθνώς</t>
  </si>
  <si>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</si>
  <si>
    <t>Κατώφλια αστικής σχεδίασης για την προώθηση του περπατήματος</t>
  </si>
  <si>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</si>
  <si>
    <t>Πιθανότητα εμπλοκής σε οποιοδήποτε περπάτημα για μεταφορά</t>
  </si>
  <si>
    <t>5.700 άτομα ανά km²</t>
  </si>
  <si>
    <t>100 διασταυρώσεις ανά km²</t>
  </si>
  <si>
    <t>όριο στόχου</t>
  </si>
  <si>
    <t>Προσδιορίστηκε πολιτική</t>
  </si>
  <si>
    <t>Ευθυγραμμίζεται με στοιχεία υγιών πόλεων</t>
  </si>
  <si>
    <t>Μετρήσιμος στόχος</t>
  </si>
  <si>
    <t>Κατώφλι βάσει αποδεικτικών στοιχείων</t>
  </si>
  <si>
    <t>Κλειδί: Ναι ✔ Όχι ✘ Μικτό ✔/✘ Δεν ισχύει -</t>
  </si>
  <si>
    <t>Ολοκληρωμένες πολεοδομικές πολιτικές για την υγεία και την αειφορία</t>
  </si>
  <si>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</si>
  <si>
    <t>Πολιτική μεταφορών με δράσεις με επίκεντρο την υγεία</t>
  </si>
  <si>
    <t>Αστική πολιτική με δράσεις με επίκεντρο την υγεία</t>
  </si>
  <si>
    <t>Απαιτήσεις εκτίμησης επιπτώσεων στην υγεία στην πολιτική αστικών/μεταφορών</t>
  </si>
  <si>
    <t>Η πολεοδομική/μεταφορική πολιτική στοχεύει ρητά στον ολοκληρωμένο αστικό σχεδιασμό</t>
  </si>
  <si>
    <t>Δημόσια διαθέσιμες πληροφορίες σχετικά με τις κρατικές δαπάνες για διαφορετικούς τρόπους μεταφοράς</t>
  </si>
  <si>
    <t>Πολιτικές βατότητας και πρόσβασης προορισμού</t>
  </si>
  <si>
    <t>Απαιτήσεις συνδεσιμότητας στο δρόμο</t>
  </si>
  <si>
    <t>Περιορισμοί στάθμευσης για την αποθάρρυνση της χρήσης αυτοκινήτου</t>
  </si>
  <si>
    <t>Απαιτήσεις οδικής ασφάλειας</t>
  </si>
  <si>
    <t>Παροχή υποδομής πεζών</t>
  </si>
  <si>
    <t>Παροχή υποδομής ποδηλασίας</t>
  </si>
  <si>
    <t>Στόχοι συμμετοχής στο περπάτημα</t>
  </si>
  <si>
    <t>Στόχοι συμμετοχής στην ποδηλασία</t>
  </si>
  <si>
    <t>Απαιτήσεις πυκνότητας κατοικίας</t>
  </si>
  <si>
    <t>Όρια στην ανάπτυξη οικιστικών κατοικιών στο πράσινο</t>
  </si>
  <si>
    <t>Μίγμα τύπων/μεγεθών κατοικιών</t>
  </si>
  <si>
    <t>Μίγμα τοπικών προορισμών για καθημερινή διαβίωση</t>
  </si>
  <si>
    <t>Κοντά σε προορισμούς καθημερινής διαβίωσης</t>
  </si>
  <si>
    <t>Απαιτήσεις κατανομής απασχόλησης</t>
  </si>
  <si>
    <t>Αναλογία θέσεων εργασίας προς στέγαση</t>
  </si>
  <si>
    <t>Υγιεινά περιβάλλοντα διατροφής</t>
  </si>
  <si>
    <t>Πρόληψη του εγκλήματος μέσω περιβαλλοντικού σχεδιασμού</t>
  </si>
  <si>
    <t>Πολιτικές για ανθεκτικές στο κλίμα πόλεις</t>
  </si>
  <si>
    <t>Ποιότητα αέρα στην πόλη και λύσεις που βασίζονται στη φύση</t>
  </si>
  <si>
    <t>Πολιτικές για την ποιότητα του αέρα στις πόλεις και λύσεις που βασίζονται στη φύση</t>
  </si>
  <si>
    <t>Πολιτικές μεταφορών για τον περιορισμό της ατμοσφαιρικής ρύπανσης</t>
  </si>
  <si>
    <t>Πολιτικές χρήσης γης για τη μείωση της έκθεσης στην ατμοσφαιρική ρύπανση</t>
  </si>
  <si>
    <t>Απαιτήσεις για στέγαστρο δέντρων και αστικό πράσινο</t>
  </si>
  <si>
    <t>Προστασία και προώθηση της αστικής βιοποικιλότητας</t>
  </si>
  <si>
    <t>Μείωση του κινδύνου κλιματικών καταστροφών</t>
  </si>
  <si>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</si>
  <si>
    <t>Στρατηγικές προσαρμογής και μείωσης του κινδύνου καταστροφών</t>
  </si>
  <si>
    <t>Πολιτική για τις δημόσιες συγκοινωνίες</t>
  </si>
  <si>
    <t>Απαιτήσεις για πρόσβαση των δημόσιων συγκοινωνιών σε απασχόληση και υπηρεσίες</t>
  </si>
  <si>
    <t>Ελάχιστες απαιτήσεις για πρόσβαση στα μέσα μαζικής μεταφοράς</t>
  </si>
  <si>
    <t>Στόχοι για χρήση στα μέσα μαζικής μεταφοράς</t>
  </si>
  <si>
    <t>Πολιτική του δημόσιου ανοιχτού χώρου</t>
  </si>
  <si>
    <t>Ελάχιστες απαιτήσεις για πρόσβαση σε δημόσιους ανοιχτούς χώρους</t>
  </si>
  <si>
    <t>Πρόσβαση στα μέσα μαζικής μεταφοράς</t>
  </si>
  <si>
    <t>Πρόσβαση σε δημόσιο ανοιχτό χώρο</t>
  </si>
  <si>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</si>
  <si>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</si>
  <si>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</si>
  <si>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</si>
  <si>
    <t>Πλήρεις λεπτομέρειες για τα δεδομένα και τις μεθόδους είναι διαθέσιμες στη διεύθυνση</t>
  </si>
  <si>
    <t>Δεδομένα πληθυσμού</t>
  </si>
  <si>
    <t>Αστικά όρια</t>
  </si>
  <si>
    <t>Αστικά χαρακτηριστικά</t>
  </si>
  <si>
    <t>Κλίμακα χρώματος</t>
  </si>
  <si>
    <t>Παραπομπή</t>
  </si>
  <si>
    <t>Περίληψη</t>
  </si>
  <si>
    <t>Αυτό το έργο αδειοδοτείται με άδεια Creative Commons CC BY-NC Attribution-NonCommercial 4.0 International License.</t>
  </si>
  <si>
    <t>Μέλη της ομάδας πόλης: {author_names}</t>
  </si>
  <si>
    <t>Προσθέστε ονόματα συντακτών επεξεργάζοντας τις ρυθμίσεις αναφοράς διαμόρφωσης περιοχής χρησιμοποιώντας ένα πρόγραμμα επεξεργασίας κειμένου</t>
  </si>
  <si>
    <t>Σχεδιασμός και επεξεργασία αναφορών: {editor_names}</t>
  </si>
  <si>
    <t>Μετάφραση: {translation_names}</t>
  </si>
  <si>
    <t>Ανασκόπηση πολιτικής που πραγματοποιήθηκε από</t>
  </si>
  <si>
    <t>el</t>
  </si>
  <si>
    <t>Language (bold indicates languages with existing translations requiring updating)</t>
  </si>
  <si>
    <t>{percent} van de bevolking in {city_name} woont binnen 500 meter van het openbaar vervoer met een gemiddelde frequentie op weekdagen van 20 minuten of beter</t>
  </si>
  <si>
    <t>{percent} af befolkningen i {city_name} bor inden for 500 m fra offentligt åbent område på mindst 1,5 hektar stort</t>
  </si>
  <si>
    <t>{percent} van de bevolking in {city_name} woont in wijken die voldoen aan de bevolkingsdichtheidsdrempel voor een kans van 80% om deel te nemen aan wandelen voor transport ({n} mensen {per_unit})</t>
  </si>
  <si>
    <t>{percent} van de bevolking in {city_name} woont in buurten die voldoen aan de drempel voor de dichtheid van kruispunten, waarbij de kans van 80% is dat ze wandelen voor vervoer ({n} kruispunten {per_unit})</t>
  </si>
  <si>
    <t>{percent} van de bevolking in {city_name} woont in buurten waar de beloopbaarheidsscore onder de mediaan van 25 internationale steden ligt (Box 1)</t>
  </si>
  <si>
    <t>{percent} der Bevölkerung in {city_name} leben im Umkreis von 500 m um öffentliche Verkehrsmittel</t>
  </si>
  <si>
    <t>{percent} der Bevölkerung in {city_name} leben in einem Umkreis von 500 m um eine öffentliche Freifläche von mindestens 1,5 Hektar</t>
  </si>
  <si>
    <t>{percent} der Bevölkerung in {city_name} leben in Vierteln, deren Bewertung der Fußgängerfreundlichkeit unter dem Median von 25 Städten weltweit liegt (Kasten 1)</t>
  </si>
  <si>
    <t>Yankin binciken da aka yi amfani da shi don ƙididdige alamun sararin samaniya ga yawan jama'a na {city_name} da aka gabatar a cikin wannan rahoto an haskaka shi a cikin taswirar da ke ƙasa ta amfani da shading layi ɗaya.</t>
  </si>
  <si>
    <t>{percent} na yawan jama'a a cikin {city_name} suna rayuwa tsakanin 500m na jigilar jama'a</t>
  </si>
  <si>
    <t>{percent} na yawan jama'a a cikin {city_name} suna rayuwa tsakanin 500m na jigilar jama'a tare da mintuna 20 ko mafi kyawun mitar ranar mako</t>
  </si>
  <si>
    <t>{percent} na yawan jama'a a cikin {city_name} suna zaune a tsakanin 500m na sararin fili na jama'a mai girman aƙalla hekta 1.5</t>
  </si>
  <si>
    <t>{percent} na yawan jama'a a cikin {city_name} suna zaune a unguwannin da ke cika iyakar yawan jama'a don yuwuwar kashi 80% na shiga kowane tafiya don sufuri ({n} mutane {per_unit})</t>
  </si>
  <si>
    <t>{percent} na yawan jama'ar {city_name} suna zaune ne a unguwannin da ke da maki mai iya tafiya kasa da tsakiyar birane 25 na duniya (Akwatin 1)</t>
  </si>
  <si>
    <t>{percent} o te taupori o {city_name} e noho ana i roto i te 500m o te waka tūmatanui</t>
  </si>
  <si>
    <t>{percent} o te taupori o {city_name} e noho ana i roto i te 500m mai i nga waka tūmatanui me te 20 meneti, pai ake ranei te auau o ia ra wiki</t>
  </si>
  <si>
    <t>{percent} o te taupori o {city_name} e noho ana i roto i te 500m o te waahi tuwhera tūmatanui 1.5 heketea te rahi.</t>
  </si>
  <si>
    <t>{percent} o te taupori o {city_name} e noho ana ki nga takiwa e tutuki ana i te paepae kiato o te huarahi mo te 80% te tupono ka uru ki tetahi hikoi mo te kawe waka ({n} nga whakawhitinga {per_unit})</t>
  </si>
  <si>
    <t>{percent} o te taupori o {city_name} e noho ana ki nga kaainga me te kaha hikoi i raro i te tau waenga o nga taone 25 o te ao (Pouaka 1)</t>
  </si>
  <si>
    <t>{percent} populasi di {city_name} tinggal dalam jarak 500 m dari transportasi umum</t>
  </si>
  <si>
    <t>{percent} populasi di {city_name} tinggal dalam jarak 500 m dari transportasi umum dengan frekuensi rata-rata hari kerja selama 20 menit atau lebih baik</t>
  </si>
  <si>
    <t>{percent} populasi di {city_name} tinggal dalam radius 500 m dari ruang terbuka publik dengan luas minimal 1,5 hektar</t>
  </si>
  <si>
    <t>Διοικητικό όριο ({source})</t>
  </si>
  <si>
    <t>Αστικό όριο ({source})</t>
  </si>
  <si>
    <t>Όριο περιοχής μελέτης ({source})</t>
  </si>
  <si>
    <t>الحدود الإدارية ({source})</t>
  </si>
  <si>
    <t>حدود منطقة الدراسة ({source})</t>
  </si>
  <si>
    <t>الحدود الحضرية ({source})</t>
  </si>
  <si>
    <t>مرز اداری ({source})</t>
  </si>
  <si>
    <t>{percent} o te taupori o {city_name} e noho ana ki nga takiwa e tutuki ana i te paepae kiato o te taupori mo te 80% te tupono ka uru ki tetahi hikoi mo te kawe waka ({n} tangata {per_unit})</t>
  </si>
  <si>
    <t>{city_name} இல் உள்ள மக்கள் தொகையில் {percent} பேர், மக்கள் தொகை அடர்த்தி வரம்பை சந்திக்கும் சுற்றுப்புறங்களில் வசிக்கின்றனர்({n} பேர் {per_unit})</t>
  </si>
  <si>
    <t>Dejavu sans</t>
  </si>
  <si>
    <t>Taswirorin rarraba sararin samaniya da aka nuna a cikin wannan rahoton suna nuna sakamakon ga wuraren da ke da kimar yawan jama'a bisa ga {config[population][name]}.</t>
  </si>
  <si>
    <t>Os mapas de distribuição espacial apresentados neste relatório exibem resultados para áreas com estimativas populacionais de acordo com {config[population][name]}.</t>
  </si>
  <si>
    <t>{city_name}、{country} {year}</t>
  </si>
  <si>
    <t>Conditional size</t>
  </si>
  <si>
    <t>&lt;12,-1</t>
  </si>
  <si>
    <t>configuration/fonts/NotoSansCJKjp-VF.ttf</t>
  </si>
  <si>
    <t>https://github.com/notofonts/noto-cjk/raw/main/Sans/Variable/TTF/NotoSansCJKjp-VF.ttf</t>
  </si>
  <si>
    <t>noto_sans_jp</t>
  </si>
  <si>
    <t>https://github.com/notofonts/noto-cjk/raw/main/Sans/Variable/TTF/NotoSansCJKkr-VF.ttf</t>
  </si>
  <si>
    <t>noto_sans_kr</t>
  </si>
  <si>
    <t>configuration/fonts/NotoSansCJKkr-VF.ttf</t>
  </si>
  <si>
    <t>URL</t>
  </si>
  <si>
    <t>https://notofonts.github.io/devanagari/fonts/NotoSansDevanagari/googlefonts/ttf/NotoSansDevanagari-Regular.ttf</t>
  </si>
  <si>
    <t>noto_sans_devanagari</t>
  </si>
  <si>
    <t>https://notofonts.github.io/devanagari/fonts/NotoSansDevanagari/googlefonts/ttf/NotoSansDevanagari-Bold.ttf</t>
  </si>
  <si>
    <t>b</t>
  </si>
  <si>
    <t>i</t>
  </si>
  <si>
    <t>bi</t>
  </si>
  <si>
    <t>Ko nga mapi tuari mokowā kei roto i tenei ripoata e whakaatu ana i nga hua mo nga waahi e whakatau tata ana te taupori e ai ki {config[population][name]}.</t>
  </si>
  <si>
    <t>Nga mema o te roopu taone: {author_names}</t>
  </si>
  <si>
    <t>Whakamaoritanga: {translation_names}</t>
  </si>
  <si>
    <t>Hindi,Nepali</t>
  </si>
  <si>
    <t>Arabic,Persian</t>
  </si>
  <si>
    <t xml:space="preserve">
1000 நகரங்களின் சவால் அறிக்கை</t>
  </si>
  <si>
    <t xml:space="preserve">
முடிவுகள் மற்றும் விளக்கங்கள் சரிபார்க்கப்பட்டு அங்கீகரிக்கப்படும் வரை பூர்வாங்க கண்டுபிடிப்புகள் பொது வெளியீட்டை நோக்கமாகக் கொண்டிருக்கவில்லை.</t>
  </si>
  <si>
    <t>noto_sans_tamil</t>
  </si>
  <si>
    <t>configuration/fonts/NotoSansDevanagari/NotoSansDevanagari-Regular.ttf</t>
  </si>
  <si>
    <t>configuration/fonts/NotoSansDevanagari/NotoSansDevanagari-Bold.ttf</t>
  </si>
  <si>
    <t>configuration/fonts/NotoSansTamil/NotoSansTamil-Regular.ttf</t>
  </si>
  <si>
    <t>configuration/fonts/NotoSansTamil/NotoSansTamil-Bold.ttf</t>
  </si>
  <si>
    <t>https://notofonts.github.io/tamil/fonts/NotoSansTamil/googlefonts/ttf/NotoSansTamil-Regular.ttf</t>
  </si>
  <si>
    <t>https://notofonts.github.io/tamil/fonts/NotoSansTamil/googlefonts/ttf/NotoSansTamil-Bold.ttf</t>
  </si>
  <si>
    <t>&lt;21,-3</t>
  </si>
  <si>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</si>
  <si>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Turkish</t>
  </si>
  <si>
    <t>Türkçe</t>
  </si>
  <si>
    <t>tr</t>
  </si>
  <si>
    <t>Sağlıklı ve sürdürülebilir şehirler için politika göstergeleri</t>
  </si>
  <si>
    <t>Sağlıklı ve sürdürülebilir şehirler için mekansal göstergeler</t>
  </si>
  <si>
    <t>Sonuçlar ve yorumlar doğrulanıp onaylanıncaya kadar ön bulguların kamuya açıklanması amaçlanmamaktadır.</t>
  </si>
  <si>
    <t>Politika kontrol listesi verileri yüklenemedi ve atlandı. Bkz. https://healthysustainablecities.github.io/software/#Policy-checklist</t>
  </si>
  <si>
    <t>SADECE TASLAK</t>
  </si>
  <si>
    <t>Küresel Sağlıklı ve Sürdürülebilir Şehir Göstergeleri İşbirliği</t>
  </si>
  <si>
    <t>{city_name} bağlamı</t>
  </si>
  <si>
    <t>Demografi ve sağlık eşitliği</t>
  </si>
  <si>
    <t>Ek bağlam</t>
  </si>
  <si>
    <t>Önümüzdeki on yılda kentsel alanı etkileyebilecek çevresel tehlikeler arasında şunlar yer almaktadır: {policy_checklist_hazards}.</t>
  </si>
  <si>
    <t>Yerel</t>
  </si>
  <si>
    <t>Büyükşehir</t>
  </si>
  <si>
    <t>Bölgesel</t>
  </si>
  <si>
    <t>Ulusal</t>
  </si>
  <si>
    <t>Şiddetli fırtınalar</t>
  </si>
  <si>
    <t>Seller</t>
  </si>
  <si>
    <t>Tayfunlar</t>
  </si>
  <si>
    <t>Kasırgalar</t>
  </si>
  <si>
    <t>Depremler</t>
  </si>
  <si>
    <t>Çalışma bölgesi</t>
  </si>
  <si>
    <t>İdari sınır ({source})</t>
  </si>
  <si>
    <t>Kent sınırı ({source})</t>
  </si>
  <si>
    <t>Çalışma bölgesi sınırı ({source})</t>
  </si>
  <si>
    <t>idari sınır ile kentsel sınırın kesişimi</t>
  </si>
  <si>
    <t>km² başına</t>
  </si>
  <si>
    <t>Market</t>
  </si>
  <si>
    <t>Toplu taşıma durağı</t>
  </si>
  <si>
    <t>Düzenli hizmet veren toplu taşıma (değerlendirilmedi)</t>
  </si>
  <si>
    <t>Düşük</t>
  </si>
  <si>
    <t>Ortalama</t>
  </si>
  <si>
    <t>Yüksek</t>
  </si>
  <si>
    <t>Evet</t>
  </si>
  <si>
    <t>Mahalle nüfus yoğunluğu (km² başına)</t>
  </si>
  <si>
    <t>Mahalle kavşak yoğunluğu (km² başına)</t>
  </si>
  <si>
    <t>Sağlık ve sürdürülebilirliği destekleyen kent ve ulaşım politikalarının varlığı</t>
  </si>
  <si>
    <t>Yürünebilirlik eşitsizlikleri</t>
  </si>
  <si>
    <t>Kutu 1: Uluslararası 25 şehri kapsayan Lancet Küresel Sağlık Serisi araştırması</t>
  </si>
  <si>
    <t>Ölçülebilir hedef</t>
  </si>
  <si>
    <t>Kanıta dayalı eşik</t>
  </si>
  <si>
    <t>Sağlık ve sürdürülebilirlik için entegre şehir planlama politikaları</t>
  </si>
  <si>
    <t>Yaya altyapısının sağlanması</t>
  </si>
  <si>
    <t>Bisiklet altyapısının sağlanması</t>
  </si>
  <si>
    <t>Günlük yaşam için yerel destinasyonların karışımı</t>
  </si>
  <si>
    <t>Günlük yaşam destinasyonlarına yakın mesafe</t>
  </si>
  <si>
    <t>Sağlıklı gıda ortamları</t>
  </si>
  <si>
    <t>Çevresel tasarım yoluyla suçun önlenmesi</t>
  </si>
  <si>
    <t>İklime dayanıklı şehir politikaları</t>
  </si>
  <si>
    <t>Kentsel hava kalitesi ve doğaya dayalı çözümler</t>
  </si>
  <si>
    <t>Kentsel hava kalitesi ve doğaya dayalı çözüm politikaları</t>
  </si>
  <si>
    <t>Toplu taşıma politikası</t>
  </si>
  <si>
    <t>İstihdam ve hizmetlere toplu taşıma erişimi için gereklilikler</t>
  </si>
  <si>
    <t>Toplu taşıma kullanımına yönelik hedefler</t>
  </si>
  <si>
    <t>Toplu taşıma erişimi</t>
  </si>
  <si>
    <t>Kentsel sınırlar</t>
  </si>
  <si>
    <t>Kentsel özellikler</t>
  </si>
  <si>
    <t>Renk skalası</t>
  </si>
  <si>
    <t>Alıntı</t>
  </si>
  <si>
    <t>Özet</t>
  </si>
  <si>
    <t>Bu çalışma Creative Commons CC BY-NC Atıf-GayriTicari 4.0 Uluslararası Lisansı kapsamında lisanslanmıştır.</t>
  </si>
  <si>
    <t>Rapor tasarımı ve düzenleme: {editor_names}</t>
  </si>
  <si>
    <t>Çeviri: {translation_names}</t>
  </si>
  <si>
    <t>fr</t>
  </si>
  <si>
    <t>Rapport sur le Défi des 1000 villes</t>
  </si>
  <si>
    <t>Indicateurs politiques pour des villes saines et durables</t>
  </si>
  <si>
    <t>Indicateurs politiques et spatiaux pour des villes saines et durables</t>
  </si>
  <si>
    <t>Indicateurs spatiaux pour des villes saines et durables</t>
  </si>
  <si>
    <t>Les résultats préliminaires ne sont pas destinés à être rendus publics tant que les résultats et les interprétations ne sont pas validés et approuvés.</t>
  </si>
  <si>
    <t>Les données de la liste de contrôle des politiques n'ont pas pu être chargées et ont été ignorées. Voir https://healthysustainablecities.github.io/software/#Policy-checklist</t>
  </si>
  <si>
    <t>PROJET SEULEMENT</t>
  </si>
  <si>
    <t>Collaboration mondiale sur les indicateurs de villes saines et durables</t>
  </si>
  <si>
    <t>Contexte de {city_name}</t>
  </si>
  <si>
    <t>Niveaux de gouvernement</t>
  </si>
  <si>
    <t>Démographie et équité en santé</t>
  </si>
  <si>
    <t>Contexte de catastrophe environnementale</t>
  </si>
  <si>
    <t>Contexte supplémentaire</t>
  </si>
  <si>
    <t>Modifiez le fichier de configuration de la région pour fournir un contexte d'arrière-plan pour votre région d'étude. Veuillez résumer brièvement l'emplacement, l'histoire et la topographie, le cas échéant.</t>
  </si>
  <si>
    <t>Les niveaux de politique gouvernementale suivants ont été analysés pour {city_name} : {policy_checklist_levels}.</t>
  </si>
  <si>
    <t>Les risques environnementaux qui pourraient avoir un impact sur la zone urbaine au cours de la décennie à venir comprennent : {policy_checklist_hazards}.</t>
  </si>
  <si>
    <t>Détaillez toute autre considération relative aux inégalités en matière de santé urbaine et à la géographie dans cette ville, ou toute considération relative aux données qui pourrait influencer l’interprétation des résultats.</t>
  </si>
  <si>
    <t>Métropolitain</t>
  </si>
  <si>
    <t>Régional</t>
  </si>
  <si>
    <t>État</t>
  </si>
  <si>
    <t>De violentes tempêtes</t>
  </si>
  <si>
    <t>Inondations</t>
  </si>
  <si>
    <t>Feux de brousse/feux de forêt</t>
  </si>
  <si>
    <t>Vagues de chaleur</t>
  </si>
  <si>
    <t>Froid extrême</t>
  </si>
  <si>
    <t>Typhons</t>
  </si>
  <si>
    <t>Ouragans</t>
  </si>
  <si>
    <t>Tremblements de terre</t>
  </si>
  <si>
    <t>La région d'étude utilisée pour calculer les indicateurs spatiaux pour la population de {city_name} présentés dans ce rapport a été mise en évidence sur la carte ci-dessous à l'aide de lignes parallèles.</t>
  </si>
  <si>
    <t>Région d'étude</t>
  </si>
  <si>
    <t>Légende de carte</t>
  </si>
  <si>
    <t>Limite administrative ({source})</t>
  </si>
  <si>
    <t>Limite urbaine ({source})</t>
  </si>
  <si>
    <t>Limite de la région d'étude ({source})</t>
  </si>
  <si>
    <t>intersection de la limite administrative et de la limite urbaine</t>
  </si>
  <si>
    <t>kilomètres</t>
  </si>
  <si>
    <t>par km²</t>
  </si>
  <si>
    <t>Magasin de nourriture</t>
  </si>
  <si>
    <t>Épicerie</t>
  </si>
  <si>
    <t>Tout espace public ouvert</t>
  </si>
  <si>
    <t>Grand espace public ouvert</t>
  </si>
  <si>
    <t>Arrêt des transports en commun</t>
  </si>
  <si>
    <t>Transports publics avec service régulier</t>
  </si>
  <si>
    <t>Transports publics avec service régulier (non évalué)</t>
  </si>
  <si>
    <t>Possibilité de marcher dans un quartier par rapport à 25 villes à l'échelle internationale</t>
  </si>
  <si>
    <t>Faible</t>
  </si>
  <si>
    <t>Moyenne</t>
  </si>
  <si>
    <t>Haut</t>
  </si>
  <si>
    <t>Non</t>
  </si>
  <si>
    <t>Oui</t>
  </si>
  <si>
    <t>{percent} de la population de {city_name} vit à moins de 500 m des transports en commun</t>
  </si>
  <si>
    <t>{percent} de la population de {city_name} vit à moins de 500 m des transports en commun dont la fréquence moyenne en semaine est de 20 minutes ou plus.</t>
  </si>
  <si>
    <t>{percent} de la population de {city_name} vit à moins de 500 m d'un espace public ouvert d'au moins 1,5 hectare.</t>
  </si>
  <si>
    <t>{percent} de la population de {city_name} vit dans des quartiers atteignant le seuil de densité de population pour une probabilité de 80 % de marcher pour se déplacer ({n} personnes {per_unit})</t>
  </si>
  <si>
    <t>{percent} de la population de {city_name} vit dans des quartiers répondant au seuil de densité d'intersections de rues pour une probabilité de 80 % de marcher pour se déplacer ({n} intersections {per_unit})</t>
  </si>
  <si>
    <t>{percent} de la population de {city_name} vit dans des quartiers dont le score de potentiel piétonnier est inférieur à la médiane de 25 villes à l'échelle internationale (encadré 1)</t>
  </si>
  <si>
    <t>Politiques identifiées</t>
  </si>
  <si>
    <t>% de la population ayant accès à moins de 500 m à :</t>
  </si>
  <si>
    <t>Densité de population du quartier (par km²)</t>
  </si>
  <si>
    <t>Densité des intersections de quartier (par km²)</t>
  </si>
  <si>
    <t>Écart médian et interquartile pour 25 villes à l’échelle internationale (encadré 1)</t>
  </si>
  <si>
    <t>Les cartes de répartition spatiale présentées dans ce rapport affichent les résultats pour les zones avec des estimations de population selon {config[population][name]}.</t>
  </si>
  <si>
    <t>Veuillez fournir une photo « image de héros » haute résolution montrant une rue ou un espace public convivial et accessible à pied pour cette ville, idéalement au format .jpg avec des dimensions dans un rapport de 21:10 (par exemple 2 100 px par 1 000 px)</t>
  </si>
  <si>
    <t>Veuillez fournir une photo "image de héros" haute résolution montrant une rue ou un espace public convivial et accessible à pied pour cette ville, idéalement au format .jpg avec des dimensions dans un rapport de 1:1 (par exemple 1 000 px par 1 000 px).</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</si>
  <si>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</si>
  <si>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</si>
  <si>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</si>
  <si>
    <t>Pourcentage de la population ayant accès aux commodités à moins de 500 mètres (m)</t>
  </si>
  <si>
    <t>Accessibilité à pied et accès à la destination</t>
  </si>
  <si>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</si>
  <si>
    <t>Score de présence des politiques</t>
  </si>
  <si>
    <t>Présence de politiques urbaines et de transport soutenant la santé et la durabilité</t>
  </si>
  <si>
    <t>Score de qualité des politiques</t>
  </si>
  <si>
    <t>Évaluation de la qualité des politiques mesurables et alignées sur les données probantes sur les villes-santé</t>
  </si>
  <si>
    <t>Exigences en matière d'urbanisme</t>
  </si>
  <si>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</si>
  <si>
    <t>Inégalités en matière de potentiel piétonnier</t>
  </si>
  <si>
    <t>Encadré 1 : Étude du Lancet Global Health Series portant sur 25 villes à l’échelle internationale</t>
  </si>
  <si>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</si>
  <si>
    <t>Des seuils d’aménagement urbain pour favoriser la marche</t>
  </si>
  <si>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</si>
  <si>
    <t>Probabilité de marcher pour se déplacer</t>
  </si>
  <si>
    <t>5 700 personnes par km²</t>
  </si>
  <si>
    <t>100 carrefours par km²</t>
  </si>
  <si>
    <t>seuil cible</t>
  </si>
  <si>
    <t>Politique identifiée</t>
  </si>
  <si>
    <t>Conforme aux données probantes sur les villes saines</t>
  </si>
  <si>
    <t>Cible mesurable</t>
  </si>
  <si>
    <t>Seuil fondé sur des données probantes</t>
  </si>
  <si>
    <t>Légende : Oui ✔ Non ✘ Mixte ✔/✘ Non applicable -</t>
  </si>
  <si>
    <t>Politiques d’urbanisme intégrées pour la santé et la durabilité</t>
  </si>
  <si>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</si>
  <si>
    <t>Une politique des transports avec des actions axées sur la santé</t>
  </si>
  <si>
    <t>Une politique urbaine avec des actions axées sur la santé</t>
  </si>
  <si>
    <t>Exigences en matière d’évaluation de l’impact sur la santé dans la politique urbaine/des transports</t>
  </si>
  <si>
    <t>La politique urbaine/des transports vise explicitement une planification urbaine intégrée</t>
  </si>
  <si>
    <t>Informations accessibles au public sur les dépenses publiques pour les différents modes de transport</t>
  </si>
  <si>
    <t>Politiques de praticité piétonnière et d’accès aux destinations</t>
  </si>
  <si>
    <t>Exigences de connectivité des rues</t>
  </si>
  <si>
    <t>Restrictions de stationnement pour décourager l'utilisation de la voiture</t>
  </si>
  <si>
    <t>Exigences de sécurité routière</t>
  </si>
  <si>
    <t>Mise à disposition d'infrastructures piétonnes</t>
  </si>
  <si>
    <t>Mise à disposition d'infrastructures cyclables</t>
  </si>
  <si>
    <t>Objectifs de participation à la marche</t>
  </si>
  <si>
    <t>Objectifs de participation cycliste</t>
  </si>
  <si>
    <t>Exigences de densité de logement</t>
  </si>
  <si>
    <t>Limites du développement de nouveaux logements</t>
  </si>
  <si>
    <t>Mélange de types/tailles de logements</t>
  </si>
  <si>
    <t>Mélange de destinations locales pour la vie quotidienne</t>
  </si>
  <si>
    <t>À proximité des destinations de vie quotidienne</t>
  </si>
  <si>
    <t>Exigences en matière de répartition de l'emploi</t>
  </si>
  <si>
    <t>Ratio emplois/logements</t>
  </si>
  <si>
    <t>Environnements alimentaires sains</t>
  </si>
  <si>
    <t>Prévention du crime grâce à la conception environnementale</t>
  </si>
  <si>
    <t>Politiques des villes résilientes au climat</t>
  </si>
  <si>
    <t>Qualité de l'air urbain et solutions basées sur la nature</t>
  </si>
  <si>
    <t>Politiques relatives à la qualité de l’air urbain et aux solutions fondées sur la nature</t>
  </si>
  <si>
    <t>Des politiques de transports pour limiter la pollution de l’air</t>
  </si>
  <si>
    <t>Politiques d’aménagement du territoire pour réduire l’exposition à la pollution atmosphérique</t>
  </si>
  <si>
    <t>Couvert forestier et exigences en matière de verdissement urbain</t>
  </si>
  <si>
    <t>Protection et promotion de la biodiversité urbaine</t>
  </si>
  <si>
    <t>Réduction des risques de catastrophe climatique</t>
  </si>
  <si>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</si>
  <si>
    <t>Stratégies d’adaptation et de réduction des risques de catastrophe</t>
  </si>
  <si>
    <t>Politique des transports publics</t>
  </si>
  <si>
    <t>Conditions d'accès des transports publics à l'emploi et aux services</t>
  </si>
  <si>
    <t>Exigences minimales pour l'accès aux transports publics</t>
  </si>
  <si>
    <t>Objectifs d'utilisation des transports publics</t>
  </si>
  <si>
    <t>Politique des espaces publics ouverts</t>
  </si>
  <si>
    <t>Exigences minimales pour l'accès aux espaces publics ouverts</t>
  </si>
  <si>
    <t>Accès aux transports en commun</t>
  </si>
  <si>
    <t>Accès aux espaces publics ouverts</t>
  </si>
  <si>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</si>
  <si>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</si>
  <si>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</si>
  <si>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</si>
  <si>
    <t>Tous les détails des données et des méthodes sont disponibles sur</t>
  </si>
  <si>
    <t>Données démographiques</t>
  </si>
  <si>
    <t>Limites urbaines</t>
  </si>
  <si>
    <t>Caractéristiques urbaines</t>
  </si>
  <si>
    <t>Échelle de couleurs</t>
  </si>
  <si>
    <t>Résumé</t>
  </si>
  <si>
    <t>Ce travail est sous licence Creative Commons CC BY-NC Attribution-NonCommercial 4.0 International License.</t>
  </si>
  <si>
    <t>Membres de l'équipe municipale : {author_names}</t>
  </si>
  <si>
    <t>Ajoutez des noms d'auteurs en modifiant les paramètres de création de rapports de configuration de région à l'aide d'un éditeur de texte</t>
  </si>
  <si>
    <t>Conception et édition du rapport : {editor_names}</t>
  </si>
  <si>
    <t>Traduction : {translation_names}</t>
  </si>
  <si>
    <t>Examen des politiques mené par</t>
  </si>
  <si>
    <t>French</t>
  </si>
  <si>
    <t>Française</t>
  </si>
  <si>
    <t>version_date</t>
  </si>
  <si>
    <t>都市の境界 ({source})</t>
  </si>
  <si>
    <t>都市計画上の要件</t>
  </si>
  <si>
    <t>自転車インフラの整備</t>
  </si>
  <si>
    <t>住宅密度に関する要件</t>
  </si>
  <si>
    <t>グリーンフィールドにおける住宅開発の制限</t>
  </si>
  <si>
    <t>雇用の分布に関する要件</t>
  </si>
  <si>
    <t>気候災害リスクの軽減</t>
  </si>
  <si>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</si>
  <si>
    <t>予備的な結果は、結果と解釈が検証され承認されるまでは公開されません。</t>
  </si>
  <si>
    <t>政策チェックリスト・データをロードできなかったため、スキップされました。 https://healthysustainablecities.github.io/software/#Policy-checklist を参照してください。</t>
  </si>
  <si>
    <t>健康で持続可能な都市指標に向けた世界的な連携</t>
  </si>
  <si>
    <t>地域設定ファイルを編集して、調査地域の背景情報を提供してください。必要に応じて、位置、歴史、地形を簡単に要約してください。</t>
  </si>
  <si>
    <t>地域設定ファイルの「人口統計と健康の公平性」セクションを編集して、社会経済的な人口統計の特徴と、この都市部に存在する主要な健康上の課題と不平等をハイライトしてください。</t>
  </si>
  <si>
    <t>この都市の都市部の健康上の不平等と地理に関するその他の考慮事項、または調査結果の解釈に影響を与える可能性のあるデータの考慮事項を詳しく説明してください。</t>
  </si>
  <si>
    <t>ローカル</t>
  </si>
  <si>
    <t>国</t>
  </si>
  <si>
    <t>サイクロン</t>
  </si>
  <si>
    <t>行政界 ({source})</t>
  </si>
  <si>
    <t>行政界と都市境界の交差部分</t>
  </si>
  <si>
    <t>km²あたり</t>
  </si>
  <si>
    <t>全ての公的オープンスペース</t>
  </si>
  <si>
    <t>広い公的オープンスペース</t>
  </si>
  <si>
    <t>特定された政策</t>
  </si>
  <si>
    <t>500m以内でアクセスできる人口の割合:</t>
  </si>
  <si>
    <t>近隣の人口密度 (km²あたり)</t>
  </si>
  <si>
    <t>ウォーカビリティと目的地へのアクセス</t>
  </si>
  <si>
    <t>政策存在スコア</t>
  </si>
  <si>
    <t>健康と持続可能性をサポートする都市・交通政策の存在</t>
  </si>
  <si>
    <t>政策品質スコア</t>
  </si>
  <si>
    <t>健康な都市に関するエビデンスに沿った測定可能な政策の品質評価</t>
  </si>
  <si>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</si>
  <si>
    <t>ウォーカビリティの不平等</t>
  </si>
  <si>
    <t>歩行を促進する都市デザインのしきい値</t>
  </si>
  <si>
    <t>政策が存在</t>
  </si>
  <si>
    <t>健康な都市のエビデンスに適合</t>
  </si>
  <si>
    <t>測定可能な目標</t>
  </si>
  <si>
    <t>エビデンスに基づいた閾値</t>
  </si>
  <si>
    <t>キー: はい ✔ いいえ ✘ 混在 ✔/✘ 該当なし -</t>
  </si>
  <si>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</si>
  <si>
    <t>都市・交通政策における健康影響評価の要求</t>
  </si>
  <si>
    <t>総合的な都市計画を明確に志向する都市・交通政策</t>
  </si>
  <si>
    <t>各交通手段に対する政府支出に関する公開情報</t>
  </si>
  <si>
    <t>ウォーカビリティと目的地へのアクセスに関する政策</t>
  </si>
  <si>
    <t>街路の接続性に関する要件</t>
  </si>
  <si>
    <t>車の使用を減らすための駐車制限</t>
  </si>
  <si>
    <t>交通安全に関する要件</t>
  </si>
  <si>
    <t>歩行者の目標値</t>
  </si>
  <si>
    <t>自転車利用の目標値</t>
  </si>
  <si>
    <t>住宅建築の高さ制限</t>
  </si>
  <si>
    <t>住宅の種類/サイズの混在</t>
  </si>
  <si>
    <t>日常生活のための身近な目的地の混在</t>
  </si>
  <si>
    <t>日常生活のための身近な目的地への近接性</t>
  </si>
  <si>
    <t>雇用と住居の比率</t>
  </si>
  <si>
    <t>防犯環境設計</t>
  </si>
  <si>
    <t>樹冠および都市緑化に関する要件</t>
  </si>
  <si>
    <t>都市の生物多様性の保護・促進</t>
  </si>
  <si>
    <t>気候変動に直面して、熱波、洪水、森林火災/山火事、極端な嵐など、ますます頻繁になる深刻な異常気象による健康影響を軽減するように都市環境をデザインする必要があります。</t>
  </si>
  <si>
    <t>雇用およびサービスへの公共交通アクセスの要件</t>
  </si>
  <si>
    <t>公共交通アクセスの最小要件</t>
  </si>
  <si>
    <t>公共交通利用の目標値</t>
  </si>
  <si>
    <t>公的オープンスペース政策</t>
  </si>
  <si>
    <t>公的オープンスペースへのアクセスの最小要件</t>
  </si>
  <si>
    <t>公共交通アクセス</t>
  </si>
  <si>
    <t>公的オープンスペースへのアクセス</t>
  </si>
  <si>
    <t>要旨</t>
  </si>
  <si>
    <t>テキストエディタを使用して地域設定レポーティング設定を編集して作成者名を追加してください</t>
  </si>
  <si>
    <t>政策レビューの実施</t>
  </si>
  <si>
    <t>{city_name}について次のレベルの政策が分析されました: {policy_checklist_levels}。</t>
  </si>
  <si>
    <t>今後10年間に都市部に影響を与える可能性のある環境上のハザードには、{policy_checklist_hazards}が含まれます。</t>
  </si>
  <si>
    <t>地方</t>
  </si>
  <si>
    <t>このレポートで示されている{city_name}の人口の空間指標を計算する調査地域は、以下の地図で斜線を使用して強調表示されています。</t>
  </si>
  <si>
    <t>公共交通の停留所</t>
  </si>
  <si>
    <t>世界25都市と比較した近隣のウォーカビリティ</t>
  </si>
  <si>
    <t>{city_name}の人口の{percent}が公共交通機関から500メートル以内に住んでいます</t>
  </si>
  <si>
    <t>{city_name}の人口の{percent}が、平日の平均運行頻度20分以内の公共交通機関から500メートル以内に住んでいます</t>
  </si>
  <si>
    <t>{city_name}の人口の{percent}が、少なくとも1.5ヘクタールの公的オープンスペースから500メートル以内に住んでいます</t>
  </si>
  <si>
    <t>{city_name}の人口の{percent}は、移動手段としての徒歩移動の確率が80%である人口密度のしきい値を満たす地域に住んでいます ({n} 人 {per_unit})</t>
  </si>
  <si>
    <t>{city_name}の人口の{percent}は、移動手段としての徒歩移動の確率が80%である道路交差点密度のしきい値を満たす地域に住んでいます (交差点 {n} か所 {per_unit})</t>
  </si>
  <si>
    <t>{city_name}の人口の{percent}は、ウォーカビリティ・スコアが世界25都市の中央値を下回る地域に住んでいます (ボックス 1)</t>
  </si>
  <si>
    <t>近隣の交差点密度 (km²あたり)</t>
  </si>
  <si>
    <t>世界25都市の中央値と四分位範囲 (ボックス 1)</t>
  </si>
  <si>
    <t>このレポートの空間分布マップは、{config[population][name]}による人口推定結果を表示しています。</t>
  </si>
  <si>
    <t>この都市の賑わうウォーカブルな街路または公共スペースを示す高解像度の「ヒーロー イメージ」写真を、理想的には21:10の比率の.jpg形式 (例: 2100px x 1000px) で提供してください。</t>
  </si>
  <si>
    <t>この都市の賑わうウォーカブルな街路または公共スペースを示す高解像度の「ヒーローイメージ」写真を、理想的には1:1の寸法 (例: 1000px x 1000px) の.jpg形式で提供してください。</t>
  </si>
  <si>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</si>
  <si>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</si>
  <si>
    <t>500メートル (m) 以内でアメニティにアクセスできる人口の割合</t>
  </si>
  <si>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</si>
  <si>
    <t>ボックス 1: 世界25都市を対象としたLancet Global Health Seriesの研究</t>
  </si>
  <si>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</si>
  <si>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</si>
  <si>
    <t>移動手段として歩行を選ぶ確率</t>
  </si>
  <si>
    <t>都市の大気質と自然ベースのソリューション政策</t>
  </si>
  <si>
    <t>災害への適応とリスク軽減戦略</t>
  </si>
  <si>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</si>
  <si>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</si>
  <si>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</si>
  <si>
    <t>データと手法の詳細については、次のURLを参照してください。</t>
  </si>
  <si>
    <t>これは、クリエイティブコモンズCC BY-NC表示-非営利4.0国際ライセンスに基づいてライセンスされています。</t>
  </si>
  <si>
    <t>都市のチームメンバー: {author_names}</t>
  </si>
  <si>
    <t>Policy quality score for measurable policies aligned with evidence on healthy cities</t>
  </si>
  <si>
    <t>Spanish - Latin America</t>
  </si>
  <si>
    <t>Español de Latinoamerica</t>
  </si>
  <si>
    <t>Reporte del Desafío de las 1000 Ciudades</t>
  </si>
  <si>
    <t>Indicadores de políticas y espaciales para ciudades saludables y sostenibles</t>
  </si>
  <si>
    <t xml:space="preserve"> No se han podido cargar los datos de la Lista de comprobación de políticas y se han omitido.  Consulte https://healthysustainablecities.github.io/software/#Policy-checklist</t>
  </si>
  <si>
    <t xml:space="preserve">Colaboración Global de Indicadores de Ciudades Saludables y Sostenibles </t>
  </si>
  <si>
    <t>Contexto para {city_name}</t>
  </si>
  <si>
    <t>Contexto de desastres ambientales</t>
  </si>
  <si>
    <t>Edite el archivo de configuración de la región para contextualizar su región de estudio. Resuma brevemente la ubicación, la historia y la topografía, según corresponda.</t>
  </si>
  <si>
    <t xml:space="preserve">Entre los riesgos ambientales que pueden afectar el área urbana durante la próxima década se encuentran: {policy_checklist_hazards}.  </t>
  </si>
  <si>
    <t>Indique cualquier otra consideración relacionada con las inequidades en salud urbana y la geografía de esta ciudad, o aspectos de los datos que puedan influir en la interpretación de los resultados.</t>
  </si>
  <si>
    <t>Tifones</t>
  </si>
  <si>
    <t>La región de estudio utilizada para calcular los indicadores espaciales para la población de {city_name} presentada en este informe, se muestra en el mapa a continuación mediante sombreado de líneas paralelas.</t>
  </si>
  <si>
    <t xml:space="preserve">Caminabilidad a nivel vecindarios en relación con 25 ciudades a nivel internacional </t>
  </si>
  <si>
    <t>El {percent} de la población de {city_name} vive a menos de 500 m de transporte público con una frecuencia de llegada promedio de 20 minutos o más entre semana</t>
  </si>
  <si>
    <t>El {percent} de la población de {city_name} vive a menos de 500 m de espacios públicos abiertos de al menos 1.5 hectáreas de tamaño.</t>
  </si>
  <si>
    <t>El {percent} de la población de {city_name} vive en vecindarios que alcanzan el umbral de densidad de población para alcanzar un  80% de probabilidad caminar para desplazarse ({n} personas {per_unit})</t>
  </si>
  <si>
    <t>El {percent} de la población de {city_name} vive en vecindarios que alcanzan el umbral de densidad de intersecciones de calles para alcanzar un 80 % de probabilidad de caminar por transporte ({n} intersecciones {per_unit})</t>
  </si>
  <si>
    <t>El {percent} de la población de {city_name} vive en vecindarios con una puntuación de caminabilidad inferior al promedio de 25 ciudades a nivel internacional (Recuadro 1).</t>
  </si>
  <si>
    <t>% de población con acceso a 500 m o menos a:</t>
  </si>
  <si>
    <t>Densidad de población del vecindario  (por km²)</t>
  </si>
  <si>
    <t>Densidad de intersecciones del vecindario (por km²)</t>
  </si>
  <si>
    <t>Los mapas de distribución espacial que aparecen en este reporte muestran resultados para áreas con estimaciones de población según {config[population][name]}.</t>
  </si>
  <si>
    <t>Proporcione una foto de alta resolución que muestre una calle o un espacio público agradable y transitable de esta ciudad, preferiblemente en formato .jpg con unas dimensiones de 21:10 (p. ej., 2100px por 1000px).</t>
  </si>
  <si>
    <t>Proporcione una foto de alta resolución que muestre una calle o un espacio público agradable y transitable de esta ciudad, preferiblemente en formato .jpg con unas dimensiones de 1:1 (p. ej., 1000px by 1000px)</t>
  </si>
  <si>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</si>
  <si>
    <t>Porcentaje de población con acceso a servicios a 500 metros (m) o menos.</t>
  </si>
  <si>
    <t>Caminabilidad y acceso a destinos</t>
  </si>
  <si>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</si>
  <si>
    <t>Puntuación de la calidad de las políticas medibles alineadas con la evidencia sobre ciudades saludables</t>
  </si>
  <si>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</si>
  <si>
    <t>Inequidades en la caminabilidad</t>
  </si>
  <si>
    <t>Cuadro 1: Estudio en The Lancet Global Health de 25 ciudades a nivel internacional</t>
  </si>
  <si>
    <t>Umbrales de diseño urbano para fomentar los desplazamientos a pie</t>
  </si>
  <si>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</si>
  <si>
    <t>Probabilidad de realizar algún desplazamiento a pie por transporte</t>
  </si>
  <si>
    <t>5,700 personas por km²</t>
  </si>
  <si>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</si>
  <si>
    <t>Políticas de transporte con acciones enfocadas en la salud</t>
  </si>
  <si>
    <t>Políticas urbanas con acciones enfocadas en la salud</t>
  </si>
  <si>
    <t>Requisitos de evaluación del impacto sobre la salud en la política urbana y de transportes</t>
  </si>
  <si>
    <t>Las políticas urbanas y de transporte apunta explícitamente a una planificación urbana integrada</t>
  </si>
  <si>
    <t>Políticas de caminabilidad y acceso a destinos</t>
  </si>
  <si>
    <t>Requisitos de conectividad de calles</t>
  </si>
  <si>
    <t>Objetivos de participación en desplazamientos a pie</t>
  </si>
  <si>
    <t>Requisitos de densidad residencial</t>
  </si>
  <si>
    <t>Límites al desarrollo de viviendas nuevas</t>
  </si>
  <si>
    <t>Mezcla de tipos y tamaños de viviendas</t>
  </si>
  <si>
    <t>Mezcla de destinos locales para la vida diaria</t>
  </si>
  <si>
    <t>Distancia cercana a destinos de la vida diaria</t>
  </si>
  <si>
    <t>Proporción de empleos y viviendas</t>
  </si>
  <si>
    <t>Políticas de uso del suelo para reducir la exposición a la contaminación del aire</t>
  </si>
  <si>
    <t>Requisitos de cobertura de árboles y vegetación urbana</t>
  </si>
  <si>
    <t>Ante el cambio climático, los entornos construidos deben diseñarse para reducir los impactos en la salud de fenómenos meteorológicos extremos cada vez más frecuentes y severos, como olas de calor, inundaciones, incendios forestales y tormentas extremas.</t>
  </si>
  <si>
    <t>Estrategias de adaptación y reducción del riesgo de desastres naturales</t>
  </si>
  <si>
    <t>Políticas de transporte público</t>
  </si>
  <si>
    <t>Políticas de espacios públicos abiertos</t>
  </si>
  <si>
    <t>Requisitos mínimos para el acceso al espacio público abierto</t>
  </si>
  <si>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</si>
  <si>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</si>
  <si>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</si>
  <si>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</si>
  <si>
    <t>Todos los detalles sobre los datos y los métodos están disponibles en</t>
  </si>
  <si>
    <t>Eugen Resendiz</t>
  </si>
  <si>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</si>
  <si>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</si>
  <si>
    <t>Local/Municipal</t>
  </si>
  <si>
    <t>A região de estudo utilizada para calcular os indicadores espaciais para a população de {city_name} apresentados neste relatório foi destacada no mapa abaixo usando sombreamento de linhas paralelas.</t>
  </si>
  <si>
    <t>{percent} da população de {city_name} que vive a menos de 500 metros de transporte público</t>
  </si>
  <si>
    <t>{percent} da população de {city_name} que vive num raio de 500 m de espaços públicos abertos com pelo menos 1,5 hectares de tamanho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</si>
  <si>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</si>
  <si>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Caixa 1: Estudo “The Lancet Global Health Series” de 25 cidades internacionalmente</t>
  </si>
  <si>
    <t>A política urbana/de transportes visa explicitamente o planejamento urbano integrado</t>
  </si>
  <si>
    <t>Política de espaços públicos abertos</t>
  </si>
  <si>
    <t>รัฐ</t>
  </si>
  <si>
    <t>Demografia ed equità nella salute</t>
  </si>
  <si>
    <t>Modifica il file di configurazione della regione fornendo il contesto di base relativo alla tua regione di studio. Si prega di riassumere brevemente la posizione, la storia e la topografia, se pertinenti.</t>
  </si>
  <si>
    <t>Statale </t>
  </si>
  <si>
    <t>Incendi boschivi</t>
  </si>
  <si>
    <t>La regione di studio utilizzata per calcolare gli indicatori spaziali presentati in questo rapporto e relativi alla popolazione di {city_name} è stata evidenziata nella mappa sottostante da un'ombreggiatura a linee parallele.</t>
  </si>
  <si>
    <t>intersezione tra il confine amministrativo e il confine urbano</t>
  </si>
  <si>
    <t>Qualsiasi spazio pubblico all’aperto</t>
  </si>
  <si>
    <t>Medio</t>
  </si>
  <si>
    <t>Sì</t>
  </si>
  <si>
    <t>Il {percent} della popolazione di {city_name} vive entro 500 metri da uno spazio pubblico all’aperto di almeno 1,5 ettari</t>
  </si>
  <si>
    <t>Le mappe della distribuzione spaziale presentate in questo rapporto mostrano i risultati per le aree con stime della popolazione secondo {config[population][name]}.</t>
  </si>
  <si>
    <t>Punteggio relativo alla presenza di una determinata politica</t>
  </si>
  <si>
    <t>Presenza di politiche urbanistiche e dei trasporti a supporto della salute e della sostenibilità</t>
  </si>
  <si>
    <t>Requisiti della pianificazione urbana</t>
  </si>
  <si>
    <t>Disuguaglianze nel grado di camminabilità</t>
  </si>
  <si>
    <t>Soglie di progettazione urbanistica per favorire gli spostamenti a piedi</t>
  </si>
  <si>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</si>
  <si>
    <t>Probabilità di intraprendere un qualche spostamento a piedi</t>
  </si>
  <si>
    <t>In linea con le evidenze osservate in città sane</t>
  </si>
  <si>
    <t>Soglia informata dall'evidenza</t>
  </si>
  <si>
    <t>Politica urbanistica con azioni incentrate sulla salute</t>
  </si>
  <si>
    <t>Informazioni disponibili sulla spesa pubblica per le diverse modalità di trasporto</t>
  </si>
  <si>
    <t>Fornitura di infrastruttura ciclabile</t>
  </si>
  <si>
    <t>Obiettivi sull’adesione alla mobilità a piedi</t>
  </si>
  <si>
    <t>Obiettivi sull’adesione alla mobilità in bici</t>
  </si>
  <si>
    <t>Requisiti sulla densità abitativa</t>
  </si>
  <si>
    <t>Mix di tipologie/dimensioni delle abitazioni</t>
  </si>
  <si>
    <t>Mix di destinazioni locali utili nella vita quotidiana</t>
  </si>
  <si>
    <t>A breve distanza dalle destinazioni utili nella vita quotidiana</t>
  </si>
  <si>
    <t>Rapporto tra posti di lavoro e abitazioni</t>
  </si>
  <si>
    <t>Contesti alimentari sani</t>
  </si>
  <si>
    <t>Politiche relative a città resilienti al clima</t>
  </si>
  <si>
    <t>Politiche relative ai trasporti per limitare l’inquinamento atmosferico</t>
  </si>
  <si>
    <t>Politiche relative all’uso del territorio per ridurre l’esposizione all’inquinamento atmosferico</t>
  </si>
  <si>
    <t>Requisiti relativi alla copertura arborea e al verde urbano</t>
  </si>
  <si>
    <t>Di fronte al cambiamento climatico, il costruito deve essere progettato per ridurre gli impatti sulla salute di eventi meteorologici estremi sempre più frequenti e gravi, come ondate di caldo, inondazioni, incendi boschivi e tempeste violente.</t>
  </si>
  <si>
    <t>Requisiti relativi all'accesso al posto di lavoro e ai servizi tramite il trasporto pubblico</t>
  </si>
  <si>
    <t>Obiettivi relativi all'utilizzo del trasporto pubblico</t>
  </si>
  <si>
    <t>Politica relativa agli spazi pubblici aperti</t>
  </si>
  <si>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</si>
  <si>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</si>
  <si>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</si>
  <si>
    <t>I dettagli completi sulle fonti di dati e sui metodi sono disponibili all'indirizzo</t>
  </si>
  <si>
    <t>Questo lavoro è stato rilasciato in accordo alla licenza internazionale Creative Commons CC BY-NC Attribuzione-Non commerciale 4.0.</t>
  </si>
  <si>
    <t>Membri del team: {author_names}</t>
  </si>
  <si>
    <t>Restriccions d'alçada d'edificis residencials</t>
  </si>
  <si>
    <t>Residential building height restrictions</t>
  </si>
  <si>
    <t>قيود ارتفاع المباني السكنية</t>
  </si>
  <si>
    <t>Ograničenja visine stambenih zgrada</t>
  </si>
  <si>
    <t>Omezení výšky obytných budov</t>
  </si>
  <si>
    <t>Højdebegrænsninger for boligbyggeri</t>
  </si>
  <si>
    <t>Hoogtebeperkingen voor woongebouwen</t>
  </si>
  <si>
    <t>Asuinrakennusten korkeusrajoitukset</t>
  </si>
  <si>
    <t>Restrictions de hauteur des bâtiments résidentiels</t>
  </si>
  <si>
    <t>Höhenbeschränkungen für Wohngebäude</t>
  </si>
  <si>
    <t>Περιορισμοί ύψους κτιρίου κατοικιών</t>
  </si>
  <si>
    <t>Ƙuntatawa tsayin ginin wurin zama</t>
  </si>
  <si>
    <t>आवासीय भवन की ऊंचाई पर प्रतिबंध</t>
  </si>
  <si>
    <t>Pembatasan ketinggian bangunan tempat tinggal</t>
  </si>
  <si>
    <t>주거용 건물 높이 제한</t>
  </si>
  <si>
    <t>Nga here teitei o te whare noho</t>
  </si>
  <si>
    <t>आवासीय भवन उचाइ प्रतिबन्धहरू</t>
  </si>
  <si>
    <t>محدودیت ارتفاع ساختمان مسکونی</t>
  </si>
  <si>
    <t>Restricciones de altura de edificios residenciales</t>
  </si>
  <si>
    <t>குடியிருப்பு கட்டிட உயர கட்டுப்பாடுகள்</t>
  </si>
  <si>
    <t>Konut binası yükseklik sınırlamaları</t>
  </si>
  <si>
    <t>Hạn chế chiều cao xây dựng nhà ở</t>
  </si>
  <si>
    <t>Edit the 'Demographics and health equity' section of the region configuration file to highlight socio-economic demographic characteristics and key health challenges and inequities present in this urban area.</t>
  </si>
  <si>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</si>
  <si>
    <t>Uredite odjeljak 'Demografija i zdravstvena jednakost' konfiguracijske datoteke regije kako biste istaknuli socioekonomske demografske karakteristike i ključne zdravstvene izazove i nejednakosti prisutne u ovom urbanom području.</t>
  </si>
  <si>
    <t>Upravte část „Demografie a rovnost ve zdraví“ v konfiguračním souboru regionu, abyste zdůraznili socioekonomické demografické charakteristiky a klíčové zdravotní problémy a nerovnosti přítomné v této městské oblasti.</t>
  </si>
  <si>
    <t>Rediger sektionen "Demografi og sundhedslighed" i regionens konfigurationsfil for at fremhæve socioøkonomiske demografiske karakteristika og centrale sundhedsudfordringer og uligheder i dette byområde.</t>
  </si>
  <si>
    <t>Bewerk de sectie 'Demografie en gezondheidsgelijkheid' van het regioconfiguratiebestand om de sociaal-economische demografische kenmerken en de belangrijkste gezondheidsuitdagingen en ongelijkheden in dit stedelijk gebied te benadrukken.</t>
  </si>
  <si>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</si>
  <si>
    <t>Bearbeiten Sie den Abschnitt „Demografie und gesundheitliche Chancengleichheit“ der Regionskonfigurationsdatei, um sozioökonomische demografische Merkmale sowie die wichtigsten gesundheitlichen Herausforderungen und Ungleichheiten in diesem Stadtgebiet hervorzuheben.</t>
  </si>
  <si>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</si>
  <si>
    <t>Shirya sashin 'Kididdiga da daidaiton lafiya' na fayil ɗin daidaitawar yanki don haskaka halayen alƙaluman zamantakewa da tattalin arziƙi da mahimman ƙalubalen lafiya da rashin daidaito da ake samu a wannan yanki na birni.</t>
  </si>
  <si>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</si>
  <si>
    <t>Edit bagian 'Demografi dan kesetaraan kesehatan' pada file konfigurasi wilayah untuk menyoroti karakteristik demografi sosio-ekonomi serta tantangan dan kesenjangan kesehatan utama yang ada di wilayah perkotaan ini.</t>
  </si>
  <si>
    <t>Whakatikahia te wahanga 'Taipori me te tika hauora' o te konae whirihoranga rohe ki te whakaatu i nga ahuatanga taupori-hapori-ohanga me nga wero hauora matua me nga kore tika kei roto i tenei taone nui.</t>
  </si>
  <si>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</si>
  <si>
    <t>Edite la sección 'Demografía y equidad en salud' del archivo de configuración de la región para resaltar las características demográficas socioeconómicas y principales retos e inequidades en salud presentes en esta área urbana.</t>
  </si>
  <si>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</si>
  <si>
    <t>{percent} na yawan jama'a a cikin {city_name} suna zaune a unguwannin da ke saduwa da madaidaicin madaidaicin titin don yuwuwar kashi 80% na shiga kowane tafiya don sufuri ({n} mahadar {per_unit})</t>
  </si>
  <si>
    <t>akowace km²</t>
  </si>
  <si>
    <t>Yawan yawan jama'ar makwafta (akowace km²)</t>
  </si>
  <si>
    <t>Matsakaicin maƙwabcin maƙwabta (akowace km²)</t>
  </si>
  <si>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</si>
  <si>
    <t>5,700 mutane akowace km²</t>
  </si>
  <si>
    <t>100 mahadar akowace km²</t>
  </si>
  <si>
    <t>无法加载政策清单数据因此已被跳过。详情请参阅 https://healthysustainablecities.github.io/software/#Policy-checklist</t>
  </si>
  <si>
    <t>全球健康与可持续城市指标合作</t>
  </si>
  <si>
    <t>编辑区域配置文件的“人口统计和健康公平”部分，以突出该城市地区存在的社会经济人口特征以及主要健康挑战和不平等问题。</t>
  </si>
  <si>
    <t>详细说明与该城市的城市健康不平等和地理特征相关的任何其他因素，或可能影响结果解释的数据因素。</t>
  </si>
  <si>
    <t>大都市</t>
  </si>
  <si>
    <t>省份 </t>
  </si>
  <si>
    <t>旋风</t>
  </si>
  <si>
    <t>提供定期运营服务的公共交通</t>
  </si>
  <si>
    <t>提供定期运营服务的公共交通(未评估)</t>
  </si>
  <si>
    <t>{city_name} 的 {percent} 人口居住在公共交通 500m 范围内</t>
  </si>
  <si>
    <t>{city_name} 中有 {percent} 的人口居住在满足80%步行交通出行概率的人口密度阈值（{n} 人 {per_unit} ）的社区</t>
  </si>
  <si>
    <t>{city_name} 的 {percent} 人口居住在满足80%步行交通出行概率的街道交叉口密度阈值（{n} 个交叉口 {per_unit}）的社区</t>
  </si>
  <si>
    <t>500米范围内能够到达以下地点的人口百分比：</t>
  </si>
  <si>
    <t>社区人口密度（每平方公里）</t>
  </si>
  <si>
    <t>社区路口密度（每平方公里）</t>
  </si>
  <si>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</si>
  <si>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</si>
  <si>
    <t>500 米范围内可到达便利设施的人口百分比</t>
  </si>
  <si>
    <t>公共政策对于支持健康和可持续城市和社区的设计和创建至关重要。 1000 个城市挑战政策清单已用于评估符合健康和可持续城市的证据和规范的政策的存在和质量。</t>
  </si>
  <si>
    <t>政策存在得分</t>
  </si>
  <si>
    <t>存在支持健康和可持续发展的城市和交通政策</t>
  </si>
  <si>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</si>
  <si>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</si>
  <si>
    <t>促进步行的城市设计阈值</t>
  </si>
  <si>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</si>
  <si>
    <t>进行步行交通的概率</t>
  </si>
  <si>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</si>
  <si>
    <t>具有以健康导向行动为重点的交通政策。</t>
  </si>
  <si>
    <t>具有以健康导向行动为重点的城市政策</t>
  </si>
  <si>
    <t>城市/交通政策中具有健康影响评估的要求</t>
  </si>
  <si>
    <t>步行适宜性和目的地可达性政策</t>
  </si>
  <si>
    <t>住多样性房类型/尺寸</t>
  </si>
  <si>
    <t>当地日常生活目的地的多样性</t>
  </si>
  <si>
    <t>预防犯罪的环境设计</t>
  </si>
  <si>
    <t>气候灾害风险的减少</t>
  </si>
  <si>
    <t>气候适应和减少灾害风险的战略</t>
  </si>
  <si>
    <t>公共开放空间可达性性的最低要求</t>
  </si>
  <si>
    <t>公共交通可达性</t>
  </si>
  <si>
    <t>公共开放空间可达性</t>
  </si>
  <si>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</si>
  <si>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</si>
  <si>
    <t>摘要</t>
  </si>
  <si>
    <t>请提供一张高分辨率的"主题图片",展示这座城市宜人、适合步行的城市街道或公共空间,最好是尺寸比例为21:10的.jpg格式(例如2100像素x1000像素)。</t>
  </si>
  <si>
    <t>请提供一张高分辨率的"主题图片",展示这座城市宜人、适合步行的城市街道或公共空间,最好是尺寸比例为1:1的.jpg格式(例如1000像素x1000像素)。</t>
  </si>
  <si>
    <t>無法載入政策清單資料並已被跳過。請參閱 https://healthysustainablecities.github.io/software/#Policy-checklist</t>
  </si>
  <si>
    <t>編輯區域配置文件的「人口統計和健康公平」部分，以突出該城市地區存在的社會經濟人口特徵以及主要健康挑戰和不平等問題。</t>
  </si>
  <si>
    <t>詳細說明與該城市的城市健康不平等和地理特徵相關的任何其他因素，或可能影響結果解釋的數據因素。</t>
  </si>
  <si>
    <t>省份</t>
  </si>
  <si>
    <t>旋風</t>
  </si>
  <si>
    <t>提供定期運營服務的公共交通</t>
  </si>
  <si>
    <t>提供定期運營服務的公共交通(未評估)</t>
  </si>
  <si>
    <t>{city_name} 的 {percent} 人口居住在公共交通 500m 範圍內</t>
  </si>
  <si>
    <t>{city_name} 中有 {percent} 的人口居住在滿足80%步行交通出行概率的人口密度閾值（{n} 人 {per_unit}）的社區</t>
  </si>
  <si>
    <t>{city_name} 的 {percent} 人口居住在滿足80%步行交通出行概率的街道交叉口密度閾值（{n} 個交叉口 {per_unit}）的社區</t>
  </si>
  <si>
    <t>500m 範圍內能夠到達以下地點的人口百分比：</t>
  </si>
  <si>
    <t>社區人口密度（每平方公里）</t>
  </si>
  <si>
    <t>社區路口密度（每平方公里）</t>
  </si>
  <si>
    <t>請提供一張高解析度的"主題圖片",展示這座城市宜人、適合步行的城市街道或公共空間,最好是尺寸比例為21:10的.jpg格式(例如2100像素x1000像素)。</t>
  </si>
  <si>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</si>
  <si>
    <t>本報告概述了{city_name} 在一系列健康與永續城市指標上的表現。作為 1000 個城市挑戰賽的一部分，我們檢視了促進健康和永續發展的城市規劃政策的存在和品質。研究結果可以為當地城市政策所需的改變提供資訊依據。</t>
  </si>
  <si>
    <t>500 公尺範圍內可到達便利設施的人口百分比 (m)</t>
  </si>
  <si>
    <t>公共政策對於支持健康和永續城市和社區的設計和創建至關重要。 1000 個城市挑戰政策清單已用於評估與健康和永續城市的證據和規範的政策的存在和品質。</t>
  </si>
  <si>
    <t>存在支持健康和永續發展的城市和交通政策</t>
  </si>
  <si>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</si>
  <si>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</si>
  <si>
    <t>促進步行的城市設計閾值</t>
  </si>
  <si>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</si>
  <si>
    <t>進行步行交通的機率</t>
  </si>
  <si>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</si>
  <si>
    <t>具有以健康導向行動為重點的交通政策</t>
  </si>
  <si>
    <t>具有以健康導向行動為重點的城市政策</t>
  </si>
  <si>
    <t>城市/交通政策中具有健康影響的評估要求</t>
  </si>
  <si>
    <t>步行適宜性與目的地可達性政策</t>
  </si>
  <si>
    <t>多樣性住房類型/尺寸</t>
  </si>
  <si>
    <t>當地日常生活目的地的多樣性</t>
  </si>
  <si>
    <t>預防犯罪的環境設計</t>
  </si>
  <si>
    <t>氣候災害風險的減少</t>
  </si>
  <si>
    <t>氣候調適和減少災害風險的策略</t>
  </si>
  <si>
    <t>公共交通可達性的最低要求</t>
  </si>
  <si>
    <t>公共開放空間可達性的最低要求</t>
  </si>
  <si>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</si>
  <si>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</si>
  <si>
    <t>請提供一張高解析度的"主題圖片",展示這座城市宜人、適合步行的城市街道或公共空間,最好是尺寸比例為1:1的.jpg格式(例如1000像素x1000像素)。</t>
  </si>
  <si>
    <t>當地</t>
  </si>
  <si>
    <t>區域</t>
  </si>
  <si>
    <t>國家</t>
  </si>
  <si>
    <t>当地</t>
  </si>
  <si>
    <t>区域</t>
  </si>
  <si>
    <t>国家</t>
  </si>
  <si>
    <t>zh_Hant</t>
  </si>
  <si>
    <t>validated</t>
  </si>
  <si>
    <t>Português de Portugal</t>
  </si>
  <si>
    <t>Níveis de govern</t>
  </si>
  <si>
    <t xml:space="preserve"> Edite a secção “Demografia e equidade na saúde” do ficheiro de configuração da região para destacar as características demográficas socioeconómicas e os principais desafios e desigualdades na saúde presentes nesta área urbana.</t>
  </si>
  <si>
    <t>Os riscos ambientais que podem ter impacto  na área urbana na próxima década incluem: {policy_checklist_hazards}.</t>
  </si>
  <si>
    <t>{percent} da população de {city_name} vive em bairros com pontuação de caminhabilidade abaixo da mediana de 25 cidades em todo o mundo (Quadro 1)</t>
  </si>
  <si>
    <t>Por favor, forneça uma foto de " hero image" de alta resolução mostrando um convívio, walkable city steet ou espaço público para esta cidade, idealmente em .jpg formato com dimensões na proporção de 21:10 (por exemplo, 2100px por 1000px)</t>
  </si>
  <si>
    <t>Por favor, forneça uma foto de "i hero image" de alta resolução mostrando um convívio, um espaço público ambulante e urbano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</si>
  <si>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</si>
  <si>
    <t>Políticas integradas de planeamento urbano para saúde e sustentabilidade</t>
  </si>
  <si>
    <t xml:space="preserve"> Restrições de altura de edifícios residenciais</t>
  </si>
  <si>
    <t>Informe del Desafío de las 1000 Ciudades</t>
  </si>
  <si>
    <t xml:space="preserve">Colaboración global sobre indicadores de ciudades saludables y sostenibles </t>
  </si>
  <si>
    <t>Edite el archivo de configuración de la región para proporcionar los antecedentes contextuales para su región de estudio. Resuma brevemente la ubicación, la historia y la topografía, según corresponda.</t>
  </si>
  <si>
    <t>Detalle cualquier otra consideración relacionada con las desigualdades en salud urbana y la geografía en esta ciudad, o consideraciones sobre los datos que podrían influir en la interpretación de los hallazgos.</t>
  </si>
  <si>
    <t>A continuación, la región de estudio utilizada para calcular los indicadores espaciales para la población de {city_name}, presentada en este informe, se resalta en el mapa mediante sombreado de líneas paralelas.</t>
  </si>
  <si>
    <t>El {percent} de la población de {city_name} vive a menos de 500 m del transporte público con una frecuencia promedio de 20 minutos o menos en días laborables.</t>
  </si>
  <si>
    <t>El {percent} de la población de {city_name} vive en vecindarios que alcanzan el umbral de densidad de intersecciones de calles para tener un 80 % de probabilidad de caminar para desplazarse ({n} intersecciones {per_unit})</t>
  </si>
  <si>
    <t>Densidad de intersecciones del barrio (por km²)</t>
  </si>
  <si>
    <t>Por favor, proporcionad una imagen icónica de alta resolución que muestre una calle o un espacio público agradable y caminable en esta ciudad, idealmente en formato .jpg con las proporciones 21:10 (por ejemplo, 2100px por 1000px)</t>
  </si>
  <si>
    <t>Por favor, proporcionad una imagen icónica de alta resolución que muestre una calle o un espacio público agradable y caminable en esta ciudad, idealmente en formato .jpg con las proporciones 1:1 (por ejemplo, 1000px por 1000px)</t>
  </si>
  <si>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</si>
  <si>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</si>
  <si>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</si>
  <si>
    <t>Puntuación sobre la presencia de políticas</t>
  </si>
  <si>
    <t>Puntuación sobre la calidad de las políticas</t>
  </si>
  <si>
    <t>Calificación de la calidad de las políticas cuantificables alineadas con la evidencia sobre ciudades saludables</t>
  </si>
  <si>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</si>
  <si>
    <t>Umbrales de diseño urbano para promover los desplazamientos a pie.</t>
  </si>
  <si>
    <t>umbral de referencia</t>
  </si>
  <si>
    <t>Umbral basado en evidencia científica</t>
  </si>
  <si>
    <t>La política urbana y de transporte apuesta explícitamente por una planificación urbana integrada</t>
  </si>
  <si>
    <t>Políticas de caminabilidad y de acceso a destinos</t>
  </si>
  <si>
    <t>Dotación de infraestructura peatonal</t>
  </si>
  <si>
    <t>Dotación de infraestructura para la bicicleta</t>
  </si>
  <si>
    <t>Limitaciones en la construcción de viviendas en zonas verdes</t>
  </si>
  <si>
    <t>Ratio entre empleo y vivienda</t>
  </si>
  <si>
    <t>Prevención de la delincuencia a través del diseño del entorno</t>
  </si>
  <si>
    <t>Políticas sobre calidad del aire urbano y sobre soluciones basadas en la naturaleza</t>
  </si>
  <si>
    <t>Requisitos de cobertura de árboles y reverdecimiento urbano</t>
  </si>
  <si>
    <t>Requisitos para el acceso en transporte público a lugares de trabajo y servicios</t>
  </si>
  <si>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</si>
  <si>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</si>
  <si>
    <t>Agregue nombres de autores editando los ajustes de la configuración de la región usando un editor de texto</t>
  </si>
  <si>
    <t>Javier Molina-García, Ana Queralt, Xavier Delclòs Alió, Joan Carles Martori, Anna Puig-Ribera &amp; Guillem Vich</t>
  </si>
  <si>
    <t>Google Noto Sans Simplified</t>
  </si>
  <si>
    <t>Google Noto Sans Hong Kong</t>
  </si>
  <si>
    <t>Google Noto Sans Devanagari</t>
  </si>
  <si>
    <t>Google Noto Sans Japanese</t>
  </si>
  <si>
    <t>Noto Sans Korean</t>
  </si>
  <si>
    <t>Google Noto Sans Tamil</t>
  </si>
  <si>
    <t>Google Krub</t>
  </si>
  <si>
    <t>Звіт 1000 Cities Challenge</t>
  </si>
  <si>
    <t>Індикатори політики для здорових і сталих міст</t>
  </si>
  <si>
    <t>Політика та просторові показники для здорових та стійких міст</t>
  </si>
  <si>
    <t>Просторові показники для здорових і стійких міст</t>
  </si>
  <si>
    <t>Попередні висновки не призначені для публічного оприлюднення, доки результати та інтерпретації не будуть перевірені та затверджені.</t>
  </si>
  <si>
    <t>Дані контрольного списку політики не вдалося завантажити, тому їх було пропущено. Перегляньте https://healthysustainablecities.github.io/software/#Policy-checklist</t>
  </si>
  <si>
    <t>ТІЛЬКИ ЧЕРНЕТКА</t>
  </si>
  <si>
    <t>Співпраця глобальних індикаторів здорового та сталого міста</t>
  </si>
  <si>
    <t>Контекст {city_name}</t>
  </si>
  <si>
    <t>Рівні влади</t>
  </si>
  <si>
    <t>Демографія та справедливість у сфері охорони здоров’я</t>
  </si>
  <si>
    <t>Контекст екологічної катастрофи</t>
  </si>
  <si>
    <t>Додатковий контекст</t>
  </si>
  <si>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</si>
  <si>
    <t>Для {city_name} було проаналізовано такі рівні державної політики: {policy_checklist_levels}.</t>
  </si>
  <si>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</si>
  <si>
    <t>Екологічні небезпеки, які можуть вплинути на міську територію протягом наступного десятиліття, включають: {policy_checklist_hazards}.</t>
  </si>
  <si>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</si>
  <si>
    <t>Місцевий</t>
  </si>
  <si>
    <t>митрополит</t>
  </si>
  <si>
    <t>Регіональний</t>
  </si>
  <si>
    <t>Держава</t>
  </si>
  <si>
    <t>Національний</t>
  </si>
  <si>
    <t>Сильні шторми</t>
  </si>
  <si>
    <t>повені</t>
  </si>
  <si>
    <t>Лісові пожежі/лісові пожежі</t>
  </si>
  <si>
    <t>Теплові хвилі</t>
  </si>
  <si>
    <t>Сильний холод</t>
  </si>
  <si>
    <t>Тайфуни</t>
  </si>
  <si>
    <t>Урагани</t>
  </si>
  <si>
    <t>циклони</t>
  </si>
  <si>
    <t>землетруси</t>
  </si>
  <si>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</si>
  <si>
    <t>Регіон дослідження</t>
  </si>
  <si>
    <t>Легенда карти</t>
  </si>
  <si>
    <t>перетин адміністративної межі та межі міста</t>
  </si>
  <si>
    <t>Н</t>
  </si>
  <si>
    <t>км</t>
  </si>
  <si>
    <t>м</t>
  </si>
  <si>
    <t>за км²</t>
  </si>
  <si>
    <t>Продуктовий ринок</t>
  </si>
  <si>
    <t>Крамниця</t>
  </si>
  <si>
    <t>Будь-який публічний відкритий простір</t>
  </si>
  <si>
    <t>Великий відкритий громадський простір</t>
  </si>
  <si>
    <t>Зупинка громадського транспорту</t>
  </si>
  <si>
    <t>Громадський транспорт з регулярним сполученням</t>
  </si>
  <si>
    <t>Громадський транспорт з регулярним сполученням (не оцінено)</t>
  </si>
  <si>
    <t>Доступність мікрорайону відносно 25 міст світу</t>
  </si>
  <si>
    <t>Низький</t>
  </si>
  <si>
    <t>Середній</t>
  </si>
  <si>
    <t>Високий</t>
  </si>
  <si>
    <t>Немає</t>
  </si>
  <si>
    <t>Так</t>
  </si>
  <si>
    <t>{percent} населення міста {city_name} проживає в межах 500 метрів від громадського транспорту</t>
  </si>
  <si>
    <t>{percent} населення міста {city_name} живе в радіусі 500 метрів від громадського транспорту, середня частота якого становить 20 хвилин або більше</t>
  </si>
  <si>
    <t>{percent} населення міста {city_name} проживає в межах 500 метрів від громадського простору площею щонайменше 1,5 гектара</t>
  </si>
  <si>
    <t>{percent} населення міста {city_name} проживає в районах, які відповідають порогу щільності населення для 80% ймовірності йти пішки на транспорті ({n} людей {per_unit})</t>
  </si>
  <si>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</si>
  <si>
    <t>{percent} населення міста {city_name} живе в районах, показник доступності яких є нижчим за середній показник 25 міст світу (вставка 1)</t>
  </si>
  <si>
    <t>Політика визначена</t>
  </si>
  <si>
    <t>% населення з доступом до 500 м до:</t>
  </si>
  <si>
    <t>Щільність населення околиць (на км²)</t>
  </si>
  <si>
    <t>Щільність мікрорайону (на км²)</t>
  </si>
  <si>
    <t>Медіана та інтерквартильний діапазон для 25 міст у всьому світі (вставка 1)</t>
  </si>
  <si>
    <t>Карти просторового розподілу, представлені в цьому звіті, відображають результати для територій з оцінками населення відповідно до {config[population][name]}.</t>
  </si>
  <si>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</si>
  <si>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</si>
  <si>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</si>
  <si>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</si>
  <si>
    <t>Відсоток населення з доступом до зручностей у межах 500 метрів (м)</t>
  </si>
  <si>
    <t>Прохідність і доступ до пункту призначення</t>
  </si>
  <si>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</si>
  <si>
    <t>Оцінка присутності політики</t>
  </si>
  <si>
    <t>Наявність міської та транспортної політики, що підтримує здоров'я та стійкість</t>
  </si>
  <si>
    <t>Оцінка якості політики</t>
  </si>
  <si>
    <t>Рейтинг якості політики для вимірюваної політики, узгодженої з доказами здорових міст</t>
  </si>
  <si>
    <t>Містобудівні вимоги</t>
  </si>
  <si>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</si>
  <si>
    <t>Нерівності в прохідності</t>
  </si>
  <si>
    <t>Вставка 1: дослідження Lancet Global Health Series у 25 містах світу</t>
  </si>
  <si>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</si>
  <si>
    <t>Пороги міського дизайну для сприяння ходьбі</t>
  </si>
  <si>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</si>
  <si>
    <t>Ймовірність зайнятися будь-яким ходінням на транспорті</t>
  </si>
  <si>
    <t>5700 осіб на км²</t>
  </si>
  <si>
    <t>100 перехресть на км²</t>
  </si>
  <si>
    <t>цільовий поріг</t>
  </si>
  <si>
    <t>Збігається з доказами здорових міст</t>
  </si>
  <si>
    <t>Вимірна ціль</t>
  </si>
  <si>
    <t>Доказовий поріг</t>
  </si>
  <si>
    <t>Ключ: Так ✔ Ні ✘ Змішаний ✔/✘ Не застосовується -</t>
  </si>
  <si>
    <t>Інтегрована політика міського планування для здоров’я та сталого розвитку</t>
  </si>
  <si>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</si>
  <si>
    <t>Транспортна політика з діями, орієнтованими на здоров'я</t>
  </si>
  <si>
    <t>Міська політика з діями, орієнтованими на здоров’я</t>
  </si>
  <si>
    <t>Вимоги до оцінки впливу на здоров'я в міській/транспортній політиці</t>
  </si>
  <si>
    <t>Міська/транспортна політика чітко спрямована на комплексне планування міста</t>
  </si>
  <si>
    <t>Загальнодоступна інформація про державні витрати на різні види транспорту</t>
  </si>
  <si>
    <t>Правила проходження та доступу до пункту призначення</t>
  </si>
  <si>
    <t>Вимоги до підключення вулиць</t>
  </si>
  <si>
    <t>Обмеження паркування, щоб перешкодити використанню автомобіля</t>
  </si>
  <si>
    <t>Вимоги безпеки руху</t>
  </si>
  <si>
    <t>Облаштування пішохідної інфраструктури</t>
  </si>
  <si>
    <t>Забезпечення велоінфраструктури</t>
  </si>
  <si>
    <t>Цілі участі в ходьбі</t>
  </si>
  <si>
    <t>Цілі участі в велосипедних прогулянках</t>
  </si>
  <si>
    <t>Вимоги до щільності житла</t>
  </si>
  <si>
    <t>Обмеження висоти житлових будинків</t>
  </si>
  <si>
    <t>Обмеження на будівництво житла з нуля</t>
  </si>
  <si>
    <t>Поєднання типів/розмірів житла</t>
  </si>
  <si>
    <t>Поєднання місцевих місць для щоденного життя</t>
  </si>
  <si>
    <t>Недалека відстань до місць повсякденного проживання</t>
  </si>
  <si>
    <t>Вимоги до розподілу на роботу</t>
  </si>
  <si>
    <t>Співвідношення робочих місць і житла</t>
  </si>
  <si>
    <t>Середовище здорового харчування</t>
  </si>
  <si>
    <t>Профілактика злочинності через екологічний дизайн</t>
  </si>
  <si>
    <t>Політика міст, стійких до зміни клімату</t>
  </si>
  <si>
    <t>Якість міського повітря та рішення, засновані на природі</t>
  </si>
  <si>
    <t>Якість міського повітря та політика екологічних рішень</t>
  </si>
  <si>
    <t>Транспортна політика щодо обмеження забруднення повітря</t>
  </si>
  <si>
    <t>Політика землекористування для зменшення впливу забруднення повітря</t>
  </si>
  <si>
    <t>Вимоги до крони дерев та озеленення міст</t>
  </si>
  <si>
    <t>Захист і просування міського біорізноманіття</t>
  </si>
  <si>
    <t>Зменшення ризику кліматичних катастроф</t>
  </si>
  <si>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</si>
  <si>
    <t>Стратегії адаптації та зменшення ризику стихійних лих</t>
  </si>
  <si>
    <t>Політика громадського транспорту</t>
  </si>
  <si>
    <t>Вимоги до доступу громадського транспорту до роботи та послуг</t>
  </si>
  <si>
    <t>Мінімальні вимоги до доступу громадського транспорту</t>
  </si>
  <si>
    <t>Цілі використання громадського транспорту</t>
  </si>
  <si>
    <t>Політика відкритого громадського простору</t>
  </si>
  <si>
    <t>Мінімальні вимоги до публічного доступу у відкритий простір</t>
  </si>
  <si>
    <t>Проїзд громадським транспортом</t>
  </si>
  <si>
    <t>Громадський відкритий простір</t>
  </si>
  <si>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</si>
  <si>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</si>
  <si>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</si>
  <si>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</si>
  <si>
    <t>Повна інформація про дані та методи доступна за адресою</t>
  </si>
  <si>
    <t>Дані про населення</t>
  </si>
  <si>
    <t>Міські межі</t>
  </si>
  <si>
    <t>Містобудівні особливості</t>
  </si>
  <si>
    <t>Колірна гамма</t>
  </si>
  <si>
    <t>Цитування</t>
  </si>
  <si>
    <t>Резюме</t>
  </si>
  <si>
    <t>Цей твір ліцензовано за міжнародною ліцензією Creative Commons CC BY-NC Attribution-NonCommercial 4.0.</t>
  </si>
  <si>
    <t>Члени міської команди: {author_names}</t>
  </si>
  <si>
    <t>Додайте імена авторів, відредагувавши налаштування звітів про конфігурацію регіону за допомогою текстового редактора</t>
  </si>
  <si>
    <t>Розробка та редагування звіту: {editor_names}</t>
  </si>
  <si>
    <t>Переклад: {translation_names}</t>
  </si>
  <si>
    <t>Огляд політики проведено</t>
  </si>
  <si>
    <t>Адмінмежа ({source})</t>
  </si>
  <si>
    <t>Міська межа ({source})</t>
  </si>
  <si>
    <t>Межа регіону дослідження ({source})</t>
  </si>
  <si>
    <t>Ukrainian</t>
  </si>
  <si>
    <t>Український</t>
  </si>
  <si>
    <t>Requisitos de distribuição espacial dos empregos</t>
  </si>
  <si>
    <t>Proporção entre empregos e residências</t>
  </si>
  <si>
    <t>Prevenção de crimes por meio do desenho dos ambientes</t>
  </si>
  <si>
    <t>Qualidade do ar e soluções baseadas na natureza</t>
  </si>
  <si>
    <t>Qualidade do ar e políticas de soluções baseadas na natureza</t>
  </si>
  <si>
    <t>Requisitos mínimos para acesso aos transportes públicos</t>
  </si>
  <si>
    <t>Metas para o uso dos transportes públicos</t>
  </si>
  <si>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</si>
  <si>
    <t>Indicadores de políticas públicas para cidades saudáveis e sustentáveis</t>
  </si>
  <si>
    <t>Indicadores de políticas públicas e espaciais para cidades saudáveis e sustentáveis</t>
  </si>
  <si>
    <t>Os achados preliminares não se destinam à divulgação pública até que os resultados e as interpretações sejam validados e aprovados.</t>
  </si>
  <si>
    <t>SOMENTE RASCUNHO</t>
  </si>
  <si>
    <t>Colaboração Global para Indicadores de Cidades Saudáveis e Sustentáveis</t>
  </si>
  <si>
    <t>Contexto de desastres ambientais</t>
  </si>
  <si>
    <t>Edite o arquivo de configuração da região para fornecer contexto geral para sua região de estudo. Por favor, resuma brevemente a localização, história e topografia, quando relevante.</t>
  </si>
  <si>
    <t>Edite a se ção “Demografia e equidade na saúde” do arquivo de configuração da região para destacar as características demográficas e socioeconômicas e os principais desafios e desigualdades em saúde presentes nesta área urbana.</t>
  </si>
  <si>
    <t>Detalhe quaisquer outras considerações relacionadas com as desigualdades na saúde urbana e a geografia desta cidade, ou considerações sobre dados que possam influenciar a interpretação dos resultados.</t>
  </si>
  <si>
    <t>Estadual</t>
  </si>
  <si>
    <t>Incêndios florestais</t>
  </si>
  <si>
    <t>interseção do limite administrativo e do limite urbano</t>
  </si>
  <si>
    <t>{percent} da população de {city_name} que vive a menos de 500 m de transporte público com frequência média de 20 minutos ou mais durante a semana</t>
  </si>
  <si>
    <t>{percent} da população de {city_name} que vive em bairros que atendem ao limiar de densidade populacional para 80% de probabilidade de praticar qualquer caminhada para transporte ({n} pessoas {per_unit})</t>
  </si>
  <si>
    <t>{percent} da população de {city_name} que vive em bairros que atendem ao limiar de densidade de interseções de ruas com 80% de probabilidade de caminhar para se deslocar ({n} interseções {per_unit})</t>
  </si>
  <si>
    <t>{percent} da população de {city_name} que vive em bairros com pontuação de caminhabilidade abaixo da mediana de 25 cidades em todo o mundo (Quadro 1)</t>
  </si>
  <si>
    <t>% da população com acesso em um raio de 500m a:</t>
  </si>
  <si>
    <t>Densidade populacional da vizinhança (por km²)</t>
  </si>
  <si>
    <t>Densidade de interseções na vizinhança (por km²)</t>
  </si>
  <si>
    <t>Por favor, forneça uma imagem principal / imagem em destaque de alta resolução mostrando uma rua ou espaço público sociável e caminhável para esta cidade, idealmente em formato .jpg com dimensões na proporção de 21:10 (por exemplo, 2100px por 1000px)</t>
  </si>
  <si>
    <t>Por favor, forneça uma imagem principal / imagem em destaque de alta resolução mostrando uma rua ou espaço público sociável e caminhável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</si>
  <si>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</si>
  <si>
    <t>Percentagem da população com acesso a oportunidades urbanas num raio de 500 metros (m)</t>
  </si>
  <si>
    <t>Caminhabilidade e acesso a destinos</t>
  </si>
  <si>
    <t>Classificação da qualidade das políticas mensuráveis alinhadas com evidências sobre cidades saudáveis</t>
  </si>
  <si>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</si>
  <si>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</si>
  <si>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 alvo</t>
  </si>
  <si>
    <t>Limiar informado por evidências</t>
  </si>
  <si>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</si>
  <si>
    <t>Requisitos de avaliação de impacto sobre a saúde na política urbana/de transportes</t>
  </si>
  <si>
    <t>Políticas de caminhabilidade e acesso a destinos</t>
  </si>
  <si>
    <t>Metas para o uso da bicicleta</t>
  </si>
  <si>
    <t>Requisitos de densidade residencial</t>
  </si>
  <si>
    <t>Restrições de altura de edifícios residenciais</t>
  </si>
  <si>
    <t>Limites a à urbanização em cinturões verdes</t>
  </si>
  <si>
    <t>Mistura de tipos/tamanhos de residências</t>
  </si>
  <si>
    <t>Mistura de destinos locais para a vida cotidiana</t>
  </si>
  <si>
    <t>Proximidade dos destinos de vida cotidiana</t>
  </si>
  <si>
    <t>Requisitos de cobertura arbórea e ecologização urbana</t>
  </si>
  <si>
    <t>Face às alterações climáticas, os ambientes construídos precisam de ser concebidos para reduzir os impactos sobre a saúde de eventos climáticos extremos cada vez mais frequentes e graves, como ondas de calor, inundações, incêndios florestais e tempestades extremas.</t>
  </si>
  <si>
    <t>Requisitos para o acesso por transporte público aos empregos e serviços</t>
  </si>
  <si>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</si>
  <si>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</si>
  <si>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</si>
  <si>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</si>
  <si>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</si>
  <si>
    <t>Júlio Celso Vargas, Alex Antonio Florindo, Ligia Vizeu Barrozo &amp; Giovani Longo Rosa</t>
  </si>
  <si>
    <t>Hatsarin muhalli da zai iya yin tasiri a cikin birni cikin shekaru goma masu zuwa sun haɗa da: {policy_checklist_hazards}.</t>
  </si>
  <si>
    <t>Los peligros ambientales que pueden afectar el área urbana durante la próxima década incluyen: {policy_checklist_hazards} .</t>
  </si>
  <si>
    <t>metropolitano</t>
  </si>
  <si>
    <t>regional</t>
  </si>
  <si>
    <t>autonómico</t>
  </si>
  <si>
    <t>nacional</t>
  </si>
  <si>
    <t>% de población con acceso a menos de 500 m a:</t>
  </si>
  <si>
    <t>Porcentaje de población con acceso a servicios a menos de 500 metros (m)</t>
  </si>
  <si>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</si>
  <si>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</si>
  <si>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</si>
  <si>
    <t>Restricciones en la altura de edificios residenciales</t>
  </si>
  <si>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</si>
  <si>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</si>
  <si>
    <t>Javier Molina-García, Ana Queralt, Xavier Delclòs Alió, Joan Carles Martori, Anna Puig-Ribera &amp; Guillem Vich.</t>
  </si>
  <si>
    <t>fuertes tormentas</t>
  </si>
  <si>
    <t>inundaciones</t>
  </si>
  <si>
    <t>incendios forestales</t>
  </si>
  <si>
    <t>olas de calor</t>
  </si>
  <si>
    <t>frío extremo</t>
  </si>
  <si>
    <t>tifones</t>
  </si>
  <si>
    <t>huracanes</t>
  </si>
  <si>
    <t>ciclones</t>
  </si>
  <si>
    <t>terremotos</t>
  </si>
  <si>
    <t>WORD</t>
  </si>
  <si>
    <t>CHAR</t>
  </si>
  <si>
    <t>Wrapmode</t>
  </si>
  <si>
    <t>ภาษา​ไทย</t>
  </si>
  <si>
    <t>รายงาน​ความ​ท้าทาย 1,000 เมือง</t>
  </si>
  <si>
    <t>ตัว​ชี้​วัด​นโยบาย​เพื่อ​เมือง​ที่​มี​สุขภาพ​ดี​และ​ยั่งยืน</t>
  </si>
  <si>
    <t>ตัว​ชี้​วัด​นโยบาย​และ​เชิง​พื้นที่​สำหรับ​เมือง​ที่​มี​สุขภาพ​ดี​และ​ยั่งยืน</t>
  </si>
  <si>
    <t>ตัว​ชี้​วัด​เชิง​พื้นที่​สำหรับ​เมือง​ที่​มี​สุขภาพ​ดี​และ​ยั่งยืน</t>
  </si>
  <si>
    <t>การ​ค้น​พบ​เบื้อง​ต้น​ไม่​ได้​มี​ไว้​สำหรับ​การ​เผย​แพร่​สู่​สาธารณะ​จน​กว่า​ผลลัพธ์​และ​การ​ตี​ความ​จะ​ได้​รับ​การ​ตรวจ​สอบ​และ​อนุมัติ</t>
  </si>
  <si>
    <t>โหลด​ข้อมูล​รายการ​ตรวจ​สอบนโยบาย​ไม่​ได้​และ​ถูก​ข้าม​ไป ดู https://healthysustainablecities.github.io/software/#Policy-checklist</t>
  </si>
  <si>
    <t>ฉบับ​ร่าง​เท่า​นั้น</t>
  </si>
  <si>
    <t>ความ​ร่วม​มือ​ด้าน​ตัว​ชี้​วัด​เมือง​ที่​ดี​ต่อ​สุขภาพ​และ​ยั่งยืน​ระดับ​โลก</t>
  </si>
  <si>
    <t>บริบท​ของ {city_name}</t>
  </si>
  <si>
    <t>ระดับ​ของ​รัฐบาล</t>
  </si>
  <si>
    <t>ประชากร​และ​ความ​เท่า​เทียม​ด้าน​สุขภาพ</t>
  </si>
  <si>
    <t>บริบท​ภัยพิบัติ​ด้าน​สิ่ง​แวด​ล้อม</t>
  </si>
  <si>
    <t>บริบท​เพิ่ม​เติม</t>
  </si>
  <si>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</si>
  <si>
    <t>การ​วิเคราะห์​นโยบาย​ของ​รัฐบาล​ใน​ระดับ​ต่อ​ไป​นี้ สำหรับ {city_name}: {policy_checklist_levels}</t>
  </si>
  <si>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</si>
  <si>
    <t>อันตราย​ทาง​สิ่ง​แวด​ล้อม​ที่​อาจ​ส่ง​ผล​กระทบ​ต่อ​เขต​เมือง​ใน​ทศวรรษ​ต่อๆ ไป ได้แก่: {policy_checklist_hazards}.</t>
  </si>
  <si>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</si>
  <si>
    <t>ส่วน​ท้อง​ถิ่น</t>
  </si>
  <si>
    <t>นคร​หลวง</t>
  </si>
  <si>
    <t>เฉพาะ​ท้อง​ถิ่น</t>
  </si>
  <si>
    <t>ระดับ​ชาติ</t>
  </si>
  <si>
    <t>พายุ​รุนแรง</t>
  </si>
  <si>
    <t>น้ำ​ท่วม</t>
  </si>
  <si>
    <t>ไฟ​ป่า/ไฟ​ป่า</t>
  </si>
  <si>
    <t>คลื่น​ความ​ร้อน</t>
  </si>
  <si>
    <t>หนาว​มาก</t>
  </si>
  <si>
    <t>พายุ​ไต้ฝุ่น</t>
  </si>
  <si>
    <t>พายุ​เฮอริเคน</t>
  </si>
  <si>
    <t>พายุ​ไซโคลน</t>
  </si>
  <si>
    <t>แผ่น​ดิน​ไหว</t>
  </si>
  <si>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</si>
  <si>
    <t>พื้นที่​ศึกษา</t>
  </si>
  <si>
    <t>คำ​อธิบาย​ใน​แผนที่</t>
  </si>
  <si>
    <t>ขอบ​เขต​ทาง​การบ​ริ​หาร ({source})</t>
  </si>
  <si>
    <t>ขอบ​เขต​ของ​เขต​เมือง ({source})</t>
  </si>
  <si>
    <t>ขอบ​เขต​ของ​พื้นที่​ศึกษา ({source})</t>
  </si>
  <si>
    <t>จุด​แบ่ง​ของ​เขต​ปกครอง​และ​เขต​เมือง</t>
  </si>
  <si>
    <t>ทิศ​เหนือ</t>
  </si>
  <si>
    <t>ต่อ​ตาราง​กิโลเมตร</t>
  </si>
  <si>
    <t>ตลาด​อาหาร</t>
  </si>
  <si>
    <t>ร้าน​สะดวก​ซื้อ</t>
  </si>
  <si>
    <t>พื้นที่​เปิด​โล่ง​สาธารณะ​โดย​ทั่ว​ไป</t>
  </si>
  <si>
    <t>พื้นที่​เปิด​โล่ง​สาธารณะ​ขนาด​ใหญ่</t>
  </si>
  <si>
    <t>ป้าย​จอด​รถ​โดยสาร</t>
  </si>
  <si>
    <t>การ​ขน​ส่ง​สาธารณะ​ที่​มี​บริการ​ปกติ</t>
  </si>
  <si>
    <t>การ​ขน​ส่ง​สาธารณะ​ที่​มี​บริการ​ปกติ (ไม่​ได้​รับ​การ​ประเมิน)</t>
  </si>
  <si>
    <t>ความ​สามารถ​ใน​การ​เดิน​ใน​บริเวณ​ใกล้​เคียง โดย​เปรียบ​เทียบ​กับ 25 เมือง​ใน​ระดับ​สากล</t>
  </si>
  <si>
    <t>ไม่​ใช่</t>
  </si>
  <si>
    <t>{percent} ของ​ประชากร​ใน {city_name} อาศัย​อยู่​ใน​ระยะ 500 ม. จาก​ระบบ​ขน​ส่ง​สาธารณะ</t>
  </si>
  <si>
    <t>{percent} ของ​ประชากร​ใน {city_name} อาศัย​อยู่​ใน​ระยะ 500 เมตร​จาก​ระบบ​ขน​ส่ง​สาธารณะ โดย​มี​ความ​ถี่​เฉลี่ย​ใน​วัน​ธรรมดา 20 นาที​หรือ​ดี​กว่า​นั้น</t>
  </si>
  <si>
    <t>{percent} ของ​ประชากร​ใน {city_name} อาศัย​อยู่​ภาย​ใน 500 เมตร​จาก​พื้นที่​เปิด​โล่ง​สาธารณะ​ที่​มี​ขนาด​อย่าง​น้อย 1.5 เฮกตาร์</t>
  </si>
  <si>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</si>
  <si>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</si>
  <si>
    <t>{percent} ของ​ประชากร​ใน {city_name} อาศัย​อยู่​ใน​ชุมชน​ที่​มี​คะแนน​ความ​สามารถ​ใน​การ​เดิน​ต่ำ​กว่า​ค่า​มัธยฐาน​ของ 25 เมือง​ทั่ว​โลก (กล่อง​ที่ 1)</t>
  </si>
  <si>
    <t>นโยบาย​ที่​ระบุ</t>
  </si>
  <si>
    <t>% ของ​ประชากร​ที่​เข้า​ถึง​ได้​ภาย​ใน​ระยะ 500 ม. เพื่อ:</t>
  </si>
  <si>
    <t>ความ​หนา​แน่น​ของ​ประชากร​ใน​ชุมชน (ต่อ​ตาราง​กิโลเมตร)</t>
  </si>
  <si>
    <t>ความ​หนา​แน่น​ของ​ทาง​แยก​ใน​ชุมชน (ต่อ​ตาราง​กิโลเมตร)</t>
  </si>
  <si>
    <t>ค่า​มัธยฐาน​และ​พิสัย​ระ​หว่าง​ควอ​ไทล์สำหรับ 25 เมือง​ทั่ว​โลก (กล่อง​ที่ 1)</t>
  </si>
  <si>
    <t>แผนที่​การ​กระจาย​เชิง​พื้นที่​ที่​แสดง​ใน​รายงาน​นี้​แสดง​ผล​สำหรับ​พื้นที่​ที่​มี​การ​ประมาณ​จำนวน​ประชากร​ตาม {config[population][name]}</t>
  </si>
  <si>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</si>
  <si>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</si>
  <si>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</si>
  <si>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</si>
  <si>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</si>
  <si>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ร้อย​ละ​ของ​ประชากร​ที่​สามารถ​เข้า​ถึง​สิ่ง​อำนวย​ความ​สะดวก​ใน​ระยะ 500 เมตร (ม.)</t>
  </si>
  <si>
    <t>ความ​สามารถ​ใน​การ​เดิน​และ​การ​เข้า​ถึง​จุดหมาย​ปลาย​ทาง</t>
  </si>
  <si>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</si>
  <si>
    <t>คะแนน​แสดง​การ​มี​อยู่​ของ​นโยบาย</t>
  </si>
  <si>
    <t>การ​มี​อยู่​ของ​นโยบาย​เมือง​และ​การ​ขน​ส่ง​ที่​สนับสนุน​สุขภาพ​และ​ความ​ยั่งยืน</t>
  </si>
  <si>
    <t>คะแนน​ที่​แสดง​คุณภาพ​ของ​นโยบาย</t>
  </si>
  <si>
    <t>การ​จัด​อันดับ​คุณภาพ​ของ​นโยบาย​สำหรับ​นโยบาย​ที่​วัด​ผล​ได้​ซึ่ง​มี​ความ​สอด​คล้อง​กับ​หลัก​ฐาน​ว่าด้วย​เมือง​ที่​มี​สุขภาพ​ดี</t>
  </si>
  <si>
    <t>ข้อ​กำหนด​ใน​การ​วาง​ผัง​เมือง</t>
  </si>
  <si>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</si>
  <si>
    <t>ความ​ไม่​เท่าเทียมกัน​ของ​ความ​สามารถ​ใน​การ​เดิน</t>
  </si>
  <si>
    <t>กล่อง​ที่ 1: การ​ศึกษา​เกี่ยวกับ​เรื่อง​สุขภาพ​ใน​ระดับ​โลก​ของ Lancet ใน 25 เมือง​ทั่ว​โลก</t>
  </si>
  <si>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</si>
  <si>
    <t>เกณฑ์​การ​ออก​แบบ​ชุมชน​เมือง​เพื่อ​ส่ง​เสริม​การ​เดิน</t>
  </si>
  <si>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</si>
  <si>
    <t>ความ​น่า​จะ​เป็น​ใน​การ​มี​ส่วน​ร่วม​ใน​การ​เดิน​เพื่อ​การ​สัญจร</t>
  </si>
  <si>
    <t>5,700 คน​ต่อ​ตาราง​กิโลเมตร</t>
  </si>
  <si>
    <t>100 ทาง​แยก​ต่อ​ตาราง​กิโลเมตร</t>
  </si>
  <si>
    <t>เกณฑ์​เป้าหมาย</t>
  </si>
  <si>
    <t>นโยบาย​ที่​กำหนด</t>
  </si>
  <si>
    <t>สอด​คล้อง​ของ​หลัก​ฐาน​ที่​เกี่ยว​ข้อง​กับ​เมือง​สุขภาพ​ดี</t>
  </si>
  <si>
    <t>เป้าหมาย​ที่​วัด​ได้</t>
  </si>
  <si>
    <t>เกณฑ์​ที่​กำหนด​และ​หลัก​ฐาน</t>
  </si>
  <si>
    <t>คำ​ตอบ: ใช่ (✔) ไม่​ใช่ (✘) ใช่​หรือ​ไม่ (✔/✘) ไม่​เกี่ยว​ข้อง ( - )</t>
  </si>
  <si>
    <t>นโยบาย​การ​วาง​ผัง​เมือง​แบบ​บูรณาการ​เพื่อ​สุขภาพ​และ​ความ​ยั่งยืน</t>
  </si>
  <si>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</si>
  <si>
    <t>นโยบาย​ด้าน​การ​ขน​ส่ง​ที่​เน้น​การ​ดำเนิน​การ​เพื่อ​ส่ง​เสริม​สุขภาพ</t>
  </si>
  <si>
    <t>นโยบาย​ของ​เมือง​ที่​เน้น​การ​ดำเนิน​การ​เพื่อ​ส่ง​เสริม​สุขภาพ</t>
  </si>
  <si>
    <t>ข้อ​กำหนดการ​ประเมิน​ผล​กระทบ​ด้าน​สุขภาพ​ใน​นโยบาย​เมือง/การ​ขน​ส่ง</t>
  </si>
  <si>
    <t>นโยบาย​เมือง/การ​คมนาคม​มุ่ง​เป้า​ไป​ที่​การ​วาง​ผัง​เมือง​แบบ​บูรณาการ​อย่าง​ชัดเจน</t>
  </si>
  <si>
    <t>ข้อมูล​ที่​เปิด​เผย​ต่อ​สาธารณะ​เกี่ยวกับ​ค่า​ใช้​จ่าย​ภาค​รัฐ​สำหรับ​รูป​แบบ​การ​ขน​ส่ง​ต่างๆ</t>
  </si>
  <si>
    <t>นโยบาย​ความ​สามารถ​ใน​การ​เดิน​และ​การ​เข้า​ถึง​จุดหมาย​ปลาย​ทาง</t>
  </si>
  <si>
    <t>ข้อ​กำหนดการ​เชื่อม​ต่อ​ถนน</t>
  </si>
  <si>
    <t>การ​สร้าง​เงื่อนไข​ใน​การ​จอด​รถ​เพื่อ​ลด​การ​ใช้​รถ​ยนต์</t>
  </si>
  <si>
    <t>ข้อ​กำหนด​ด้าน​ความ​ปลอดภัย​การ​จราจร</t>
  </si>
  <si>
    <t>การ​จัด​หา​โครง​สร้าง​พื้นฐาน​สำหรับ​คน​เดิน​เท้า</t>
  </si>
  <si>
    <t>การ​จัด​หา​โครง​สร้าง​พื้นฐาน​สำหรับ​การ​ขี่​จักรยาน</t>
  </si>
  <si>
    <t>เป้าหมาย​การ​มี​ส่วน​ร่วม​ใน​การ​เดิน</t>
  </si>
  <si>
    <t>เป้าหมาย​การ​มี​ส่วน​ร่วม​ใน​การ​ขี่​จักรยาน</t>
  </si>
  <si>
    <t>ข้อ​กำหนด​ความ​หนา​แน่น​ของ​ที่​อยู่​อาศัย</t>
  </si>
  <si>
    <t>ข้อ​จำกัด​ความ​สูง​ของ​อาคาร​ที่​พัก​อาศัย</t>
  </si>
  <si>
    <t>ข้อ​จำกัด​ใน​การ​พัฒนา​ที่​อยู่​อาศัย​สี​เขียว</t>
  </si>
  <si>
    <t>การ​ผสม​ผสาน​ของ​ประเภท/ขนาด​ของ​ที่​อยู่​อาศัย</t>
  </si>
  <si>
    <t>การ​ผสม​ผสาน​จุดหมาย​ปลาย​ทาง​ใน​ท้อง​ถิ่น​เพื่อ​การ​ดำรง​ชีวิต​ประจำ​วัน</t>
  </si>
  <si>
    <t>การ​เดิน​ทาง​ใน​ระยะ​ใกล้​ใน​ชีวิต​ประจำ​วัน</t>
  </si>
  <si>
    <t>ข้อ​กำหนด​ของ​การ​กระจาย​การ​จ้าง​งาน</t>
  </si>
  <si>
    <t>อัตรา​ส่วน​ของ​งาน​ต่อ​ที่​อยู่​อาศัย</t>
  </si>
  <si>
    <t>สภาพ​แวด​ล้อม​ด้าน​อาหาร​เพื่อ​สุขภาพ</t>
  </si>
  <si>
    <t>การ​ป้องกัน​อาชญากรรม​ด้วย​การ​ออก​แบบ​สิ่ง​แวด​ล้อม</t>
  </si>
  <si>
    <t>นโยบาย​เมือง​ที่​มี​ความ​ยืดหยุ่น​ต่อ​สภาพ​ภูมิ​อากาศ</t>
  </si>
  <si>
    <t>คุณภาพ​อากาศ​ใน​เมือง​และ​วิธี​แก้​ปัญหา​จาก​ธรรมชาติ</t>
  </si>
  <si>
    <t>นโยบาย​คุณภาพ​อากาศ​ใน​เมือง​และ​การ​แก้​ปัญหา​โดย​อิง​ธรรมชาติ</t>
  </si>
  <si>
    <t>นโยบาย​การ​ขน​ส่ง​เพื่อ​จำกัด​มลพิษ​ทาง​อากาศ</t>
  </si>
  <si>
    <t>นโยบาย​การ​ใช้​ประโยชน์​ที่ดิน​เพื่อ​ลด​การ​เพิ่ม​ของ​มลพิษ​ทาง​อากาศ</t>
  </si>
  <si>
    <t>ข้อ​กำหนดการ​ปลูก​ต้นไม้​ให้​ร่ม​เงา​นและ​พื้นที่​สี​เขียว​ใน​เมือง</t>
  </si>
  <si>
    <t>การ​คุ้ม​ครอง​และ​ส่ง​เสริม​ความ​หลากหลาย​ทาง​ชีวภาพ​ใน​เมือง</t>
  </si>
  <si>
    <t>การ​ลด​ความ​เสี่ยง​จาก​ภัยพิบัติ​ด้าน​สภาพ​ภูมิ​อากาศ</t>
  </si>
  <si>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</si>
  <si>
    <t>กลยุทธ์​การ​ลด​ความ​เสี่ยง​จาก​ภัยพิบัติ​และ​การ​ปรับ​ตัว</t>
  </si>
  <si>
    <t>นโยบาย​การ​ขน​ส่ง​สาธารณะ</t>
  </si>
  <si>
    <t xml:space="preserve">ข้อ​กำหนด​สำหรับ​การ​เข้า​ถึง​การ​ขน​ส่ง​สาธารณะ​เพื่อ​การ​ทำ​งาน​และ​บริการ​ต่างๆ </t>
  </si>
  <si>
    <t>ข้อ​กำหนด​ขั้น​ต่ำ​สำหรับ​การ​เข้า​ถึง​การ​ขน​ส่ง​สาธารณะ</t>
  </si>
  <si>
    <t>เป้าหมาย​การ​ใช้​การ​ขน​ส่ง​สาธารณะ</t>
  </si>
  <si>
    <t>นโยบาย​พื้นที่​เปิด​โล่ง​สาธารณะ</t>
  </si>
  <si>
    <t>ข้อ​กำหนด​ขั้น​ต่ำ​สำหรับ​การ​เข้า​ถึง​พื้นที่​เปิด​โล่ง​สาธารณะ</t>
  </si>
  <si>
    <t>การ​เข้า​ถึง​การ​ขน​ส่ง​สาธารณะ</t>
  </si>
  <si>
    <t>การ​เข้า​ถึง​พื้นที่​เปิด​โล่ง​สาธารณะ</t>
  </si>
  <si>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</si>
  <si>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</si>
  <si>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</si>
  <si>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</si>
  <si>
    <t>ดู​ราย​ละเอียด​ข้อมูล​และ​วิธี​การ​ทั้ง​หมด​ได้​ที่</t>
  </si>
  <si>
    <t>ข้อมูล​ประชากร</t>
  </si>
  <si>
    <t>ขอบ​เขต​เมือง</t>
  </si>
  <si>
    <t>ลักษณะ​ของ​เมือง</t>
  </si>
  <si>
    <t>ระดับ​สี</t>
  </si>
  <si>
    <t>การ​อ้าง​อิง</t>
  </si>
  <si>
    <t>งาน​นี้​ได้​รับ​อนุญาต​ภาย​ใต้ Creative Commons CC BY-NC Attribution-NonCommercial 4.0 International License</t>
  </si>
  <si>
    <t>สมาชิก​ใน​ทีม​ของ​เมือง: {author_names}</t>
  </si>
  <si>
    <t>เพิ่ม​ชื่อ​ผู้​เขียน​โดย​แก้ไข​การ​ตั้ง​ค่า​การ​รายงาน​การ​กำหนด​ค่า​ภูมิภาค​โดย​ใช้​โปรแกรม​แก้ไข​ข้อ​ความ</t>
  </si>
  <si>
    <t>การ​ออก​แบบ​และ​แก้ไข​รายงาน: {editor_names}</t>
  </si>
  <si>
    <t>การ​แปล: {translation_names}</t>
  </si>
  <si>
    <t>ทบทวน​นโยบาย​โดย</t>
  </si>
  <si>
    <t>กร​สุภา นิตย์​วิมล</t>
  </si>
  <si>
    <t>waree</t>
  </si>
  <si>
    <t>configuration/fonts/fpdf_unicode_font_pack/Waree.ttf</t>
  </si>
  <si>
    <t>configuration/fonts/fpdf_unicode_font_pack/Waree-Bold.ttf</t>
  </si>
  <si>
    <t>configuration/fonts/fpdf_unicode_font_pack/Waree-BoldOblique.ttf</t>
  </si>
  <si>
    <t>configuration/fonts/fpdf_unicode_font_pack/Waree-Oblique.ttf</t>
  </si>
  <si>
    <t>https://github.com/reingart/pyfpdf/releases/download/binary/fpdf_unicode_font_pack.zip</t>
  </si>
  <si>
    <t>&lt;21,-1</t>
  </si>
  <si>
    <t>樋野 公宏</t>
  </si>
  <si>
    <t>翻訳補助: {translation_names}</t>
  </si>
  <si>
    <t>樋野公宏</t>
  </si>
  <si>
    <t>Rossano Schifanella</t>
  </si>
  <si>
    <t>Shiqin Liu, Poh-Chin Lai, Paulina Pui-Yun Wong, Wenhui Cai</t>
  </si>
  <si>
    <t>Kimihiro Hino</t>
  </si>
  <si>
    <t>Hüseyin Küçükali</t>
  </si>
  <si>
    <t>Huseyin Kucukali</t>
  </si>
  <si>
    <t>1000 Şehir Meydan Okuması raporu</t>
  </si>
  <si>
    <t>Sağlıklı ve sürdürülebilir şehirler için politika göstergeleri ve mekansal göstergeler</t>
  </si>
  <si>
    <t>İdari kademeler</t>
  </si>
  <si>
    <t>Çevresel afetlerle ilgili bağlam</t>
  </si>
  <si>
    <t>Çalışma bölgenizin arka plan bilgilerini sağlamak için bölge yapılandırma dosyasını düzenleyin. Lütfen konumu, tarihi ve topografyayı kısaca özetleyin.</t>
  </si>
  <si>
    <t>{city_name} için şu idari kademelerdeki politikalar incelendi: {policy_checklist_levels}.</t>
  </si>
  <si>
    <t>Bu kentsel alana ait sosyoekonomik ve demografik özellikleri ile başlıca sağlık sorunları ve eşitsizliklerini vurgulamak için bölge yapılandırma dosyasının 'Demografi ve sağlık eşitliği' bölümünü düzenleyin.</t>
  </si>
  <si>
    <t>Bu şehirdeki kentsel sağlık eşitsizlikleri ve coğrafya ile ilgili diğer hususları veya bulguların yorumlanmasını etkileyebilecek veriye ilişkin hususları ayrıntılarıyla belirtin.</t>
  </si>
  <si>
    <t>Devlet</t>
  </si>
  <si>
    <t>Orman/çalı yangınları</t>
  </si>
  <si>
    <t>Sıcak hava dalgaları</t>
  </si>
  <si>
    <t>Aşırı soğuklar</t>
  </si>
  <si>
    <t>Siklonlar</t>
  </si>
  <si>
    <t>Bu raporda {city_name} nüfusu için mekansal göstergeleri hesaplamak için kullanılan çalışma bölgesi, aşağıdaki haritada taralı olarak gösterilmiştir.</t>
  </si>
  <si>
    <t>Harita lejantı</t>
  </si>
  <si>
    <t>Gıda marketi</t>
  </si>
  <si>
    <t>Kamuya açık herhangi bir alan</t>
  </si>
  <si>
    <t>Kamuya açık geniş alan</t>
  </si>
  <si>
    <t>Düzenli hizmet veren toplu taşıma</t>
  </si>
  <si>
    <t>Mahalle yürünebilirliği, uluslararası 25 şehre kıyasla</t>
  </si>
  <si>
    <t>Hayır</t>
  </si>
  <si>
    <t>{city_name} nüfusunun {percent} kadarı, toplu taşımaya 500 metre mesafede yaşamaktadır</t>
  </si>
  <si>
    <t>{city_name} nüfusunun {percent} kadarı, 500 metre mesafede bulunan ve hafta içi ortalama en az 20 dakikada bir sıklıkta hizmet veren toplu taşıma imkanına sahip</t>
  </si>
  <si>
    <t>{city_name} nüfusunun {percent} kadarı, kamuya açık en az 15 dönümlük bir alana 500 metre yakında yaşamaktadır</t>
  </si>
  <si>
    <t>{city_name} nüfusunun {percent} kadarı, nüfus yoğunluğu itibarıyla ulaşım amaçlı yürüme olasılığının %80 olduğu mahallelerde yaşıyor ({per_unit} {n} kişi)</t>
  </si>
  <si>
    <t>{city_name} nüfusunun {percent} kadarı, sokak kavşak yoğunluğu itibarıyla ulaşım amaçlı yürüme olasılığının %80 olduğu mahallelerde yaşıyor ({per_unit} {n} kavşak)</t>
  </si>
  <si>
    <t>{city_name} nüfusunun {percent} kadarı, yürünebilirlik puanı uluslararası 25 şehrin ortanca değerinin altında olan mahallelerde yaşıyor (Kutu 1)</t>
  </si>
  <si>
    <t>Tespit edilen politikalar</t>
  </si>
  <si>
    <t>Uluslararası 25 şehir için ortanca ve çeyreklikler arası aralık (Kutu 1)</t>
  </si>
  <si>
    <t>Bu raporda yer alan mekansal dağılım haritaları, {config[population][name]} nüfus tahminleri bulunan alanlara ait sonuçları göstermektedir.</t>
  </si>
  <si>
    <t>Lütfen bu şehir için canlı ve yürünebilir bir caddeyi veya kamusal alanı gösteren yüksek çözünürlüklü bir 'manşet fotoğrafı' ekleyin. İdeal olarak JPG formatında, 21:10 boyutlarında (ör. 2100x1000 piksel) olmalıdır.</t>
  </si>
  <si>
    <t>Lütfen bu şehir için canlı ve yürünebilir bir caddeyi veya kamusal alanı gösteren yüksek çözünürlüklü bir 'manşet fotoğrafı' ekleyin. İdeal olarak JPG formatında, 1:1 boyutlarında (ör. 1000x1000 piksel) olmalıdır.</t>
  </si>
  <si>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</si>
  <si>
    <t>500 metre (m) içinde imkanlara erişimi olan nüfusun yüzdesi</t>
  </si>
  <si>
    <t>Yürünebilirlik ve destinasyon erişimi</t>
  </si>
  <si>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</si>
  <si>
    <t>Politika varlığı skoru</t>
  </si>
  <si>
    <t>Politika kalite skoru</t>
  </si>
  <si>
    <t>Politikaların sağlıklı şehirlere ilişkin bilimsel kanıtlarla uygunluğu ve ölçülebilirliği</t>
  </si>
  <si>
    <t>Şehir planlama ihtiyaçları</t>
  </si>
  <si>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</si>
  <si>
    <t>Yürümeyi teşvik eden kentsel tasarım eşikleri</t>
  </si>
  <si>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</si>
  <si>
    <t>Ulaşım amaçlı yürüme olasılığı</t>
  </si>
  <si>
    <t>5.700 kişi/km²</t>
  </si>
  <si>
    <t>100 kavşak/km²</t>
  </si>
  <si>
    <t>hedef eşik değer</t>
  </si>
  <si>
    <t>Politika mevcut</t>
  </si>
  <si>
    <t>Sağlıklı şehir kanıtlarıyla uyumlu</t>
  </si>
  <si>
    <t>İşaretler: Evet ✔ Hayır ✘ Karma ✔/✘ Uygulanamaz -</t>
  </si>
  <si>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</si>
  <si>
    <t>Ulaşım politikasında sağlık odaklı eylemler</t>
  </si>
  <si>
    <t>Kent politikasında sağlık odaklı eylemler</t>
  </si>
  <si>
    <t>Kent/ulaşım politikasında Sağlık Etki Değerlendirmesi gerekliliği</t>
  </si>
  <si>
    <t>Entegre şehir planlamasının kent/ulaşım politikasında açıkça hedeflenmesi</t>
  </si>
  <si>
    <t>Farklı ulaşım türlerine yönelik hükümet harcamalarına ilişkin kamuya açık bilgiler</t>
  </si>
  <si>
    <t>Yürünebilirlik ve destinasyon erişim politikaları</t>
  </si>
  <si>
    <t>Sokak bağlantı gereklilikleri</t>
  </si>
  <si>
    <t>Araba kullanımını caydırmak için park sınırlamaları</t>
  </si>
  <si>
    <t>Trafik güvenliği gereklilikleri</t>
  </si>
  <si>
    <t>Yürüme hedefleri</t>
  </si>
  <si>
    <t>Bisiklete kullanımı hedefleri</t>
  </si>
  <si>
    <t>Konut yoğunluğu gereklilikleri</t>
  </si>
  <si>
    <t>Sıfırdan konut geliştirmede sınırlar</t>
  </si>
  <si>
    <t>Konut türleri/boyutlarının karışımı</t>
  </si>
  <si>
    <t>İstihdam dağılım gereklilikleri</t>
  </si>
  <si>
    <t>İşlerin konutlara oranı</t>
  </si>
  <si>
    <t>Hava kirliliğini sınırlamaya yönelik ulaşım politikaları</t>
  </si>
  <si>
    <t>Hava kirliliğine maruziyetini azaltmaya yönelik arazi kullanım politikaları</t>
  </si>
  <si>
    <t>Ağaç örtüsü ve kentsel yeşillendirme gereklilikleri</t>
  </si>
  <si>
    <t>Kentsel biyoçeşitliliğin korunması ve geliştirilmesi</t>
  </si>
  <si>
    <t>İklim afet riskinin azaltılması</t>
  </si>
  <si>
    <t>İklim değişikliği karşısında yapılı çevrelerin, sıcak hava dalgaları, seller, orman yangınları ve aşırı fırtınalar gibi giderek sıklaşan ve ciddileşen aşırı hava olaylarının sağlık üzerindeki etkilerini azaltacak şekilde tasarlanması gerekmektedir.</t>
  </si>
  <si>
    <t>Adaptasyon ve afet riskini azaltma stratejileri</t>
  </si>
  <si>
    <t>Toplu taşıma erişimi için asgari gereklilikler</t>
  </si>
  <si>
    <t>Kamusal açık alan politikası</t>
  </si>
  <si>
    <t>Kamusal açık alan erişimi için asgari gereklilikler</t>
  </si>
  <si>
    <t>Kamusal açık alan erişimi</t>
  </si>
  <si>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</si>
  <si>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</si>
  <si>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</si>
  <si>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</si>
  <si>
    <t>Kullanılan veri ve yöntemlerin ayrıntıları şu adreste mevcuttur:</t>
  </si>
  <si>
    <t>Nüfus verisi</t>
  </si>
  <si>
    <t>Şehir takımı üyeleri: {author_names}</t>
  </si>
  <si>
    <t>Bir metin düzenleyici aracılığıyla bölge yapılandırma dosyasındaki raporlama ayarlarını düzenleyerek yazar adlarını ekleyin</t>
  </si>
  <si>
    <t>Politika incelemesi yürütücüsü</t>
  </si>
  <si>
    <t>500m
mesafede 
erişebilen 
nüfus 
yüzdesi</t>
  </si>
  <si>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</si>
  <si>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</si>
  <si>
    <t>گزارش چالش ۱۰۰۰ شهر</t>
  </si>
  <si>
    <t>شاخص‌های سیاستی برای شهرهای سالم و پایدار</t>
  </si>
  <si>
    <t>شاخص‌های سیاستی و فضایی برای شهرهای سالم و پایدار</t>
  </si>
  <si>
    <t xml:space="preserve">شاخص‌های فضایی برای شهرهای سالم و پایدار
</t>
  </si>
  <si>
    <t xml:space="preserve"> یافته‌های اولیه تا زمان تایید و تصویب نتایج و تفسیرها برای انتشار عمومی در نظر گرفته نشده‌اند.</t>
  </si>
  <si>
    <t>داده‌های چک‌لیست سیاست‌ها قابل بارگذاری نبوده و رد شده‌اند.  لطفاً به آدرس https://healthysustainablecities.github.io/software/#Policy-checklist مراجعه کنید.</t>
  </si>
  <si>
    <t>پیش نویس</t>
  </si>
  <si>
    <t>همکاری جهانی شاخص‌های شهرهای سالم و پایدار</t>
  </si>
  <si>
    <t>سطوح حاکمیتی</t>
  </si>
  <si>
    <t>جمعیت‌شناسی و عدالت سلامت</t>
  </si>
  <si>
    <t>فایل پیکربندی منطقه را ویرایش کنید تا زمینه برای منطقه مورد مطالعه شما فراهم شود. لطفا به طور خلاصه مکان، تاریخ و توپوگرافی را به ارائه دهید.</t>
  </si>
  <si>
    <t>سطوح زیر از سیاست‌های حاکمیتی برای {city_name} مورد تحلیل قرار گرفت: {policy_checklist_levels}.</t>
  </si>
  <si>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</si>
  <si>
    <t>خطرات زیست محیطی که ممکن است در طول دهه آینده بر منطقه شهری تاثیر بگذارند عبارتند از: {policy_checklist_hazards}.</t>
  </si>
  <si>
    <t>هرگونه ملاحظات دیگر مرتبط با نابرابری‌های سلامت شهری و جغرافیا در این شهر، یا ملاحظات داده‌ای که می‌توانند بر تفسیر یافته‌ها تأثیر بگذارند را شرح دهید.</t>
  </si>
  <si>
    <t>کلانشهر</t>
  </si>
  <si>
    <t>منطقه‌ای</t>
  </si>
  <si>
    <t>استان</t>
  </si>
  <si>
    <t>بادهای شدید</t>
  </si>
  <si>
    <t>آتش‌سوزی</t>
  </si>
  <si>
    <t>گردباد</t>
  </si>
  <si>
    <t>تندباد</t>
  </si>
  <si>
    <t>زمین لرزه‌ها</t>
  </si>
  <si>
    <t>منطقه مورد مطالعه برای محاسبه شاخص‌های فضایی برای جمعیت {city_name} ارائه شده در این گزارش در نقشه زیر بصورت هاشور خورده، مشخص شده است.</t>
  </si>
  <si>
    <t>منطقه مورد مطالعه</t>
  </si>
  <si>
    <t>راهنمای نقشه</t>
  </si>
  <si>
    <t>حریم شهری ({source})</t>
  </si>
  <si>
    <t>حوزه مطالعاتی ({source})</t>
  </si>
  <si>
    <t>تلاقی مرز اداری و حریم شهری</t>
  </si>
  <si>
    <t>شمال</t>
  </si>
  <si>
    <t>ایستگاه وسایل حمل‌ونقل عمومی</t>
  </si>
  <si>
    <t>حمل‌ونقل عمومی با سرویس منظم</t>
  </si>
  <si>
    <t>حمل‌و‌نقل عمومی با سرویس منظم (ارزیابی نشده)</t>
  </si>
  <si>
    <t>قابلیت پیاده‌پذیری محله نسبت به ۲۵ شهر در سطح بین المللی</t>
  </si>
  <si>
    <t>زیاد</t>
  </si>
  <si>
    <t>آری</t>
  </si>
  <si>
    <t>{percent} از جمعیت در {city_name} در فاصله ۵۰۰ متری حمل‌ونقل عمومی زندگی می‌کنند</t>
  </si>
  <si>
    <t>{percent} از جمعیت در {city_name} در فاصله ۵۰۰ متری حمل‌ونقل عمومی که به طور متوسط در روزهای هفته هر ۲۰ دقیقه یا کمتر خدمات ارائه می‌دهد.</t>
  </si>
  <si>
    <t>{percent} از جمعیت در {city_name} در ۵۰۰ متر فضای باز عمومی به وسعت حداقل 1.5 هکتار زندگی می کنند.</t>
  </si>
  <si>
    <t>{percent} درصد از جمعیت {city_name} در محله‌هایی زندگی می‌کنند که حد آستانه تراکم جمعیت برای ۸۰٪ احتمال انجام هرگونه پیاده‌روی به منظور رفت‌وآمد را دارند ({n} نفر {per_unit}).</t>
  </si>
  <si>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</si>
  <si>
    <t>درصد جمعیت با دسترسی در ۵۰۰ متر به:</t>
  </si>
  <si>
    <t>محدوده میانه و میان چارکی برای ۲۵ شهر در سطح بین المللی (کادر ۱)</t>
  </si>
  <si>
    <t>نقشه‌های توزیع مکانی ارائه شده در این گزارش، نتایج را برای مناطقی با برآورد جمعیت بر اساس {config[population][name]} نمایش می‌دهند.</t>
  </si>
  <si>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</si>
  <si>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</si>
  <si>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</si>
  <si>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</si>
  <si>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</si>
  <si>
    <t>درصد جمعیت با دسترسی به امکانات رفاهی در فاصله ۵۰۰ متری (متر)</t>
  </si>
  <si>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</si>
  <si>
    <t>امتیاز وجود خط مشی</t>
  </si>
  <si>
    <t>نابرابری‌ در پیاده‌پذیری</t>
  </si>
  <si>
    <t>کادر ۱:مجموعه مطالعات The Lancet Global Health  ۲۵ شهر در سطح بین‌المللی</t>
  </si>
  <si>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</si>
  <si>
    <t>آستانه‌های طراحی شهری برای ترویج پیاده‌روی</t>
  </si>
  <si>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</si>
  <si>
    <t>احتمال انجام هرگونه پیاده‌روی برای رفت‌و‌آمد</t>
  </si>
  <si>
    <t>۵۷۰۰ نفر در هر کیلومتر مربع</t>
  </si>
  <si>
    <t>سیاست‌های شناسایی‌شده</t>
  </si>
  <si>
    <t>سیاست‌های همسو با شواهد شهرهای سالم</t>
  </si>
  <si>
    <t>آستانه مبتنی بر شواهد</t>
  </si>
  <si>
    <t>کلید: بله ✔ خیر ✘ ترکیبی ✔/✘ قابل اجرا نیست -</t>
  </si>
  <si>
    <t>سیاست‌های یکپارچه برنامه‌ریزی شهری برای سلامت و پایداری</t>
  </si>
  <si>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</si>
  <si>
    <t>سیاست حمل‌ونقل با اقدامات سلامت محور</t>
  </si>
  <si>
    <t>الزامات ارزیابی اثرات سلامت در سیاست‌های شهری/حمل‌ونقلی</t>
  </si>
  <si>
    <t>سیاست شهری/حمل‌ونقل که به‌طور صریح به برنامه‌ریزی یکپارچه شهری می‌پردازد</t>
  </si>
  <si>
    <t>اطلاعات در دسترس عموم در مورد هزینه های دولت برای روش های مختلف حمل‌ونقل</t>
  </si>
  <si>
    <t>سیاست‌های پیاده‌پذیری و دسترسی به مقصدها</t>
  </si>
  <si>
    <t>محدودیت‌های پارکینگ برای کاهش استفاده از خودرو</t>
  </si>
  <si>
    <t>تامین زیرساخت‌های عابرپیاده</t>
  </si>
  <si>
    <t>تامین زیرساخت‌های دوچرخه سواری</t>
  </si>
  <si>
    <t>اهداف مشارکت پیاده‌روی</t>
  </si>
  <si>
    <t>محدودیت‌ها در توسعه مسکن در اراضی بکر</t>
  </si>
  <si>
    <t>تنوع در انواع/اندازه‌های مسکن</t>
  </si>
  <si>
    <t>تنوع در مقاصد محلی برای زندگی روزمره</t>
  </si>
  <si>
    <t>محیط‌های غذایی سالم</t>
  </si>
  <si>
    <t>سیاست‌های شهرهای تاب آور برابر تغییرات اقلیمی</t>
  </si>
  <si>
    <t>سیاست‌های کیفیت هوای شهری و راه‌حل‌های مبتنی بر طبیعت</t>
  </si>
  <si>
    <t>سیاست‌های حمل‌ونقلی برای کاهش آلودگی هوا</t>
  </si>
  <si>
    <t>سیاست‌های کاربری زمین برای کاهش مواجهه با آلودگی هوا</t>
  </si>
  <si>
    <t>الزامات پوشش درختی و فضای سبز شهری</t>
  </si>
  <si>
    <t>حفاظت و ارتقاء تنوع زیستی شهری</t>
  </si>
  <si>
    <t>کاهش ریسک بلایای ناشی از تغییرات اقلیمی</t>
  </si>
  <si>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</si>
  <si>
    <t>استراتژی‌های تطبیق و کاهش ریسک در بلایا</t>
  </si>
  <si>
    <t>سیاست حمل‌ونقل عمومی</t>
  </si>
  <si>
    <t xml:space="preserve">الزامات دسترسی به حمل‌ونقل عمومی برای اشتغال و خدمات
</t>
  </si>
  <si>
    <t xml:space="preserve">حداقل الزامات برای دسترسی به حمل‌ونقل عمومی
</t>
  </si>
  <si>
    <t>اهداف استفاده از حمل‌ونقل عمومی</t>
  </si>
  <si>
    <t>دسترسی به حمل‌ونقل عمومی</t>
  </si>
  <si>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</si>
  <si>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</si>
  <si>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</si>
  <si>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</si>
  <si>
    <t>جزئیات کامل داده‌ها و روش‌ها در دسترس است در:</t>
  </si>
  <si>
    <t>داده‌های جمعیتی</t>
  </si>
  <si>
    <t>حریم‌های شهری</t>
  </si>
  <si>
    <t>مقیاس رنگی</t>
  </si>
  <si>
    <t>ارجاع</t>
  </si>
  <si>
    <t>این اثر تحت مجوز Creative Commons CC BY-NC Attribution-NonCommercial 4.0 International License  منتشر شده است.</t>
  </si>
  <si>
    <t>اعضای تیم: {author_names}</t>
  </si>
  <si>
    <t>برای افزودن نام نویسندگان، تنظیمات گزارش‌دهی پیکربندی منطقه را با استفاده از یک ویرایشگر متن ویرایش کنید.</t>
  </si>
  <si>
    <t>{percent} از جمعیت در {city_name} در محله‌هایی زندگی می‌کنند که امتیاز زیست‌پذیری آنها کمتر از میانگین ۲۵ شهر در سطح بین‌المللی است (جعبه ۱)</t>
  </si>
  <si>
    <t>Vazirmatn</t>
  </si>
  <si>
    <t>https://github.com/rastikerdar/vazirmatn/blob/master/fonts/ttf/Vazirmatn-Bold.ttf</t>
  </si>
  <si>
    <t>https://github.com/rastikerdar/vazirmatn/blob/master/fonts/ttf/Vazirmatn-Regular.ttf</t>
  </si>
  <si>
    <t>Mohammad Sadegh Anisi</t>
  </si>
  <si>
    <t>configuration/fonts/vazirmatn-v33.003/fonts/ttf/Vazirmatn-Bold.ttf</t>
  </si>
  <si>
    <t>configuration/fonts/vazirmatn-v33.003/fonts/ttf/Vazirmatn-Regular.ttf</t>
  </si>
  <si>
    <t>configuration/fonts/vazirmatn-v33.003/fonts/ttf/Vazirmatn-Light.ttf</t>
  </si>
  <si>
    <t xml:space="preserve">Delfien Van Dyck </t>
  </si>
  <si>
    <t>Großstädtisch</t>
  </si>
  <si>
    <t>Extreme Kälte</t>
  </si>
  <si>
    <t>Orkane</t>
  </si>
  <si>
    <t>Wirbelsturm</t>
  </si>
  <si>
    <t>Nachbarschaftsladen</t>
  </si>
  <si>
    <t>Haltestelle der öffentlichen Verkehrsmittel</t>
  </si>
  <si>
    <t>Begehbarkeit der Nachbarschaft im Vergleich zu 25 Städten weltweit</t>
  </si>
  <si>
    <t>Nein</t>
  </si>
  <si>
    <t>{percent} der Bevölkerung in {city_name} leben im Umkreis von 500 m um öffentliche Verkehrsmittel mit einer durchschnittlichen Taktfrequenz von 20 Minuten oder mehr an Wochentagen</t>
  </si>
  <si>
    <t>{percent} der Bevölkerung in {city_name} leben in Vierteln, die den Bevölkerungsdichteschwellenwert für eine 80-prozentige Wahrscheinlichkeit erfüllen, zu Fuß zu gehen, um von A nach B zu kommen ({n} Personen {per_unit})</t>
  </si>
  <si>
    <t>{percent} der Bevölkerung in {city_name} leben in Vierteln, die den Schwellenwert für die Straßenkreuzungsdichte erreichen, sodass eine Wahrscheinlichkeit von 80 % besteht, zu Fuß zu gehen, um von A nach B zu kommen ({n} Kreuzungen {per_unit})</t>
  </si>
  <si>
    <t>Dichte der Kreuzungen in der Nachbarschaft (pro km²)</t>
  </si>
  <si>
    <t>Bitte stellen Sie ein hochauflösendes Foto zur Verfügung, das eine gesellige, begehbare Straße oder einen öffentlichen Raum für diese Stadt zeigt, idealerweise in .jpg Format mit Abmessungen im Verhältnis 21:10 (z. B. 2100px x 1000px)</t>
  </si>
  <si>
    <t>Bitte stellen Sie ein hochauflösendes Foto zur Verfügung, das eine gesellige, begehbare Straße oder einen öffentlichen Raum für diese Stadt zeigt, idealerweise in .jpg Format mit Abmessungen im Verhältnis 1: 1 (z. B. 1000px x 1000px)</t>
  </si>
  <si>
    <t>Begehbarkeit und Zielzugang</t>
  </si>
  <si>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</si>
  <si>
    <t>Bewertung der Qualität von messbaren Richtlinien im Einklang mit Erkenntnissen zu gesunden Städten</t>
  </si>
  <si>
    <t>Ungleichheiten bei der Begehbarkeit</t>
  </si>
  <si>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</si>
  <si>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</si>
  <si>
    <t>Wahrscheinlichkeit, zu Fuß zu gehen, um von A nach B zu gelangen</t>
  </si>
  <si>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</si>
  <si>
    <t>Anforderungen an die Straßenkonnektivität</t>
  </si>
  <si>
    <t xml:space="preserve">Bereitstellung von Infrastruktur für Fußgänger </t>
  </si>
  <si>
    <t>Bereitstellung von Infrastruktur für Radfahrer</t>
  </si>
  <si>
    <t>Anforderungen an die räumliche Verteilung der Beschäftigung</t>
  </si>
  <si>
    <t>Kriminalitätsverhütung durch Umgebungsgestaltung</t>
  </si>
  <si>
    <t>Städtische Luftqualität und Richtlinien zu naturbasierten Lösungsstrategien</t>
  </si>
  <si>
    <t>Angesichts des Klimawandels müssen gebaute Umgebungen so gestaltet werden, dass sie die gesundheitlichen Auswirkungen immer häufigerer und schwerwiegenderer extremer Wetterereignisse, wie Hitzewellen, Überschwemmungen, Busch-/Waldbrände und extreme Stürme, reduzieren.</t>
  </si>
  <si>
    <t>Anpassungsstrategien und Strategien zur Katastrophenvorsorge</t>
  </si>
  <si>
    <t>Anforderungen an den Zugang öffentlicher Verkehrsmittel zu Beschäftigung und Dienstleistungen</t>
  </si>
  <si>
    <t>Zugang zu öffentlichen Verkehrsmitteln</t>
  </si>
  <si>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</si>
  <si>
    <t>Báo cáo Thử Thách 1000 Thành Phố</t>
  </si>
  <si>
    <t>Những phát hiện sơ bộ này không được dự tính để công bố rộng rãi cho đến khi các kết quả và diễn giải được xác nhận và phê duyệt.</t>
  </si>
  <si>
    <t>BẢN  DỰ THẢO</t>
  </si>
  <si>
    <t>Chương trình hợp tác nghiên cứu về các chỉ số cho thành phố lành mạnh và bền vững toàn cầu</t>
  </si>
  <si>
    <t>Các cấp chính sách của chính phủ sau đây đã được phân tích cho {city_name}: {policy_checklist_levels}.</t>
  </si>
  <si>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</si>
  <si>
    <t>Trình bày chi tiết mọi cân nhắc khác liên quan đến sự bất bình đẳng  sức khỏe đô thị và địa lý ở thành phố này hoặc những cân nhắc về dữ liệu có thể ảnh hưởng đến việc diễn giải các phát hiện.</t>
  </si>
  <si>
    <t>Khu vực đô thị</t>
  </si>
  <si>
    <t>Khu vực ngoại đô / khu vực nông thôn</t>
  </si>
  <si>
    <t>Tỉnh</t>
  </si>
  <si>
    <t>Quốc gia Toàn quốc</t>
  </si>
  <si>
    <t xml:space="preserve">Bão lớn </t>
  </si>
  <si>
    <t>Cháy rừng/cháy rừng tự nhiên</t>
  </si>
  <si>
    <t xml:space="preserve">Sóng nhiệt </t>
  </si>
  <si>
    <t xml:space="preserve"> Rét đậm rét hại </t>
  </si>
  <si>
    <t>Bão nhiệt đới lớn (Tây bắc Thái Bình Dương)</t>
  </si>
  <si>
    <t>Bão nhiệt đới lớn (Đại Tây Dương &amp; đông bắc Thái Bình Dương)</t>
  </si>
  <si>
    <t>Bão nhiệt đới lớn (Ấn Độ Dương &amp; nam Thái Bình Dương)</t>
  </si>
  <si>
    <t>Khu vực nghiên cứu dùng để tính toán các chỉ số không gian cho dân số của {city_name} được trình bày trong báo cáo này đã được đánh dấu trong bản đồ bên dưới bằng mảng  đường kẻ song song.</t>
  </si>
  <si>
    <t xml:space="preserve">Chú thích bản đồ </t>
  </si>
  <si>
    <t>Không gian mở công cộng lớn</t>
  </si>
  <si>
    <t>Giao thông công cộng với dịch vụ thường xuyên</t>
  </si>
  <si>
    <t>Giao thông công cộng với dịch vụ thường xuyên (Không được đánh giá)</t>
  </si>
  <si>
    <t>Khả năng đi bộ trong khu dân cư so với 25 thành phố quốc tế</t>
  </si>
  <si>
    <t>Đúng (Có)</t>
  </si>
  <si>
    <t>{percent} dân số ở {city_name} sống trong phạm vi 500m tới giao thông công cộng</t>
  </si>
  <si>
    <t>{percent} dân số ở {city_name} sống trong phạm vi 500m tới giao thông công cộng với tần suất hoạt động trung bình các ngày trong tuần là 20 phút một chuyến hoặc cao hơn</t>
  </si>
  <si>
    <t>{percent} dân số tại {city_name} sống trong phạm vi 500m tới không gian mở công cộng có diện tích ít nhất 1,5 ha</t>
  </si>
  <si>
    <t>{percent} dân số ở {city_name} sống trong các khu dân cư đáp ứng ngưỡng mật độ dân số để có xác suất 80% người dân tham gia bất cứ loại hình đi bộ nào để di chuyển ({n} người {per_unit})</t>
  </si>
  <si>
    <t>{percent} dân số ở {city_name} sống trong các khu vực dân cư đáp ứng ngưỡng mật độ giao lộ đường phố để có  xác suất 80% người dân tham gia bất cứ loại hình đi bộ nào để di chuyển ({n} giao lộ {per_unit})</t>
  </si>
  <si>
    <t>{percent} dân số ở {city_name} sống ở các khu vực có khả năng đi bộ dưới mức trung bình của 25 thành phố quốc tế (Ô số 1)</t>
  </si>
  <si>
    <t>Mật độ dân số của khu dân cư (trên km2)</t>
  </si>
  <si>
    <t>Mật độ giao lộ của khu dân cư (trên km2)</t>
  </si>
  <si>
    <t>Trung vị và  khoảng tứ phân vị (khoảng trải giữa) của 25 thành phố quốc tế (Ô số 1)</t>
  </si>
  <si>
    <t>Các bản đồ phân bổ không gian được trình bày  trong báo cáo này hiển thị kết quả cho các khu vực ước tính dân số theo {config[population][name]}.</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</si>
  <si>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</si>
  <si>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</si>
  <si>
    <t>Khả năng đi bộ và tiếp cận các điểm đến</t>
  </si>
  <si>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</si>
  <si>
    <t>Điểm số cho sự hiện diện chính sách</t>
  </si>
  <si>
    <t>Điểm số cho chất lượng chính sách</t>
  </si>
  <si>
    <t>Xếp hạng chất lượng chính sách cho các chính sách có thể đo lường được  phù hợp với bằng chứng về các thành phố lành mạnh</t>
  </si>
  <si>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</si>
  <si>
    <t>Hộp 1:  Xê ri Sức khỏe Toàn cầu của The Lancet: nghiên cứu về 25 thành phố trên thế giới</t>
  </si>
  <si>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</si>
  <si>
    <t>Xác suất tham gia vào bất kỳ hoạt động đi bộ nào với mục đích giao thông</t>
  </si>
  <si>
    <t>5.700 người trên mỗikm²</t>
  </si>
  <si>
    <t>100 nút giao trên mỗi km²</t>
  </si>
  <si>
    <t>Chính sách đãđược xác định</t>
  </si>
  <si>
    <t>Ngưỡng dựa trên bằng chứng</t>
  </si>
  <si>
    <t>Chính sách tích hợp về quy hoạch thành phố vì sức khỏe và tính bền vững</t>
  </si>
  <si>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</si>
  <si>
    <t>Chính sách giao thông với các điều khoản tập trung vào sức khỏe</t>
  </si>
  <si>
    <t>Chính sách đô thị với các điều khoản tập trung vào sức khỏe</t>
  </si>
  <si>
    <t>Chính sách đô thị/giao thông rõ ràng hưóng tới  việc quy hoạch thành phố tích hợp</t>
  </si>
  <si>
    <t>Chính sách về khả năng đi bộ và tiếp cận điểm đến</t>
  </si>
  <si>
    <t>Chính sách về chất lượng không khí đô thị và giải pháp dựa vào thiên nhiên</t>
  </si>
  <si>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</si>
  <si>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</si>
  <si>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</si>
  <si>
    <t>Tác phẩm này được cấp phép theo Giấy phép Quốc tế Creative Commons CC BY-NC Ghi nhận đóng góp-Phi thương mại 4.0.</t>
  </si>
  <si>
    <t>Thành viên trong nhóm thành phố này: {author_names}</t>
  </si>
  <si>
    <t>Thêm tên tác giả bằng cách chỉnh sửa cài đặt báo cáo cấu hình khu vực sử dụng trình soạn thảo văn bản</t>
  </si>
  <si>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</si>
  <si>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</si>
  <si>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</si>
  <si>
    <t>Klaus Gebel</t>
  </si>
  <si>
    <t>Recommended font</t>
  </si>
  <si>
    <t>Translator name(s) in script of translated language</t>
  </si>
  <si>
    <t>Mezcla de destinos locales para la vida cotidiana</t>
  </si>
  <si>
    <t>Cercanía a destinos de la vida cotidiana</t>
  </si>
  <si>
    <t>Indicadors de polítiques i espacials per a ciutats saludables i sostenibles</t>
  </si>
  <si>
    <t>NOMÉS ESBORRANY</t>
  </si>
  <si>
    <t>El {percent} de la població de {city_name} viu en barris que compleixen el llindar de densitat de població amb un 80% de probabilitat de caminar com a mitjà de transport ({n} persones {per_unit})</t>
  </si>
  <si>
    <t>El {percent} de la població de {city_name} viu en barris que compleixen el llindar de densitat d'intersecció de carrers amb un 80% de probabilitat de caminar com a mitjà de transport ({n} interseccions {per_unit})</t>
  </si>
  <si>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</si>
  <si>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</si>
  <si>
    <t>Caminabilitat i accés a destinacions</t>
  </si>
  <si>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</si>
  <si>
    <t>Llindars de disseny urbà per promoure el caminar com a mitjà de transport</t>
  </si>
  <si>
    <t>Probabilitat de realitzar qualsevol caminada com a mitjà de transport</t>
  </si>
  <si>
    <t>100 interseccions per km²</t>
  </si>
  <si>
    <t>Barreja de destinacions locals per a la vida quotidiana</t>
  </si>
  <si>
    <t>Poliittisten ohjauskeinojen indikaattoreita terveellisille ja kestäville kaupungeille</t>
  </si>
  <si>
    <t xml:space="preserve">Politiikka- ja paikkatietoindikaattoreita terveellisille ja kestäville kaupungeille </t>
  </si>
  <si>
    <t>Paikkatietoindikaattoreita terveellisille ja kestäville kaupungeille</t>
  </si>
  <si>
    <t>Poliittisten ohjauskeinojen tarkistuslistan tietoja ei voitu ladata ja ne on ohitettu. Katso https://healthysustainablecities.github.io/software/#Policy-checklist</t>
  </si>
  <si>
    <t>LUONNOS</t>
  </si>
  <si>
    <t xml:space="preserve">Global Healthy and Sustainable City Indicators Collaboration - yhteistyöverkosto </t>
  </si>
  <si>
    <t>Hallinnon tasot</t>
  </si>
  <si>
    <t>Väestötiedot ja terveyden tasa-arvo</t>
  </si>
  <si>
    <t>Lisää tutkimusalueesi taustatiedot asetustiedostoon. Kirjoita lyhyt yhteenveto maantieteellisestä sijainnista, historiasta ja pinnanmuodoista (tarpeen mukaan).</t>
  </si>
  <si>
    <t>Seuraavat hallinnon tasot on analysoitu kaupungille {city_name}: {policy_checklist_levels}.</t>
  </si>
  <si>
    <t>Muokkaa Väestötiedot ja terveyden tasa-arvo -osiota asetustiedostossa korostaaksesi väestön sosioekonomisia piirteitä, keskeisiä terveyshaasteita ja epätasa-arvoa tällä kaupunkialueella.</t>
  </si>
  <si>
    <t>Ympäristöhaitat ja -riskit, jotka voivat vaikuttaa kaupunkialueeseen seuraavan vuosikymmenen aikana: {policy_checklist_hazards}.</t>
  </si>
  <si>
    <t>Listaa muita terveyteen, kaupunkikehitykseen tai aineistoihin liittyviä huomioita, kehityskulkuja tai haasteita, jotka voivat vaikuttaa havaintojen tulkintaan.</t>
  </si>
  <si>
    <t>Kaupunkiseututasoinen</t>
  </si>
  <si>
    <t>Seudullinen</t>
  </si>
  <si>
    <t>Maakunta</t>
  </si>
  <si>
    <t>Kansallinen</t>
  </si>
  <si>
    <t>Maastopalot/metsäpalot</t>
  </si>
  <si>
    <t>Kovat pakkaset</t>
  </si>
  <si>
    <t>Tässä raportissa väestön ja paikkatietopohjaisten indikaattoreiden laskemiseen käytetty tutkimusalue on esitetty oheisessa kartassa vinoviivalla.</t>
  </si>
  <si>
    <t>Tutkimusalue</t>
  </si>
  <si>
    <t>Kartan selite</t>
  </si>
  <si>
    <t>Kaupunkialueen raja ({source})</t>
  </si>
  <si>
    <t>Hallinnollisen rajan ja kaupunkialueen risteys</t>
  </si>
  <si>
    <t>Naapuruston käveltävyys suhteessa 25:een kaupunkiin kansainvälisesti</t>
  </si>
  <si>
    <t>Kyllä</t>
  </si>
  <si>
    <t>{city_name}: {percent} asukkaista asuu 500 metrin säteellä joukkoliikenteen palveluista</t>
  </si>
  <si>
    <t>{city_name}: {percent} asukkaista asuu 500 metrin säteellä joukkoliikenteen palveluista, joiden keskimääräinen vuoroväli on arkipäivisin enintään 20 minuuttia</t>
  </si>
  <si>
    <t>{city_name}: {percent} asukkaista asuu 500 metrin säteellä vähintään 1,5 hehtaarin kokoisesta julkisesta avoimesta tilasta</t>
  </si>
  <si>
    <t>{city_name}: {percent} asukkaista asuu kaupunginosissa, jotka täyttävät väestötiheyden kynnysarvon eli 80 %:n todennäköisyys liikkua kävellen ({n} ihmistä {per_unit})</t>
  </si>
  <si>
    <t>{city_name}: {percent} asukkaista asuu kaupunginosissa, jotka täyttävät katujen risteysten tiheysrajan eli 80 %:n todennäköisyys liikkua kävellen ({n} risteystä {per_unit})</t>
  </si>
  <si>
    <t>{city_name}: {percent} asukkaista asuu  kaupunginosissa, joiden käveltävyysindikaattorien pisteytys on alle 25:n kaupungin kansainvälisen mediaanin (laatikko 1)</t>
  </si>
  <si>
    <t>Politiikkadokumentit ja muut yksittäiset poliittiset ohjauskeinot tunnistettu</t>
  </si>
  <si>
    <t>Mediaani ja kvartiiliväli 25:ssa kaupungissa kansainvälisesti (laatikko 1)</t>
  </si>
  <si>
    <t>Tämän raportin kartat näyttävät tuloksia alueista, joiden väestömäärät perustuvat {config[population][name]} aineistoon.</t>
  </si>
  <si>
    <t>Lisää kuva, jossa näkyy viihtyisä, kävelykelpoinen katu tai julkinen tila tältä kaupunkialueelta, mieluiten .jpg-muodossa, jonka mitat ovat 21:10 (esim. 2100 x 1000 pikseliä).</t>
  </si>
  <si>
    <t>Lisää kuva, jossa näkyy viihtyisä, kävelykelpoinen katu tai julkinen tila tältä kaupunkialueelta, mieluiten .jpg-muodossa, jonka mitat ovat 1:1 (esim. 1000 x 1000 pikseliä).</t>
  </si>
  <si>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</si>
  <si>
    <t>Poliittisten ohjauskeinojen olemassaololuokitus</t>
  </si>
  <si>
    <t>Terveellisyyttä ja kestävyyttä tukevan kaupunkisuunnittelun ja liikenteen politiikkadokumentin tai muiden yksittäisten poliittisten ohjauskeinojen olemassaolo</t>
  </si>
  <si>
    <t>Poliittisten ohajuskeinojen laatuluokitus</t>
  </si>
  <si>
    <t>Poliittisten ohjauskeinojen laatuluokitus politiikkadokumenteille tai muille yksittäisille poliittisille ohjauskeinoille, jotka edistävät terveellisiä kaupunkeja olemassaolevaa tieteellistä näyttöä myötäillen</t>
  </si>
  <si>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</si>
  <si>
    <t>Käveltävyyden epätasa-arvoisuus</t>
  </si>
  <si>
    <t>Laatikko 1: The Lancet -tiedejulkaisun Global Health -sarjan tutkimus 25:sta kaupungista kansainvälisesti</t>
  </si>
  <si>
    <t>Kynnysarvot kävelyn edistämiseksi kaupunkisuunnittelussa</t>
  </si>
  <si>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</si>
  <si>
    <t>Todennäköisyys liikkua kävellen</t>
  </si>
  <si>
    <t>tavoitteen kynnysarvo</t>
  </si>
  <si>
    <t>Politiikkadokumentti tai muu yksittäinen poliittinen ohjauskeino tunnistettu</t>
  </si>
  <si>
    <t>Myötäilee tieteellistä näyttöä terveellisistä kaupungeista</t>
  </si>
  <si>
    <t>Tieteelliseen näyttöön perustuva kynnysarvo</t>
  </si>
  <si>
    <t>Tunniste: Kyllä ✔ Ei ✘ Sekalainen ✔/✘ Ei sovellu -</t>
  </si>
  <si>
    <t>Terveyden ja kestävyyden integrointi kaupunkisuunnittelupolitiikassa</t>
  </si>
  <si>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</si>
  <si>
    <t>Liikenteen politiikkadokumentti tai muut yksittäiset poliittiset ohjauskeinot, jotka keskittyvät terveydellisiin toimenpiteisiin</t>
  </si>
  <si>
    <t>Kaupunkisuunnittelun politiikkadokumentti tai muut yksittäiset poliittiset ohjauskeinot, jotka keskittyvät terveydellisiin toimenpiteisiin</t>
  </si>
  <si>
    <t>Terveysvaikutusten arvioinnin vaatimukset kaupunkisuunnittelun ja/tai liikenteen politiikkadokumenteissa tai muissa yksittäisissä poliittisissa ohjauskeinoissa</t>
  </si>
  <si>
    <t>Kaupunkisuunnittelun ja/tai liikenteen politiikkadokumentti tai muut yksittäiset poliittiset ohjauskeinot, jotka pyrkivät integroivaan kaupunkisuunnitteluun</t>
  </si>
  <si>
    <t>Julkinen tieto hallinnollisista menoista eri liikennemuotoja kohden</t>
  </si>
  <si>
    <t>Politiikkadokumentti tai muut yksittäiset poliittiset ohjauskeinot käveltävyydestä ja saavutettavuudesta</t>
  </si>
  <si>
    <t>Katuverkon kytkeytyneisyyden vaatimukset</t>
  </si>
  <si>
    <t>Pysäköintirajoitukset autoilun vähentämiseksi</t>
  </si>
  <si>
    <t>Jalankulkuinfrastruktuurin tarjonta</t>
  </si>
  <si>
    <t>Pyöräilyinfrastruktuurin tarjonta</t>
  </si>
  <si>
    <t>Kävelyn kasvun tavoitteet</t>
  </si>
  <si>
    <t>Pyöräilyn kasvun tavoitteet</t>
  </si>
  <si>
    <t>Aluetehokkuusvaatimukset</t>
  </si>
  <si>
    <t>Viheralueille rakentamisen rajoitukset</t>
  </si>
  <si>
    <t xml:space="preserve">Sekoittunut asuntotyyppijakauma/ asuntojen kokojakauma </t>
  </si>
  <si>
    <t>Sekoitus paikallisia arjen kohteita</t>
  </si>
  <si>
    <t>Lyhyt etäisyys päivittäisiin kohteisiin</t>
  </si>
  <si>
    <t>Työpaikkojen jakautumista koskevat vaatimukset</t>
  </si>
  <si>
    <t>Työpaikkojen ja asumisen välinen suhdeluku</t>
  </si>
  <si>
    <t>Rikollisuuden ehkäisy kaupunkisuunnittelun avulla</t>
  </si>
  <si>
    <t>Politiikkadokumentit tai muut yksittäiset poliittiset ohjauskeinot, joissa käsitellään ilmastoresilienttiä kaupunkia</t>
  </si>
  <si>
    <t>Politiikkadokumentit tai muut yksittäiset poliittiset ohjauskeinot, joissa käsitellään kaupunkien ilmanlaatua ja luontopohjaisia ratkaisuja</t>
  </si>
  <si>
    <t>Liikenteen politiikkadokumentit tai muut yksittäiset poliittiset ohjauskeinot ilmansaasteiden rajoittamiseksi</t>
  </si>
  <si>
    <t>Maankäytön politiikkadokumentit tai muut yksittäiset poliittiset ohjauskeinot ilmansaastealtistuksen vähentämiseksi</t>
  </si>
  <si>
    <t>Latvuspeitto ja kaupunkien viherryttämisvaatimukset</t>
  </si>
  <si>
    <t>Biodiversiteetin suojelu ja edistäminen</t>
  </si>
  <si>
    <t>Ilmastonmuutoksen edetessä rakennetun ympäristön suunnittelussa tulee huomioida sään ääri-ilmiöiden, kuten helleaaltojen, tulvien, metsäpalojen ja äärimmäisten myrskyjen terveysvaikutukset ja niiden vähentäminen.</t>
  </si>
  <si>
    <t>Joukkoliikenteen politiikkadokumentit tai muut yksittäiset poliittiset ohjauskeinot</t>
  </si>
  <si>
    <t xml:space="preserve">Edellytykset työpaikkojen ja palveluiden joukkoliikennesaavutettavuudesta </t>
  </si>
  <si>
    <t>Vähimmäisvaatimukset joukkoliikenteen saavutettavuudesta</t>
  </si>
  <si>
    <t>Joukkoliikenteen kasvun tavoitteet</t>
  </si>
  <si>
    <t>Julkisen avoimen tilan politiikkadokumentit tai muut yksittäiset poliittiset ohjauskeinot</t>
  </si>
  <si>
    <t>Vähimmäisvaatimukset julkisen avoimen tilan saaavutettavuudesta</t>
  </si>
  <si>
    <t>Joukkoliikenteen saavutettavuus</t>
  </si>
  <si>
    <t>Julkisen avoimen tilan saavutettavuus</t>
  </si>
  <si>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</si>
  <si>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</si>
  <si>
    <t xml:space="preserve">Yksityiskohtainen kuvaus aineistoista ja menetelmistä: </t>
  </si>
  <si>
    <t>Kaupunkalueen rajat</t>
  </si>
  <si>
    <t>Kaupungin ominaisuudet</t>
  </si>
  <si>
    <t>Viittaus</t>
  </si>
  <si>
    <t xml:space="preserve">Kun olet tarkistanut kaupunkisi/kaupunkialueesi tulokset, muokkaa raportin tiivistelmää asetustiedoston yhteenveto-osiossa.  </t>
  </si>
  <si>
    <t>Tämä teos on lisensoitu Creative Commons Nimeä-EiKaupallinen 4.0 Kansainvälinen -lisenssillä (CC BY-NC). Voit tarkastella lisenssiä täällä: https://creativecommons.org/licenses/by-nc/4.0/</t>
  </si>
  <si>
    <t>Kaupunkiryhmän jäsenet: {author_names}</t>
  </si>
  <si>
    <t>Politiikan ohjauskeinojen katsauksen suorittanut</t>
  </si>
  <si>
    <t>Indicatori sulle politiche per città sane e sostenibili</t>
  </si>
  <si>
    <t>Indicatori spaziali e sulle politiche per città sane e sostenibili</t>
  </si>
  <si>
    <t>Non è stato possibile caricare i dati relativi alla lista di controllo delle politiche pubbliche che pertanto sono stati ignorati. Vedi https://healthysustainablecities.github.io/software/#Policy-checklist</t>
  </si>
  <si>
    <t>Collaborazione sugli Indicatori Globali per Città Sane e Sostenibili</t>
  </si>
  <si>
    <t>Camminabilità del quartiere in relazione a 25 città su scala internazionale</t>
  </si>
  <si>
    <t>Il {percent} della popolazione di {city_name} vive entro 500 metri da trasporti pubblici con una frequenza media nei giorni feriali di 20 minuti o migliore</t>
  </si>
  <si>
    <t>Il {percent} della popolazione di {city_name} vive in quartieri che raggiungono la soglia di densità di popolazione con una probabilità dell’80% di intraprendere un qualsiasi spostamento a piedi ({n} persone {per_unit})</t>
  </si>
  <si>
    <t>Il {percent} della popolazione di {city_name} vive in quartieri che raggiungono la soglia di densità di incroci stradali con una probabilità dell'80% di intraprendere qualsiasi spostamento a piedi ({n} incroci {per_unit})</t>
  </si>
  <si>
    <t>Mediana e scarto interquartile per 25 città su scala internazionale (Riquadro 1)</t>
  </si>
  <si>
    <t>Fornisci una foto "hero image" ad alta risoluzione che mostri una strada vivace e pedonale o uno spazio pubblico per questa città, idealmente in formato .jpg con dimensioni in rapporto 21:10 (ad esempio 2100px per 1000px)</t>
  </si>
  <si>
    <t>Fornisci una foto "hero image" ad alta risoluzione che mostri una strada vivace e pedonale o uno spazio pubblico per questa città, idealmente in formato .jpg con dimensioni in rapporto 1:1 (ad esempio 1000px per 1000px)</t>
  </si>
  <si>
    <t>Revisione condotta da</t>
  </si>
  <si>
    <t>Konteks {city_name}</t>
  </si>
  <si>
    <t>Mahallin {city_name}</t>
  </si>
  <si>
    <t>Context {city_name}</t>
  </si>
  <si>
    <t>{city_name} — perustiedot</t>
  </si>
  <si>
    <t>myrskyt</t>
  </si>
  <si>
    <t>tulvat</t>
  </si>
  <si>
    <t>helleaallot</t>
  </si>
  <si>
    <t>taifuunit</t>
  </si>
  <si>
    <t>hurrikaanit</t>
  </si>
  <si>
    <t>trooppiset syklonit</t>
  </si>
  <si>
    <t>maanjäristykset</t>
  </si>
  <si>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</si>
  <si>
    <t>Käveltävyys ja saavutettavuus</t>
  </si>
  <si>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</si>
  <si>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</si>
  <si>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</si>
  <si>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</si>
  <si>
    <t>Lisää tekijöiden nimiä muokkaamalla raportointiasetuksia</t>
  </si>
  <si>
    <t>Linda Karjalainen, Vuokko Heikinheimo</t>
  </si>
  <si>
    <t>I risultati preliminari non sono destinati alla divulgazione pubblica finché i risultati e le loro interpretazioni non saranno convalidati ed approvati.</t>
  </si>
  <si>
    <t>Informazioni di contesto per {city_name}</t>
  </si>
  <si>
    <t>Unità amministrative</t>
  </si>
  <si>
    <t>Contesto relativo al disastro ambientale</t>
  </si>
  <si>
    <t>Ulteriori informazioni contestuali</t>
  </si>
  <si>
    <t>Per {city_name} sono state analizzate le seguenti granularità per le unità amministrative: {policy_checklist_levels}.</t>
  </si>
  <si>
    <t xml:space="preserve"> Modifica la sezione "Dati demografici ed equità nella salute" nel file di configurazione della regione evidenziando le caratteristiche demografiche, socio-economiche, le principali sfide sanitarie e le disuguaglianze presenti in quest'area urbana.</t>
  </si>
  <si>
    <t>Dettaglia eventuali considerazioni aggiuntive relative alle disuguaglianze nella salute pubblica e alla geografia di questa città, o considerazioni sui dati che potrebbero influenzare l'interpretazione dei risultati.</t>
  </si>
  <si>
    <t>Comunale</t>
  </si>
  <si>
    <t>Ondate di caldo</t>
  </si>
  <si>
    <t>Il {percent} della popolazione di {city_name} vive in quartieri con un grado di camminabilità inferiore alla media di 25 città su scala internazionale (Riquadro 1)</t>
  </si>
  <si>
    <t>Camminabilità ed accessibilità</t>
  </si>
  <si>
    <t>Punteggio relativo alla qualità di una determinata politica</t>
  </si>
  <si>
    <t>Valutazione della qualità di un provvedimento a supporto di politiche misurabili basate su evidenze osservate in città sane</t>
  </si>
  <si>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</si>
  <si>
    <t>Riquadro 1: Studio del Lancet Global Health Series condotto su 25 città su scala internazionale</t>
  </si>
  <si>
    <t>Requisiti di valutazione dell'impatto sanitario della politica urbanistica/dei trasporti</t>
  </si>
  <si>
    <t>La politica urbanistica e dei trasporti mirano esplicitamente a creare un processo di pianificazione urbanistica integrata</t>
  </si>
  <si>
    <t>Politiche su camminabilità e accessibilità</t>
  </si>
  <si>
    <t>Limitazioni all’altezza degli edifici residenziali</t>
  </si>
  <si>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</si>
  <si>
    <t>Rapporto sulla 1000 Cities Challenge</t>
  </si>
  <si>
    <t>Fermata   dei mezzi pubblici</t>
  </si>
  <si>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</si>
  <si>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</si>
  <si>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</si>
  <si>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</si>
  <si>
    <t>결과와 해석이 검토 및 승인될 때까지 예비 조사 결과는 공개되지 않습니다.</t>
  </si>
  <si>
    <t>정책 체크리스트 데이터를 불러올 수 없으므로 건너뛰었습니다. https://healthysustainablecities.github.io/software/#Policy-checklist를 참조하세요.</t>
  </si>
  <si>
    <t>초안</t>
  </si>
  <si>
    <t>건강하고 지속 가능한 도시 지표 국제 협력</t>
  </si>
  <si>
    <t>{city_name} 지역 개요</t>
  </si>
  <si>
    <t>정부의 각급(수준)</t>
  </si>
  <si>
    <t>기타 지역 배경</t>
  </si>
  <si>
    <t xml:space="preserve">연구 지역의 구성 파일을 편집하여 연구 지역에 대한 배경 정보를 제공합니다. 위치, 역사, 지형과 관련된 내용을 간략하게 요약합니다. </t>
  </si>
  <si>
    <t>지역 구성 파일의 '인구통계 및 건강 형평성' 부분을 편집하여 이 도시 지역의 사회 경제적 인구 특성과 주요 건강 문제 및 불평등을 강조합니다.</t>
  </si>
  <si>
    <t>이 도시에서의 도시 건강 불평등 및 지리와 관련된 기타 고려 사항 또는 연구 결과 해석에 영향을 미칠 수 있는 데이터 관련 고려 사항을 자세히 설명합니다.</t>
  </si>
  <si>
    <t>지방(지자체)</t>
  </si>
  <si>
    <t>대도시</t>
  </si>
  <si>
    <t>주</t>
  </si>
  <si>
    <t>국가</t>
  </si>
  <si>
    <t>산불</t>
  </si>
  <si>
    <t>폭염</t>
  </si>
  <si>
    <t>혹한</t>
  </si>
  <si>
    <t>{city_name} 인구의 공간 지표를 계산하기 위해 본 보고서에서 사용된 연구 지역은 아래 지도에서 평행선 음영으로 표시되었습니다.</t>
  </si>
  <si>
    <t>미터</t>
  </si>
  <si>
    <t>식료품점</t>
  </si>
  <si>
    <t>모든 공공 야외 공간</t>
  </si>
  <si>
    <t>대규모 공공 야외 공간</t>
  </si>
  <si>
    <t>정기 운행하는 대중교통</t>
  </si>
  <si>
    <t>정기 운행하는 대중교통 (평가되지 않음)</t>
  </si>
  <si>
    <t>전 세계 25개 도시 대비 연구 지역의 보행친화성</t>
  </si>
  <si>
    <t>낮음</t>
  </si>
  <si>
    <t>높음</t>
  </si>
  <si>
    <t>{city_name} 인구의 {percent}가 대중교통 시설로부터 500m 이내에 거주합니다.</t>
  </si>
  <si>
    <t>{city_name} 인구의 {percent}가 평일 평균 20분 혹은 더 잦은 빈도의 대중교통으로부터 500m 이내에 거주합니다.</t>
  </si>
  <si>
    <t>{city_name} 인구의 {percent}는 1.5헥타르 이상 크기의 공공 야외 공간으로부터 500m 이내에 거주합니다.</t>
  </si>
  <si>
    <t>{city_name} 인구의 {percent}가 이동을 위해 걸을 확률이 80%인 인구 밀도 기준을 충족하는 지역에 거주합니다 ({per_unit} {n}명).</t>
  </si>
  <si>
    <t>{city_name} 인구의 {percent}가 이동을 위해 걸을 확률이 80%인 도로 교차로 밀도 기준을 충족하는 지역에 거주합니다 ({per_unit} {n}개 교차로)</t>
  </si>
  <si>
    <t>확인된 정책들</t>
  </si>
  <si>
    <t>지역 인구 밀도(km²당)</t>
  </si>
  <si>
    <t>지역 교차로 밀도(km²당)</t>
  </si>
  <si>
    <t>전 세계 25개 도시의 중앙값과 사분위수 범위(박스 1)</t>
  </si>
  <si>
    <t>이 보고서에 수록된 공간 분포 지도는 {config[population][name]}에 따른 인구 추정치가 있는 지역에 대한 결과를 보여줍니다.</t>
  </si>
  <si>
    <t xml:space="preserve">이 도시의 활기차고 걷기 좋은 거리 또는 공공 장소를 보여주는 고해상도 '대표 이미지' 사진을 제공해 주세요. 이상적으로 21:10 비율(예: 2100픽셀 x 1000픽셀)의 jpg 형식으로 부탁드립니다. </t>
  </si>
  <si>
    <t xml:space="preserve">이 도시의 활기차고 걷기 좋은 거리 또는 공공 장소를 보여주는 고해상도 '대표 이미지' 사진을 제공해 주세요. 이상적으로 1:1 비율(예: 1000픽셀 x 1000픽셀)의 jpg 형식으로 부탁드립니다. </t>
  </si>
  <si>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</si>
  <si>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</si>
  <si>
    <t>500미터(m) 이내에 편의시설(어메니티)을 이용할 수 있는 인구 비율</t>
  </si>
  <si>
    <t>보행친화성 및 목적지 접근성</t>
  </si>
  <si>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</si>
  <si>
    <t>정책 유무 점수</t>
  </si>
  <si>
    <t>건강과 지속가능성을 지원하는 도시 및 교통 정책의 유무</t>
  </si>
  <si>
    <t>정책 수준 점수</t>
  </si>
  <si>
    <t>건강한 도시에 대한 근거에 맞춰 측정 가능한 정책에 대한 정책 수준 점수</t>
  </si>
  <si>
    <t>도시 계획 요구사항</t>
  </si>
  <si>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</si>
  <si>
    <t>보행친화성 불평등</t>
  </si>
  <si>
    <t>박스 1: 전 세계 25개 도시에 대한 Lancet Global Health Series 연구</t>
  </si>
  <si>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</si>
  <si>
    <t>보행친화적 도시설계 기준</t>
  </si>
  <si>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</si>
  <si>
    <t>교통수단으로 보행 선택 가능성</t>
  </si>
  <si>
    <t>목표 기준</t>
  </si>
  <si>
    <t>건강한 도시 기준에 부합함</t>
  </si>
  <si>
    <t>근거 기반 기준</t>
  </si>
  <si>
    <t>키: 예 ✔ 아니요 ✘ 혼합 ✔/✘ 해당 없음 -</t>
  </si>
  <si>
    <t>건강과 지속가능성을 위한 통합 도시 계획 정책</t>
  </si>
  <si>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</si>
  <si>
    <t>건강에 초점을 맞춘 도시 정책</t>
  </si>
  <si>
    <t>도시/교통 정책의 건강 영향 평가 요구사항</t>
  </si>
  <si>
    <t>도시/교통 정책은 명시적으로 통합적인 도시 계획을  목표로 합니다.</t>
  </si>
  <si>
    <t>다양한 교통수단에 대한 정부 지출에 관한 공개 정보</t>
  </si>
  <si>
    <t>보행친화성 및 목적지 접근성 정책</t>
  </si>
  <si>
    <t>도로 연결성 요건</t>
  </si>
  <si>
    <t>차량 이용을 줄이기 위한 주차 제한</t>
  </si>
  <si>
    <t>교통 안전 요건</t>
  </si>
  <si>
    <t>보행자 기반 시설 제공</t>
  </si>
  <si>
    <t>자전거 기반 시설 제공</t>
  </si>
  <si>
    <t>걷기 참여 목표</t>
  </si>
  <si>
    <t>자전거 타기 참여 목표</t>
  </si>
  <si>
    <t>주택 밀도 요건</t>
  </si>
  <si>
    <t>임야 주택 개발 제한</t>
  </si>
  <si>
    <t>근린생활시설의 혼합</t>
  </si>
  <si>
    <t>근린생활시설까지 거리 요건</t>
  </si>
  <si>
    <t>고용 분배 요건</t>
  </si>
  <si>
    <t>도시 대기질 및 자연 기반 해결책</t>
  </si>
  <si>
    <t>도시 대기질 및 자연 기반 해결책 정책</t>
  </si>
  <si>
    <t>대기 오염 노출을 줄이기 위한 토지이용 정책</t>
  </si>
  <si>
    <t>도시 생물 다양성 보호 및 증진</t>
  </si>
  <si>
    <t>기후 재해 위험 감소</t>
  </si>
  <si>
    <t>기후 변화에 직면함에 따라, 건축 환경은 폭염, 홍수, 산불, 극심한 폭풍 등과 같이 더 빈번해지고 심각해지는 극단적인 기상 현상으로 인한 건강 피해를 감소하도록 설계되어야 합니다.</t>
  </si>
  <si>
    <t>대중교통 정책</t>
  </si>
  <si>
    <t>직장 및 서비스에 대한 대중교통 접근성 요건</t>
  </si>
  <si>
    <t>대중교통 접근성을 위한 최소 요구사항</t>
  </si>
  <si>
    <t>대중교통 이용 목표</t>
  </si>
  <si>
    <t>공공 야외 공간 정책</t>
  </si>
  <si>
    <t>공공 야외 공간 접근을 위한 최소 요구사항</t>
  </si>
  <si>
    <t>대중교통 접근성</t>
  </si>
  <si>
    <t>공공 야외 공간 접근성</t>
  </si>
  <si>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</si>
  <si>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</si>
  <si>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</si>
  <si>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</si>
  <si>
    <t>데이터 및 방법에 대한 자세한 내용은 아래에서 확인할 수 있습니다.</t>
  </si>
  <si>
    <t>도시 특징</t>
  </si>
  <si>
    <t>출처</t>
  </si>
  <si>
    <t>이 저작물은 Creative Commons CC BY-NC Attribution-NonCommercial 4.0 International License에 따라 저작권이 부여됩니다.</t>
  </si>
  <si>
    <t>작성자: {author_names}</t>
  </si>
  <si>
    <t>문서 편집기로 연구 지역 구성 파일의 보고 설정을 수정하여 작성자 이름을 추가하세요.</t>
  </si>
  <si>
    <t>정책 검토</t>
  </si>
  <si>
    <t>김지윤, 하재현</t>
  </si>
  <si>
    <t>Demografia i equitat en salut</t>
  </si>
  <si>
    <t>Editeu la secció "Demogràfica i equitat en salut" del fitxer de configuració de la regió per destacar les característiques demogràfiques socioeconòmiques i els principals reptes i desigualtats de salut presents en aquesta àrea urbana.</t>
  </si>
  <si>
    <t>El {percent} de la població de {city_name} viu en barris amb una puntuació de caminabilitat inferior a la mitjana de 25 ciutats a nivell internacional (quadre 1)</t>
  </si>
  <si>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</si>
  <si>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</si>
  <si>
    <t>Revisió de las políticas realitzada per</t>
  </si>
  <si>
    <t>Puntuació sobre la presència de les polítiques</t>
  </si>
  <si>
    <t>Puntuació sobre la qualitat de les polítiques</t>
  </si>
  <si>
    <t>Limitacions a la construcció d'habitatges en zones verdes</t>
  </si>
  <si>
    <t>Proximitat a les destinacions de la vida quotidiana</t>
  </si>
  <si>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</si>
  <si>
    <t>Incendis forestals</t>
  </si>
  <si>
    <t xml:space="preserve"> Edite la sección ''Demografía y equidad en salud' del archivo de configuración de la región para resaltar las características socioeconómicas de la población y los desafíos y desigualdades en salud clave que están presentes en esta área urbana.</t>
  </si>
  <si>
    <t>Probabilidad de realizar alguna caminata como medio de transporte</t>
  </si>
  <si>
    <t>severe storms</t>
  </si>
  <si>
    <t>floods</t>
  </si>
  <si>
    <t>bushfires/wildfires</t>
  </si>
  <si>
    <t>heatwaves</t>
  </si>
  <si>
    <t>extreme cold</t>
  </si>
  <si>
    <t>typhoons</t>
  </si>
  <si>
    <t>hurricanes</t>
  </si>
  <si>
    <t>cyclones</t>
  </si>
  <si>
    <t>earthquakes</t>
  </si>
  <si>
    <t>Levels of government blurb</t>
  </si>
  <si>
    <t>levels of government blurb</t>
  </si>
  <si>
    <t>summary_policy</t>
  </si>
  <si>
    <t>summary_spatial</t>
  </si>
  <si>
    <t>summary_policy_spatial</t>
  </si>
  <si>
    <t>After reviewing results for your city, provide a contextualised summary by modifying 
the “summary_policy” text for each configured language within the region configuration file.</t>
  </si>
  <si>
    <t>After reviewing results for your city, provide a contextualised summary by modifying 
the “summary_spatial” text for each configured language within the region configuration file.</t>
  </si>
  <si>
    <t>After reviewing results for your city, provide a contextualised summary by modifying 
the “summary_policy_spatial” text for each configured language within the region configuration file.</t>
  </si>
  <si>
    <t>بعد مراجعة النتائج الخاصة بمدينتك، قم بتوفير ملخص سياقي عن طريق تعديل نص "summary_policy" لكل لغة تم تكوينها داخل ملف تكوين المنطقة.</t>
  </si>
  <si>
    <t>بعد مراجعة النتائج الخاصة بمدينتك، قم بتوفير ملخص سياقي عن طريق تعديل نص "summary_spatial" لكل لغة تم تكوينها داخل ملف تكوين المنطقة.</t>
  </si>
  <si>
    <t>بعد مراجعة النتائج الخاصة بمدينتك، قم بتوفير ملخص سياقي عن طريق تعديل نص "summary_policy_spatial" لكل لغة تم تكوينها داخل ملف تكوين المنطقة.</t>
  </si>
  <si>
    <t>Després de revisar els resultats de la vostra ciutat, proporcioneu un resum contextualitzat modificant el text "summary_policy_spatial" per a cada idioma configurat dins del fitxer de configuració de la regió.</t>
  </si>
  <si>
    <t>查看您所在城市的结果后，通过修改区域配置文件中每种配置语言的“summary_policy_spatial”文本来提供上下文摘要。</t>
  </si>
  <si>
    <t>Nakon pregleda rezultata za vaš grad, pružite kontekstualizirani sažetak izmjenom teksta "summary_policy_spatial" za svaki konfigurirani jezik unutar konfiguracijske datoteke regije.</t>
  </si>
  <si>
    <t>Når du har gennemgået resultaterne for din by, skal du give et kontekstualiseret resumé ved at ændre "summary_policy_spatial"-teksten for hvert konfigureret sprog i regionkonfigurationsfilen.</t>
  </si>
  <si>
    <t>Nadat u de resultaten voor uw stad heeft bekeken, kunt u een gecontextualiseerde samenvatting geven door de 'summary_policy_spatial'-tekst voor elke geconfigureerde taal in het regioconfiguratiebestand aan te passen.</t>
  </si>
  <si>
    <t>Nachdem Sie die Ergebnisse für Ihre Stadt überprüft haben, stellen Sie eine kontextualisierte Zusammenfassung bereit, indem Sie den „summary_policy_spatial“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</si>
  <si>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</si>
  <si>
    <t>Bayan nazarin sakamakon garin ku, samar da taƙaitaccen bayani ta hanyar gyara rubutun "summary_policy_spatial"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</si>
  <si>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</si>
  <si>
    <t>Setelah meninjau hasil untuk kota Anda, berikan ringkasan kontekstual dengan memodifikasi teks “summary_policy_spatial” untuk setiap bahasa yang dikonfigurasi dalam file konfigurasi wilayah.</t>
  </si>
  <si>
    <t>Dopo aver esaminato i risultati per la tua città, fornisci un sommario contestualizzato modificando il testo del "summary_policy_spatial" per ciascuna lingua configurata all'interno del file di configurazione della regione.</t>
  </si>
  <si>
    <t>대상 도시에 대한 결과를 검토한 후, 지역 구성 파일 내 각 언어에 대한 "summary_policy_spatial" 텍스트를 수정하여 상황에 맞는 요약을 제공하십시오.</t>
  </si>
  <si>
    <t>Whai muri i te arotake i nga hua mo to taone, homai he whakarāpopototanga horopaki ma te whakarereke i te tuhinga "summary_policy_spatial" mo ia reo kua whirihorahia i roto i te konae whirihoranga rohe.</t>
  </si>
  <si>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</si>
  <si>
    <t>Depois de analisar os resultados da sua cidade, forneça um resumo contextualizado modificando o texto do “summary_policy_spatial” para cada idioma configurado no arquivo de configuração da região.</t>
  </si>
  <si>
    <t>Después de revisar los resultados de su ciudad, proporcione un resumen contextualizado modificando el texto de "summary_policy_spatial"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</si>
  <si>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</si>
  <si>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</si>
  <si>
    <t>Şehrinize ait bulguları inceledikten sonra, bölge yapılandırma dosyasındaki her yapılandırılmış dil için "summary_policy_spatial" metnini değiştirerek bağlamsal bir özet yazın.</t>
  </si>
  <si>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</si>
  <si>
    <t>Sau khi xem xét kết quả cho thành phố của bạn, hãy cung cấp bản tóm tắt theo ngữ cảnh bằng cách sửa đổi văn bản “summary_policy_spatial” cho từng ngôn ngữ được  cấu hình sẵn trong tệp cấu hình khu vực.</t>
  </si>
  <si>
    <t>Sau khi xem xét kết quả cho thành phố của bạn, hãy cung cấp bản tóm tắt theo ngữ cảnh bằng cách sửa đổi văn bản “summary_spatial” cho từng ngôn ngữ được  cấu hình sẵn trong tệp cấu hình khu vực.</t>
  </si>
  <si>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</si>
  <si>
    <t>Şehrinize ait bulguları inceledikten sonra, bölge yapılandırma dosyasındaki her yapılandırılmış dil için "summary_spatial" metnini değiştirerek bağlamsal bir özet yazın.</t>
  </si>
  <si>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</si>
  <si>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</si>
  <si>
    <t>Después de revisar los resultados de su ciudad, proporcione un resumen contextualizado modificando el texto de "summary_spatial" para cada idioma configurado dentro del archivo de configuración de la región.</t>
  </si>
  <si>
    <t>Depois de analisar os resultados da sua cidade, forneça um resumo contextualizado modificando o texto do “summary_spatial” para cada idioma configurado no arquivo de configuração da região.</t>
  </si>
  <si>
    <t>پس از بررسی نتایج مربوط به شهر خود، با ویرایش متن "summary_spatial" برای هر زبان پیکربندی‌شده در فایل پیکربندی منطقه، خلاصه‌ای با توجه به شرایط خاص فراهم کنید.</t>
  </si>
  <si>
    <t>پس از بررسی نتایج مربوط به شهر خود، با ویرایش متن "summary_policy_spatial" برای هر زبان پیکربندی‌شده در فایل پیکربندی منطقه، خلاصه‌ای با توجه به شرایط خاص فراهم کنید.</t>
  </si>
  <si>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</si>
  <si>
    <t>Whai muri i te arotake i nga hua mo to taone, homai he whakarāpopototanga horopaki ma te whakarereke i te tuhinga "summary_spatial" mo ia reo kua whirihorahia i roto i te konae whirihoranga rohe.</t>
  </si>
  <si>
    <t>대상 도시에 대한 결과를 검토한 후, 지역 구성 파일 내 각 언어에 대한 "summary_spatial" 텍스트를 수정하여 상황에 맞는 요약을 제공하십시오.</t>
  </si>
  <si>
    <t>Dopo aver esaminato i risultati per la tua città, fornisci un sommario contestualizzato modificando il testo del "summary_spatial" per ciascuna lingua configurata all'interno del file di configurazione della regione.</t>
  </si>
  <si>
    <t>Setelah meninjau hasil untuk kota Anda, berikan ringkasan kontekstual dengan memodifikasi teks “summary_spatial” untuk setiap bahasa yang dikonfigurasi dalam file konfigurasi wilayah.</t>
  </si>
  <si>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</si>
  <si>
    <t>Bayan nazarin sakamakon garin ku, samar da taƙaitaccen bayani ta hanyar gyara rubutun "summary_spatial" don kowane yare da aka daidaita a cikin fayil ɗin daidaitawar yanki.</t>
  </si>
  <si>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</si>
  <si>
    <t>Nachdem Sie die Ergebnisse für Ihre Stadt überprüft haben, stellen Sie eine kontextualisierte Zusammenfassung bereit, indem Sie den „summary_spatial“ für jede konfigurierte Sprache in der Regionskonfigurationsdatei ändern.</t>
  </si>
  <si>
    <t>Nadat u de resultaten voor uw stad heeft bekeken, kunt u een gecontextualiseerde samenvatting geven door de 'summary_spatial'-tekst voor elke geconfigureerde taal in het regioconfiguratiebestand aan te passen.</t>
  </si>
  <si>
    <t>Når du har gennemgået resultaterne for din by, skal du give et kontekstualiseret resumé ved at ændre "summary_spatial"-teksten for hvert konfigureret sprog i regionkonfigurationsfilen.</t>
  </si>
  <si>
    <t>Po kontrole výsledků pro vaše město poskytněte kontextový souhrn úpravou textu „summary_spatial“ pro každý nakonfigurovaný jazyk v konfiguračním souboru regionu.</t>
  </si>
  <si>
    <t>Nakon pregleda rezultata za vaš grad, pružite kontekstualizirani sažetak izmjenom teksta "summary_spatial" za svaki konfigurirani jezik unutar konfiguracijske datoteke regije.</t>
  </si>
  <si>
    <t>查看您所在城市的結果後，透過修改區域設定檔中每種設定語言的「summary_spatial」文字來提供上下文摘要。</t>
  </si>
  <si>
    <t>查看您所在城市的結果後，透過修改區域設定檔中每種設定語言的「summary_policy_spatial」文字來提供上下文摘要。</t>
  </si>
  <si>
    <t>查看您所在城市的结果后，通过修改区域配置文件中每种配置语言的“summary_spatial”文本来提供上下文摘要。</t>
  </si>
  <si>
    <t>Després de revisar els resultats de la vostra ciutat, proporcioneu un resum contextualitzat modificant el text "summary_spatial" per a cada idioma configurat dins del fitxer de configuració de la regió.</t>
  </si>
  <si>
    <t>Després de revisar els resultats de la vostra ciutat, proporcioneu un resum contextualitzat modificant el text "summary_policy" per a cada idioma configurat dins del fitxer de configuració de la regió.</t>
  </si>
  <si>
    <t>查看您所在城市的结果后，通过修改区域配置文件中每种配置语言的“summary_policy”文本来提供上下文摘要。</t>
  </si>
  <si>
    <t>查看您所在城市的結果後，透過修改區域設定檔中每種設定語言的「summary_policy」文字來提供上下文摘要。</t>
  </si>
  <si>
    <t>Nakon pregleda rezultata za vaš grad, pružite kontekstualizirani sažetak izmjenom teksta "summary_policy" za svaki konfigurirani jezik unutar konfiguracijske datoteke regije.</t>
  </si>
  <si>
    <t>Po kontrole výsledků pro vaše město poskytněte kontextový souhrn úpravou textu „summary_policy“ pro každý nakonfigurovaný jazyk v konfiguračním souboru regionu.</t>
  </si>
  <si>
    <t>Når du har gennemgået resultaterne for din by, skal du give et kontekstualiseret resumé ved at ændre "summary_policy"-teksten for hvert konfigureret sprog i regionkonfigurationsfilen.</t>
  </si>
  <si>
    <t>Nadat u de resultaten voor uw stad heeft bekeken, kunt u een gecontextualiseerde samenvatting geven door de 'summary_policy'-tekst voor elke geconfigureerde taal in het regioconfiguratiebestand aan te passen.</t>
  </si>
  <si>
    <t>Nachdem Sie die Ergebnisse für Ihre Stadt überprüft haben, stellen Sie eine kontextualisierte Zusammenfassung bereit, indem Sie den „summary_policy“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</si>
  <si>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</si>
  <si>
    <t>Bayan nazarin sakamakon garin ku, samar da taƙaitaccen bayani ta hanyar gyara rubutun "summary_policy"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</si>
  <si>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</si>
  <si>
    <t>Setelah meninjau hasil untuk kota Anda, berikan ringkasan kontekstual dengan memodifikasi teks “summary_policy” untuk setiap bahasa yang dikonfigurasi dalam file konfigurasi wilayah.</t>
  </si>
  <si>
    <t>Dopo aver esaminato i risultati per la tua città, fornisci un sommario contestualizzato modificando il testo del "summary_policy" per ciascuna lingua configurata all'interno del file di configurazione della regione.</t>
  </si>
  <si>
    <t>あなたの都市の結果を確認した後、地域設定ファイル内の各言語で設定された「summary_policy」テキストを変更して、文脈に応じた要旨を提供してください。</t>
  </si>
  <si>
    <t>あなたの都市の結果を確認した後、地域設定ファイル内の各言語で設定された「summary_spatial」テキストを変更して、文脈に応じた要旨を提供してください。</t>
  </si>
  <si>
    <t>あなたの都市の結果を確認した後、地域設定ファイル内の各言語で設定された「summary_policy_spatial」テキストを変更して、文脈に応じた要旨を提供してください。</t>
  </si>
  <si>
    <t>대상 도시에 대한 결과를 검토한 후, 지역 구성 파일 내 각 언어에 대한 "summary_policy" 텍스트를 수정하여 상황에 맞는 요약을 제공하십시오.</t>
  </si>
  <si>
    <t>Whai muri i te arotake i nga hua mo to taone, homai he whakarāpopototanga horopaki ma te whakarereke i te tuhinga "summary_policy" mo ia reo kua whirihorahia i roto i te konae whirihoranga rohe.</t>
  </si>
  <si>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</si>
  <si>
    <t>پس از بررسی نتایج مربوط به شهر خود، با ویرایش متن "summary_policy" برای هر زبان پیکربندی‌شده در فایل پیکربندی منطقه، خلاصه‌ای با توجه به شرایط خاص فراهم کنید.</t>
  </si>
  <si>
    <t>Depois de analisar os resultados da sua cidade, forneça um resumo contextualizado modificando o texto do “summary_policy” para cada idioma configurado no arquivo de configuração da região.</t>
  </si>
  <si>
    <t>Después de revisar los resultados de su ciudad, proporcione un resumen contextualizado modificando el texto de "summary_policy"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</si>
  <si>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</si>
  <si>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</si>
  <si>
    <t>Şehrinize ait bulguları inceledikten sonra, bölge yapılandırma dosyasındaki her yapılandırılmış dil için "summary_policy" metnini değiştirerek bağlamsal bir özet yazın.</t>
  </si>
  <si>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</si>
  <si>
    <t>Sau khi xem xét kết quả cho thành phố của bạn, hãy cung cấp bản tóm tắt theo ngữ cảnh bằng cách sửa đổi văn bản “summary_policy” cho từng ngôn ngữ được  cấu hình sẵn trong tệp cấu hình khu vực.</t>
  </si>
  <si>
    <t>Après avoir examiné les résultats pour votre ville, fournissez un résumé contextualisé en modifiant le texte « summary_policy » pour chaque langue configurée dans le fichier de configuration de la région.</t>
  </si>
  <si>
    <t>Après avoir examiné les résultats pour votre ville, fournissez un résumé contextualisé en modifiant le texte « summary_spatial » pour chaque langue configurée dans le fichier de configuration de la région.</t>
  </si>
  <si>
    <t>Après avoir examiné les résultats pour votre ville, fournissez un résumé contextualisé en modifiant le texte « summary_policy_spatial » pour chaque langue configurée dans le fichier de configuration de la région.</t>
  </si>
  <si>
    <t>walkability_above_median_pct</t>
  </si>
  <si>
    <t>{percent} of the population in {city_name} live in neighbourhoods with walkability scoring above the median of 25 cities internationally (Box 1)</t>
  </si>
  <si>
    <t>يعيش {percent} من السكان في {city_name} في أحياء ذات درجة إمكانية المشي أعلى من متوسط 25 مدينة على المستوى الدولي (الإطار 1)  </t>
  </si>
  <si>
    <t>El {percent} de la població de {city_name} viu en barris amb una puntuació de caminabilitat superior a la mitjana de 25 ciutats a nivell internacional (quadre 1)</t>
  </si>
  <si>
    <t>{city_name} 的 {percent} 人口居住在步行适宜性得分高于国际 25 个城市中位数的社区（框 1）</t>
  </si>
  <si>
    <t> {city_name} 的 {percent} 人口居住在步行適宜性得分高於國際 25 個城市中位數的社區（框 1）</t>
  </si>
  <si>
    <t>{percent} stanovništva u gradu {city_name} živi u četvrtima s ocjenom prohodnosti iznad medijana 25 međunarodnih gradova (okvir 1)</t>
  </si>
  <si>
    <t>{percent} populace v {city_name} žije ve čtvrtích s hodnocením pěší dostupnosti nad průměrem 25 měst v mezinárodním měřítku (rámeček 1)</t>
  </si>
  <si>
    <t>{percent} af befolkningen i {city_name} bor i kvarterer med gangbarhedsscore over medianen for 25 byer internationalt (boks 1)</t>
  </si>
  <si>
    <t>{percent} van de bevolking in {city_name} woont in buurten waar de beloopbaarheidsscore boven de mediaan van 25 internationale steden ligt (Box 1)</t>
  </si>
  <si>
    <t>{percent} alueen {city_name} asukkaista asuu kaupunginosissa, joiden kävelypisteet ovat kansainvälisesti yli 25 kaupungin mediaanin (laatikko 1)</t>
  </si>
  <si>
    <t> {percent} de la population de {city_name} vit dans des quartiers dont le score de potentiel piétonnier est supérieur à la médiane de 25 villes à l'échelle internationale (encadré 1)</t>
  </si>
  <si>
    <t> {percent} der Bevölkerung in {city_name} leben in Vierteln, deren Bewertung der Fußgängerfreundlichkeit über dem Median von 25 Städten weltweit liegt (Kasten 1)</t>
  </si>
  <si>
    <t>Το {percent} του πληθυσμού στο {city_name} ζει σε γειτονιές με βαθμολογία βατότητας πάνω από τη μέση τιμή 25 πόλεων διεθνώς (Πλαίσιο 1)</t>
  </si>
  <si>
    <t>{percent} na yawan jama'ar {city_name} suna zaune ne a unguwannin da ke da maki mai iya tafiya fiye da tsakiyar birane 25 na duniya (Akwatin 1)</t>
  </si>
  <si>
    <t> {city_name} की आबादी का {percent} अंतरराष्ट्रीय स्तर पर 25 शहरों के औसत से ऊपर चलने योग्य स्कोर वाले पड़ोस में रहता है (बॉक्स 1)</t>
  </si>
  <si>
    <t>{percent} populasi di {city_name} tinggal di lingkungan dengan skor kemampuan berjalan kaki di atas median 25 kota secara internasional (Kotak 1)</t>
  </si>
  <si>
    <t>Il {percent} della popolazione di {city_name} vive in quartieri con un punteggio di camminabilità superiore alla media di 25 città a livello internazionale (Riquadro 1)</t>
  </si>
  <si>
    <t>{city_name}の人口の{percent}は、ウォーカビリティ・スコアが世界25都市の中央値を上回る地域に住んでいます (ボックス 1)</t>
  </si>
  <si>
    <t>{city_name} 인구의 {percent}는 국제적으로 25개 도시의 중앙값보다 높은 점수를 받은 지역에 거주합니다(박스 1)</t>
  </si>
  <si>
    <t>{percent} o te taupori o {city_name} e noho ana ki ngā kāinga me te kaha hikoi i pērā i te tau waenga o ngā tāone 25 o te ao (Pouaka 1)</t>
  </si>
  <si>
    <t>  {city_name} मा जनसङ्ख्याको {percent} अन्तर्राष्ट्रिय रूपमा २५ सहरहरूको औसतभन्दा माथि हिड्ने क्षमता स्कोरिङ भएको छिमेकमा बस्छन् (बक्स १)</t>
  </si>
  <si>
    <t xml:space="preserve"> {percent} da população de {city_name} que vive em bairros com pontuação de caminhabilidade acima da mediana de 25 cidades em todo o mundo (Quadro 1)</t>
  </si>
  <si>
    <t>{percent} da população de {city_name} vive em bairros com pontuação de caminhabilidade acima da mediana de 25 cidades em todo o mundo (Quadro 1)</t>
  </si>
  <si>
    <t>El {percent} de la población de {city_name} vive en vecindarios con una puntuación de caminabilidad superior al promedio de 25 ciudades a nivel internacional (Recuadro 1)</t>
  </si>
  <si>
    <t>El {percent} de la población de {city_name} vive en vecindarios con una puntuación de caminabilidad superior a la media de 25 ciudades a nivel internacional (Recuadro 1)</t>
  </si>
  <si>
    <t>{city_name} இல் உள்ள மக்கள்தொகையில் {percent} பேர், சர்வதேச அளவில் 25 நகரங்களின் சராசரிக்குப் மேலான நடைப்பயணத்துடன் சுற்றுப்புறங்களில் வாழ்கின்றனர் (பெட்டி 1)</t>
  </si>
  <si>
    <t>{percent} ของประชากรใน {city_name} อาศัยอยู่ในชุมชนที่มีคะแนนความสามารถในการเดิน สูงกว่า ค่า มัธยฐาน ของ 25 เมือง ทั่ว โลก (กล่อง ที่ 1)</t>
  </si>
  <si>
    <t>{city_name} nüfusunun {percent} kadarı, yürünebilirlik puanı uluslararası 25 şehrin ortanca değerinin üzerinde olan mahallelerde yaşıyor (Kutu 1)</t>
  </si>
  <si>
    <t>{percent} населення міста {city_name} живе в районах, показник доступності яких є вищим за середній показник 25 міст світу (вставка 1)</t>
  </si>
  <si>
    <t>{percent} dân số ở {city_name} sống ở các khu vực có khả năng đi bộ trên mức trung bình của 25 thành phố trên toàn thế giới (Hộp 1)</t>
  </si>
  <si>
    <t>{city_name} 인구의 {percent}는 국제적으로 25개 도시의 중앙값보다 낮은 점수를 받은 지역에 거주합니다(박스 1).</t>
  </si>
  <si>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</si>
  <si>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</si>
  <si>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</si>
  <si>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</si>
  <si>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</si>
  <si>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</si>
  <si>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</si>
  <si>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</si>
  <si>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</si>
  <si>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</si>
  <si>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</si>
  <si>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</si>
  <si>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</si>
  <si>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</si>
  <si>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</si>
  <si>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</si>
  <si>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</si>
  <si>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</si>
  <si>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</si>
  <si>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</si>
  <si>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</si>
  <si>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</si>
  <si>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</si>
  <si>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</si>
  <si>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المؤشرات السياسية والمكانية لمدن صحية ومستدامة</t>
  </si>
  <si>
    <t>قم بتفصيل أي اعتبارات أخرى تتعلق بعدم المساواة في الصحة الحضرية والجغرافيه في هذه المدينة، أو اعتبارات البيانات التي يمكن أن تؤثر على تفسير النتائج.</t>
  </si>
  <si>
    <t>درجة وجود السياسة</t>
  </si>
  <si>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</si>
  <si>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</si>
  <si>
    <t>احتمال الانخراط في المشي  لغرض التنقل</t>
  </si>
  <si>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</si>
  <si>
    <t>Amal Al Siyabi</t>
  </si>
  <si>
    <t>أمل  السيابية</t>
  </si>
  <si>
    <t>{percent} از جمعیت شهر {city_name} در محله‌هایی زندگی می‌کنند که امتیاز پیاده‌پذیری آن‌ها بالاتر از میانه ۲۵ شهر در سطح بین‌المللی است (کادر ۱)</t>
  </si>
  <si>
    <t>green_space_accessibility</t>
  </si>
  <si>
    <t>green_space_accessibility_label</t>
  </si>
  <si>
    <t>guhvi_header</t>
  </si>
  <si>
    <t>guhvi_description</t>
  </si>
  <si>
    <t>global_urban_heat_vulnerability_index</t>
  </si>
  <si>
    <t>global_urban_heat_vulnerability_index_label</t>
  </si>
  <si>
    <t>Urban heat vulnerability</t>
  </si>
  <si>
    <t>overall_greenery</t>
  </si>
  <si>
    <t>overall_greenery_label</t>
  </si>
  <si>
    <t>green_space_header</t>
  </si>
  <si>
    <t>guhvi_caption</t>
  </si>
  <si>
    <t>green_space_description</t>
  </si>
  <si>
    <t xml:space="preserve">Large public green spaces can provide multiple health and environmental co-benefits by mitigating urban heat, improving air quality and biodiversity, and promoting physical activity, social interactions, and mental wellbeing. </t>
  </si>
  <si>
    <t>lpugs_header</t>
  </si>
  <si>
    <t>urban_heat_exposure_header</t>
  </si>
  <si>
    <t>Urban heat exposure</t>
  </si>
  <si>
    <t>land_surface_temperature_label</t>
  </si>
  <si>
    <t>Average land surface temperature for the hottest third of the year ({start_date} to {end_date})</t>
  </si>
  <si>
    <t>land_surface_temperature</t>
  </si>
  <si>
    <t>Vegetation cover</t>
  </si>
  <si>
    <t>Large public green space access</t>
  </si>
  <si>
    <t>Normalised Difference Vegetation Index (NDVI)</t>
  </si>
  <si>
    <t>Large public green space</t>
  </si>
  <si>
    <t>Access within 500m</t>
  </si>
  <si>
    <t>Land Surface Temperature</t>
  </si>
  <si>
    <t>Land Surface Temperature ({units})</t>
  </si>
  <si>
    <t>Heat vulnerability</t>
  </si>
  <si>
    <t>{percent} of the population live in areas most vulnerable to heat</t>
  </si>
  <si>
    <t>Inequities in heat vulnerability were evaluated as a function of heat exposure, sensitivity, and adaptive capacity (Turner et al, 2025; https://dx.doi.org/10.2139/ssrn.5251739).</t>
  </si>
  <si>
    <t>policy_checklist6_text2</t>
  </si>
  <si>
    <t>policy_checklist6_text2_response1</t>
  </si>
  <si>
    <t>policy_checklist6_text2_response2</t>
  </si>
  <si>
    <t>policy_checklist6_text2_response3</t>
  </si>
  <si>
    <t>policy_checklist7_title</t>
  </si>
  <si>
    <t>policy_checklist7_text1</t>
  </si>
  <si>
    <t>policy_checklist7_text1_response1</t>
  </si>
  <si>
    <t>policy_checklist7_text1_response2</t>
  </si>
  <si>
    <t>policy_checklist7_text1_response3</t>
  </si>
  <si>
    <t>policy_box_checklist7</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</si>
  <si>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</si>
  <si>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</si>
  <si>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</si>
  <si>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Walking participation</t>
  </si>
  <si>
    <t>Pedestrian infrastructure</t>
  </si>
  <si>
    <t>Cycling participation</t>
  </si>
  <si>
    <t>Cycling infrastructure</t>
  </si>
  <si>
    <t>Traffic safety</t>
  </si>
  <si>
    <t>Street connectivity</t>
  </si>
  <si>
    <t>Housing or population density</t>
  </si>
  <si>
    <t>Residential building heights</t>
  </si>
  <si>
    <t>Employment distribution</t>
  </si>
  <si>
    <t>Public transport policies</t>
  </si>
  <si>
    <t>Access to employment and services via public transport</t>
  </si>
  <si>
    <t>Public transport use</t>
  </si>
  <si>
    <t>Public open space policies</t>
  </si>
  <si>
    <t>Nature-based solutions policies</t>
  </si>
  <si>
    <t>Tree canopy and urban greening</t>
  </si>
  <si>
    <t>Urban air quality policies</t>
  </si>
  <si>
    <t>Adaptation and disaster risk reduction</t>
  </si>
  <si>
    <t>policy_checklist2_text8</t>
  </si>
  <si>
    <t>policy_checklist2_text8_response1</t>
  </si>
  <si>
    <t>policy_checklist2_text8_response2</t>
  </si>
  <si>
    <t>policy_checklist2_text8_response3</t>
  </si>
  <si>
    <t>policy_checklist2_text9</t>
  </si>
  <si>
    <t>policy_checklist2_text9_response1</t>
  </si>
  <si>
    <t>policy_checklist2_text9_response2</t>
  </si>
  <si>
    <t>policy_checklist2_text9_response3</t>
  </si>
  <si>
    <t>policy_checklist2_text10</t>
  </si>
  <si>
    <t>policy_checklist2_text10_response1</t>
  </si>
  <si>
    <t>policy_checklist2_text10_response2</t>
  </si>
  <si>
    <t>policy_checklist2_text10_response3</t>
  </si>
  <si>
    <t>policy_checklist2_text11</t>
  </si>
  <si>
    <t>policy_checklist2_text11_response1</t>
  </si>
  <si>
    <t>policy_checklist2_text11_response2</t>
  </si>
  <si>
    <t>policy_checklist2_text11_response3</t>
  </si>
  <si>
    <t>policy_checklist2_text12</t>
  </si>
  <si>
    <t>policy_checklist2_text12_response1</t>
  </si>
  <si>
    <t>policy_checklist2_text12_response2</t>
  </si>
  <si>
    <t>policy_checklist2_text12_response3</t>
  </si>
  <si>
    <t>policy_checklist2_text13</t>
  </si>
  <si>
    <t>policy_checklist2_text13_response1</t>
  </si>
  <si>
    <t>policy_checklist2_text13_response2</t>
  </si>
  <si>
    <t>policy_checklist2_text13_response3</t>
  </si>
  <si>
    <t>policy_checklist2_text14</t>
  </si>
  <si>
    <t>policy_checklist2_text14_response1</t>
  </si>
  <si>
    <t>policy_checklist2_text14_response2</t>
  </si>
  <si>
    <t>policy_checklist2_text14_response3</t>
  </si>
  <si>
    <t>policy_checklist2_text15</t>
  </si>
  <si>
    <t>policy_checklist2_text15_response1</t>
  </si>
  <si>
    <t>policy_checklist2_text15_response2</t>
  </si>
  <si>
    <t>policy_checklist2_text15_response3</t>
  </si>
  <si>
    <t>policy_checklist2_text16</t>
  </si>
  <si>
    <t>policy_checklist2_text16_response1</t>
  </si>
  <si>
    <t>policy_checklist2_text16_response2</t>
  </si>
  <si>
    <t>policy_checklist2_text16_response3</t>
  </si>
  <si>
    <t>policy_checklist2_text17</t>
  </si>
  <si>
    <t>policy_checklist2_text17_response1</t>
  </si>
  <si>
    <t>policy_checklist2_text17_response2</t>
  </si>
  <si>
    <t>policy_checklist2_text17_response3</t>
  </si>
  <si>
    <t>configuration/assets/cc.svg</t>
  </si>
  <si>
    <t>configuration/assets/by.svg</t>
  </si>
  <si>
    <t>configuration/assets/nc.svg</t>
  </si>
  <si>
    <t>configuration/assets/study region legend patch a</t>
  </si>
  <si>
    <t>configuration/assets/study region legend patch b</t>
  </si>
  <si>
    <t>configuration/assets/study region legend patch c</t>
  </si>
  <si>
    <t>Earth Engine indicator translations reviewed (added April 2026)</t>
  </si>
  <si>
    <t>مؤشر اختلاف الغطاء النباتي المعياري (NDVI)</t>
  </si>
  <si>
    <t>مساحة خضراء عامة واسعة</t>
  </si>
  <si>
    <t>إمكانية الوصول إليها في نطاق 500 متر</t>
  </si>
  <si>
    <t>درجة حرارة سطح الأرض ({units})</t>
  </si>
  <si>
    <t>الغطاء النباتي</t>
  </si>
  <si>
    <t>التعرض للحرارة الحضرية</t>
  </si>
  <si>
    <t>يمكن للمساحات الخضراء العامة الكبيرة أن توفر فوائد صحية وبيئية متعددة من خلال تخفيف الحرارة الحضرية، وتحسين جودة الهواء والتنوع البيولوجي، وتعزيز النشاط البدني والتفاعلات الاجتماعية والصحة النفسية.</t>
  </si>
  <si>
    <t>إمكانية الوصول إلى مساحات خضراء عامة واسعة</t>
  </si>
  <si>
    <t>{percent} of the population live within 500m of large public green space of at least 1 hectare in size</t>
  </si>
  <si>
    <t>تم تقييم أوجه عدم المساواة في قابلية التأثر بالحرارة كدالة للتعرض للحرارة، والحساسية، والقدرة على التكيف (Turner et al, 2025; https://dx.doi.org/10.2139/ssrn.5251739).</t>
  </si>
  <si>
    <t>قابلية التأثر بالحرارة</t>
  </si>
  <si>
    <t>يعيش {percent} من السكان في المناطق الأكثر عرضة للحرارة</t>
  </si>
  <si>
    <t>متوسط ​​درجة حرارة سطح الأرض خلال الثلث الأكثر حرارة من العام (من {start_date} إلى {end_date})</t>
  </si>
  <si>
    <t>{percent} من مساحة أراضي منطقة الدراسة تستوفي عتبة الغطاء النباتي لمتوسط ​​مؤشر الغطاء النباتي السنوي NDVI ≥ 0.2</t>
  </si>
  <si>
    <t>{percent} of study region land area meets the vegetation threshold of annual average NDVI ≥ 0.2</t>
  </si>
  <si>
    <t>يعيش {percent} من السكان على بُعد 500 متر من مساحة خضراء عامة كبيرة لا تقل مساحتها عن هكتار واحد.</t>
  </si>
  <si>
    <t>Índex de Vegetació de Diferència Normalitzada (NDVI)</t>
  </si>
  <si>
    <t>Gran espai verd públic</t>
  </si>
  <si>
    <t>Accés a menys de 500 m</t>
  </si>
  <si>
    <t>Cobertura vegetal</t>
  </si>
  <si>
    <t>Accés a grans espais verds públics</t>
  </si>
  <si>
    <t>{percent} de la població viu a menys de 500 m d'un gran espai verd públic d'almenys 1 hectàrea</t>
  </si>
  <si>
    <t>Exposició urbana a la calor</t>
  </si>
  <si>
    <t>Temperatura mitjana de la superfície terrestre durant el terç més calorós de l'any (de {start_date} a {end_date})</t>
  </si>
  <si>
    <t>Vulnerabilitat urbana a la calor</t>
  </si>
  <si>
    <t>Les desigualtats en la vulnerabilitat a la calor es van avaluar com a funció de l'exposició a la calor, la sensibilitat i la capacitat d'adaptació (Turner et al., 2025; https://dx.doi.org/10.2139/ssrn.5251739).</t>
  </si>
  <si>
    <t>Vulnerabilitat a la calor</t>
  </si>
  <si>
    <t>{percent} de la població viu a les zones més vulnerables a la calor</t>
  </si>
  <si>
    <t>Els grans espais verds públics poden proporcionar múltiples beneficis colaterals per a la salut i el medi ambient, mitigant la calor urbana, millorant la qualitat de l'aire i la biodiversitat, i promovent l'activitat física, les interaccions socials i el benestar mental.</t>
  </si>
  <si>
    <t>{percent} de la superfície terrestre de la regió d'estudi compleix el llindar de vegetació d'un NDVI mitjà anual ≥ 0,2</t>
  </si>
  <si>
    <t>Temperatura de la superfície terrestre ({units})</t>
  </si>
  <si>
    <t>归一化植被指数 (NDVI)</t>
  </si>
  <si>
    <t>大型公共绿地</t>
  </si>
  <si>
    <t>500 米范围内可达</t>
  </si>
  <si>
    <t>植被覆盖度</t>
  </si>
  <si>
    <t>大型公共绿地能够缓解城市热岛效应、改善空气质量和生物多样性，并促进身体活动、社交互动和心理健康，从而带来多重健康和环境效益。</t>
  </si>
  <si>
    <t>研究区域内 {percent} 的土地面积满足年平均 NDVI ≥ 0.2 的植被阈值</t>
  </si>
  <si>
    <t>大型公共绿地可达性</t>
  </si>
  <si>
    <t>{percent} 的人口居住在距离至少 1 公顷的大型公共绿地 500 米范围内</t>
  </si>
  <si>
    <t>城市热暴露</t>
  </si>
  <si>
    <t>一年中最热的三分之一时期（{start_date} 至 {end_date}）的平均地表温度</t>
  </si>
  <si>
    <t>城市热脆弱性</t>
  </si>
  <si>
    <t>热脆弱性的不平等程度根据热暴露、敏感性和适应能力进行评估（Turner 等，2025；https://dx.doi.org/10.2139/ssrn.5251739）。</t>
  </si>
  <si>
    <t>热脆弱性</t>
  </si>
  <si>
    <t>{percent} 的人口居住在最易受热影响的地区</t>
  </si>
  <si>
    <t>地表温度（{units}）</t>
  </si>
  <si>
    <t>歸一化植被指數 (NDVI)</t>
  </si>
  <si>
    <t>大型公共綠地</t>
  </si>
  <si>
    <t>500 公尺範圍內可達</t>
  </si>
  <si>
    <t>植被覆蓋度</t>
  </si>
  <si>
    <t>大型公共綠地能夠緩解城市熱島效應、改善空氣品質和生物多樣性，並促進身體活動、社交互動和心理健康，從而帶來多重健康和環境效益。</t>
  </si>
  <si>
    <t>研究區域內 {percent} 的土地面積滿足年平均 NDVI ≥ 0.2 的植被閾值</t>
  </si>
  <si>
    <t>大型公共綠地可及性</t>
  </si>
  <si>
    <t>{percent} 的人口居住在距離至少 1 公頃的大型公共綠地 500 公尺範圍內</t>
  </si>
  <si>
    <t>城市熱暴露</t>
  </si>
  <si>
    <t>一年中最熱的三分之一時期（{start_date} 至 {end_date}）的平均地表溫度</t>
  </si>
  <si>
    <t>城市熱脆弱性</t>
  </si>
  <si>
    <t>熱脆弱性的不平等程度是根據熱暴露、敏感性和適應能力進行評估（Turner 等，2025；https://dx.doi.org/10.2139/ssrn.5251739）。</t>
  </si>
  <si>
    <t>熱脆弱性</t>
  </si>
  <si>
    <t>{percent} 的人口居住在最容易受到熱影響的地區</t>
  </si>
  <si>
    <t>地表溫度（{units}）</t>
  </si>
  <si>
    <t>Indeks normalizirane razlike vegetacije (NDVI)</t>
  </si>
  <si>
    <t>Veliki javni zeleni prostor</t>
  </si>
  <si>
    <t>Pristup unutar 500 m</t>
  </si>
  <si>
    <t>Vegetacijski pokrov</t>
  </si>
  <si>
    <t>Veliki javni zeleni prostori mogu pružiti višestruke zdravstvene i ekološke koristi ublažavanjem urbane vrućine, poboljšanjem kvalitete zraka i bioraznolikosti te promicanjem tjelesne aktivnosti, društvenih interakcija i mentalnog blagostanja.</t>
  </si>
  <si>
    <t>{percent} površine proučavane regije zadovoljava vegetacijski prag prosječnog godišnjeg NDVI ≥ 0,2</t>
  </si>
  <si>
    <t>Pristup velikim javnim zelenim površinama</t>
  </si>
  <si>
    <t>{percent} stanovništva živi unutar 500 m od velikih javnih zelenih površina veličine najmanje 1 hektara</t>
  </si>
  <si>
    <t>Izloženost toplini u urbanim područjima</t>
  </si>
  <si>
    <t>Prosječna temperatura površine zemljišta za najtopliju trećinu godine (od {start_date} do {end_date})</t>
  </si>
  <si>
    <t>Ranjivost na toplinu u urbanim područjima</t>
  </si>
  <si>
    <t>Nejednakosti u ranjivosti na toplinu procijenjene su kao funkcija izloženosti toplini, osjetljivosti i adaptivnog kapaciteta (Turner i sur., 2025.; https://dx.doi.org/10.2139/ssrn.5251739).</t>
  </si>
  <si>
    <t>Ranjivost na toplinu</t>
  </si>
  <si>
    <t>{percent} stanovništva živi u područjima najosjetljivijim na toplinu</t>
  </si>
  <si>
    <t>Temperatura površine tla ({units})</t>
  </si>
  <si>
    <t>Index normalizovaného rozdílu vegetace (NDVI)</t>
  </si>
  <si>
    <t>Rozsáhlé veřejné zelené plochy</t>
  </si>
  <si>
    <t>Přístup do 500 m</t>
  </si>
  <si>
    <t>Vegetační kryt</t>
  </si>
  <si>
    <t>Rozsáhlé veřejné zelené plochy mohou přinést řadu zdravotních a environmentálních výhod zmírněním městského tepla, zlepšením kvality ovzduší a biodiverzity a podporou fyzické aktivity, sociálních interakcí a duševní pohody.</t>
  </si>
  <si>
    <t>{percent} rozlohy studovaného regionu splňuje vegetační práh průměrného ročního NDVI ≥ 0,2</t>
  </si>
  <si>
    <t>Přístup k velkým veřejným zeleným plochám</t>
  </si>
  <si>
    <t>{percent} populace žije do 500 m od velkých veřejných zelených ploch o velikosti alespoň 1 hektaru</t>
  </si>
  <si>
    <t>Vystavení teplu ve městech</t>
  </si>
  <si>
    <t>Průměrná teplota povrchu země pro nejteplejší třetinu roku ({start_date} až {end_date})</t>
  </si>
  <si>
    <t>Zranitelnost vůči teplu ve městech</t>
  </si>
  <si>
    <t>Nerovnosti v zranitelnosti vůči teplu byly vyhodnoceny jako funkce vystavení teplu, citlivosti a adaptační kapacity (Turner et al, 2025; https://dx.doi.org/10.2139/ssrn.5251739).</t>
  </si>
  <si>
    <t>Zranitelnost vůči teplu</t>
  </si>
  <si>
    <t>{percent} populace žije v oblastech nejvíce zranitelných vůči teplu</t>
  </si>
  <si>
    <t>Teplota povrchu země ({units})</t>
  </si>
  <si>
    <t>Normaliseret differensvegetationsindeks (NDVI)</t>
  </si>
  <si>
    <t>Stort offentligt grønt område</t>
  </si>
  <si>
    <t>Adgang inden for 500 m</t>
  </si>
  <si>
    <t>Vegetationsdække</t>
  </si>
  <si>
    <t>Store offentlige grønne områder kan give flere sundhedsmæssige og miljømæssige sidegevinster ved at afbøde byvarme, forbedre luftkvaliteten og biodiversiteten samt fremme fysisk aktivitet, sociale interaktioner og mental velvære.</t>
  </si>
  <si>
    <t>{percent} af studieregionens landareal opfylder vegetationstærsklen for en årlig gennemsnitlig NDVI ≥ 0,2</t>
  </si>
  <si>
    <t>Adgang til store offentlige grønne områder</t>
  </si>
  <si>
    <t>{percent} af befolkningen bor inden for 500 m af store offentlige grønne områder på mindst 1 hektar</t>
  </si>
  <si>
    <t>Varmeeksponering i byen</t>
  </si>
  <si>
    <t>Gennemsnitlig jordoverfladetemperatur for den varmeste tredjedel af året ({start_date} til {end_date})</t>
  </si>
  <si>
    <t>Varmesårbarhed i byen</t>
  </si>
  <si>
    <t>Uligheder i varmesårbarhed blev evalueret som en funktion af varmeeksponering, følsomhed og tilpasningsevne (Turner et al., 2025; https://dx.doi.org/10.2139/ssrn.5251739).</t>
  </si>
  <si>
    <t>Varmesårbarhed</t>
  </si>
  <si>
    <t>{percent} af befolkningen bor i områder, der er mest sårbare over for varme</t>
  </si>
  <si>
    <t>Jordoverfladetemperatur ({units})</t>
  </si>
  <si>
    <t>Genormaliseerde differentie-vegetatie-index (NDVI)</t>
  </si>
  <si>
    <t>Grote openbare groene ruimte</t>
  </si>
  <si>
    <t>Toegang binnen 500 m</t>
  </si>
  <si>
    <t>Vegetatiebedekking</t>
  </si>
  <si>
    <t>Grote openbare groene ruimtes kunnen meerdere gezondheids- en milieuvoordelen bieden door stedelijke hitte te verminderen, de luchtkwaliteit en biodiversiteit te verbeteren en fysieke activiteit, sociale interacties en mentaal welzijn te bevorderen.</t>
  </si>
  <si>
    <t>{percent} van het landoppervlak van het onderzoeksgebied voldoet aan de vegetatiedrempel van een jaarlijkse gemiddelde NDVI ≥ 0,2</t>
  </si>
  <si>
    <t>Toegang tot grote openbare groene ruimten</t>
  </si>
  <si>
    <t>{percent} van de bevolking woont binnen 500 meter van een grote openbare groene ruimte van minstens 1 hectare</t>
  </si>
  <si>
    <t>Blootstelling aan stedelijke hitte</t>
  </si>
  <si>
    <t>Gemiddelde landtemperatuur gedurende het warmste derde deel van het jaar ({start_date} tot {end_date})</t>
  </si>
  <si>
    <t>Kwetsbaarheid voor stedelijke hitte</t>
  </si>
  <si>
    <t>Ongelijkheden in hittekwetsbaarheid werden geëvalueerd als functie van blootstelling aan hitte, gevoeligheid en aanpassingsvermogen (Turner et al, 2025; https://dx.doi.org/10.2139/ssrn.5251739).</t>
  </si>
  <si>
    <t>Kwetsbaarheid voor hitte</t>
  </si>
  <si>
    <t>{percent} van de bevolking woont in gebieden die het meest kwetsbaar zijn voor hitte</t>
  </si>
  <si>
    <t>Landoppervlaktetemperatuur ({units})</t>
  </si>
  <si>
    <t>Normalisoitu differentiaalinen kasvillisuusindeksi (NDVI)</t>
  </si>
  <si>
    <t>Suuri julkinen viheralue</t>
  </si>
  <si>
    <t>Pääsy 500 metrin säteellä</t>
  </si>
  <si>
    <t>Kasvillisuuspeite</t>
  </si>
  <si>
    <t>Suuret julkiset viheralueet voivat tarjota useita terveys- ja ympäristöhyötyjä lieventämällä kaupunkien kuumuutta, parantamalla ilmanlaatua ja biologista monimuotoisuutta sekä edistämällä fyysistä aktiivisuutta, sosiaalista vuorovaikutusta ja henkistä hyvinvointia.</t>
  </si>
  <si>
    <t>{prosenttia} tutkimusalueen maa-alueesta täyttää kasvillisuuden kynnysarvon, joka on vuosittainen keskimääräinen NDVI ≥ 0,2</t>
  </si>
  <si>
    <t>Suurten julkisten viheralueiden käyttöoikeus</t>
  </si>
  <si>
    <t>{prosenttia} väestöstä asuu 500 metrin säteellä vähintään 1 hehtaarin kokoisista suurista julkisista viheralueista</t>
  </si>
  <si>
    <t>Kaupunkien lämpöaltistus</t>
  </si>
  <si>
    <t>Keskimääräinen maanpinnan lämpötila vuoden kuumimman kolmanneksen aikana ({start_date} - {end_date})</t>
  </si>
  <si>
    <t>Kaupunkien lämpöalttius</t>
  </si>
  <si>
    <t>Lämpöalttiuden eriarvoisuutta arvioitiin lämpöaltistuksen, herkkyyden ja sopeutumiskyvyn funktiona (Turner et al, 2025; https://dx.doi.org/10.2139/ssrn.5251739).</t>
  </si>
  <si>
    <t>Lämpöalttius</t>
  </si>
  <si>
    <t>{prosenttia} väestöstä asuu alueilla, jotka ovat alttiimpia kuumuudelle</t>
  </si>
  <si>
    <t>Maanpinnan lämpötila ({units})</t>
  </si>
  <si>
    <t>Indice de végétation par différence normalisée (NDVI)</t>
  </si>
  <si>
    <t>Grand espace vert public</t>
  </si>
  <si>
    <t>Accès à moins de 500 m</t>
  </si>
  <si>
    <t>Couverture végétale</t>
  </si>
  <si>
    <t>Les grands espaces verts publics peuvent offrir de multiples bienfaits pour la santé et l'environnement en atténuant les îlots de chaleur urbains, en améliorant la qualité de l'air et la biodiversité, et en favorisant l'activité physique, les interactions sociales et le bien-être mental.</t>
  </si>
  <si>
    <t>{pourcentage} de la superficie de la région étudiée atteint le seuil de végétation d'un NDVI moyen annuel ≥ 0,2.</t>
  </si>
  <si>
    <t>Accès à de grands espaces verts publics</t>
  </si>
  <si>
    <t>{pourcentage} de la population vit à moins de 500 m d'un grand espace vert public d'au moins 1 hectare.</t>
  </si>
  <si>
    <t>Exposition à la chaleur urbaine</t>
  </si>
  <si>
    <t>Température moyenne de la surface terrestre pour le tiers le plus chaud de l'année (du {start_date} au {end_date}).</t>
  </si>
  <si>
    <t>Vulnérabilité à la chaleur urbaine</t>
  </si>
  <si>
    <t>Les inégalités de vulnérabilité à la chaleur ont été évaluées en fonction de l'exposition à la chaleur, de la sensibilité et de la capacité d'adaptation (Turner et al., 2025 ; https://dx.doi.org/10.2139/ssrn.5251739).</t>
  </si>
  <si>
    <t>Vulnérabilité à la chaleur</t>
  </si>
  <si>
    <t>{pourcentage} de la population vit dans les zones les plus vulnérables à la chaleur.</t>
  </si>
  <si>
    <t>Température de surface du sol (units)</t>
  </si>
  <si>
    <t>Normalisierter Differenzvegetationsindex (NDVI)</t>
  </si>
  <si>
    <t>Große öffentliche Grünfläche</t>
  </si>
  <si>
    <t>Zugang innerhalb von 500 m</t>
  </si>
  <si>
    <t>Landoberflächentemperatur (units)</t>
  </si>
  <si>
    <t>Vegetationsbedeckung</t>
  </si>
  <si>
    <t>Große öffentliche Grünflächen können vielfältige positive Auswirkungen auf Gesundheit und Umwelt haben, indem sie die städtische Hitze mindern, die Luftqualität und die Biodiversität verbessern sowie körperliche Aktivität, soziale Interaktionen und das psychische Wohlbefinden fördern.</t>
  </si>
  <si>
    <t>{percent} der Landfläche des Untersuchungsgebiets erfüllt den Vegetationsschwellenwert von einem jährlichen durchschnittlichen NDVI ≥ 0,2.</t>
  </si>
  <si>
    <t>Zugang zu großen öffentlichen Grünflächen</t>
  </si>
  <si>
    <t>{percent} der Bevölkerung lebt innerhalb von 500 m Entfernung zu einer großen öffentlichen Grünfläche von mindestens 1 Hektar Größe.</t>
  </si>
  <si>
    <t>Städtische Hitzebelastung</t>
  </si>
  <si>
    <t>Durchschnittliche Landoberflächentemperatur im heißesten Drittel des Jahres ({start_date} bis {en_date}).</t>
  </si>
  <si>
    <t>Städtische Hitzeanfälligkeit</t>
  </si>
  <si>
    <t>Ungleichheiten in der Hitzeanfälligkeit wurden in Abhängigkeit von Hitzebelastung, -empfindlichkeit und Anpassungsfähigkeit bewertet (Turner et al., 2025; https://dx.doi.org/10.2139/ssrn.5251739).</t>
  </si>
  <si>
    <t>Hitzeanfälligkeit</t>
  </si>
  <si>
    <t>{percent} der Bevölkerung lebt in Gebieten mit besonders hoher Hitzeanfälligkeit.</t>
  </si>
  <si>
    <t>Δείκτης Κανονικοποιημένης Διαφοράς Βλάστησης (NDVI)</t>
  </si>
  <si>
    <t>Μεγάλος δημόσιος χώρος πρασίνου</t>
  </si>
  <si>
    <t>Πρόσβαση σε απόσταση 500 μέτρων</t>
  </si>
  <si>
    <t>Κάλυψη βλάστησης</t>
  </si>
  <si>
    <t>Πρόσβαση σε μεγάλους δημόσιους χώρους πρασίνου</t>
  </si>
  <si>
    <t>{percent} του πληθυσμού ζει σε απόσταση 500 μέτρων από μεγάλους δημόσιους χώρους πρασίνου μεγέθους τουλάχιστον 1 εκταρίου</t>
  </si>
  <si>
    <t>Έκθεση σε αστική θερμότητα</t>
  </si>
  <si>
    <t>Μέση θερμοκρασία επιφάνειας γης για το θερμότερο τρίτο του έτους ({start_date} έως {end_date})</t>
  </si>
  <si>
    <t>Ευπάθεια σε αστική θερμότητα</t>
  </si>
  <si>
    <t>Οι ανισότητες στην ευπάθεια σε θερμότητα αξιολογήθηκαν ως συνάρτηση της έκθεσης σε θερμότητα, της ευαισθησίας και της προσαρμοστικής ικανότητας (Turner et al, 2025; https://dx.doi.org/10.2139/ssrn.5251739).</t>
  </si>
  <si>
    <t>Ευπάθεια σε θερμότητα</t>
  </si>
  <si>
    <t>{percent} του πληθυσμού ζει σε περιοχές που είναι πιο ευάλωτες στη θερμότητα</t>
  </si>
  <si>
    <t>Οι μεγάλοι δημόσιοι χώροι πρασίνου μπορούν να προσφέρουν πολλαπλά οφέλη για την υγεία και το περιβάλλον, μετριάζοντας την αστική θερμότητα, βελτιώνοντας την ποιότητα του αέρα και τη βιοποικιλότητα και προωθώντας τη σωματική δραστηριότητα, τις κοινωνικές αλληλεπιδράσεις και την ψυχική ευεξία.</t>
  </si>
  <si>
    <t>{percent} της έκτασης της περιοχής μελέτης πληροί το όριο βλάστησης του ετήσιου μέσου NDVI ≥ 0,2</t>
  </si>
  <si>
    <t>Θερμοκρασία Επιφάνειας Γης ({units})</t>
  </si>
  <si>
    <t>Ma'aunin Bambancin Tsirrai Mai Daidaita (NDVI)</t>
  </si>
  <si>
    <t>Babban sarari mai kore ga jama'a</t>
  </si>
  <si>
    <t>Samun dama a cikin mita 500</t>
  </si>
  <si>
    <t>Murfin Lambu</t>
  </si>
  <si>
    <t>Manyan wurare masu kore ga jama'a na iya samar da fa'idodi da yawa na lafiya da muhalli ta hanyar rage zafin birni, inganta ingancin iska da bambancin halittu, da kuma haɓaka motsa jiki, hulɗar zamantakewa, da walwalar kwakwalwa.</t>
  </si>
  <si>
    <t>Babban damar shiga sararin kore na jama'a</t>
  </si>
  <si>
    <t>Shan zafi a birane</t>
  </si>
  <si>
    <t>Rashin lafiyar zafi a birane</t>
  </si>
  <si>
    <t>An kimanta rashin daidaito a cikin raunin zafi a matsayin aikin fallasa zafi, jin zafi, da ƙarfin daidaitawa (Turner et al, 2025; https://dx.doi.org/10.2139/ssrn.5251739).</t>
  </si>
  <si>
    <t>Rashin lafiyar zafi</t>
  </si>
  <si>
    <t>{percent} na jama'a suna zaune a yankunan da suka fi fuskantar zafi</t>
  </si>
  <si>
    <t>Matsakaicin zafin ƙasa na mafi zafi na uku na shekara ({start_date} zuwa {end_date})</t>
  </si>
  <si>
    <t>{percent} na yankin da aka yi nazari, yankin ƙasa ya cika ƙa'idar ciyayi na matsakaicin NDVI na shekara-shekara ≥ 0.2</t>
  </si>
  <si>
    <t>{percent} na jama'a suna zaune a cikin murabba'in mita 500 na babban sararin kore na jama'a na akalla hekta 1 a girma</t>
  </si>
  <si>
    <t>Zafin Ƙasa ({units})</t>
  </si>
  <si>
    <t>नॉर्मलाइज़्ड डिफरेंस वेजिटेशन इंडेक्स (NDVI)</t>
  </si>
  <si>
    <t>बड़ी पब्लिक ग्रीन स्पेस</t>
  </si>
  <si>
    <t>500m के अंदर एक्सेस</t>
  </si>
  <si>
    <t>वेजिटेशन कवर</t>
  </si>
  <si>
    <t>बड़े पब्लिक ग्रीन स्पेस तक पहुँच</t>
  </si>
  <si>
    <t>{percent} आबादी कम से कम 1 हेक्टेयर साइज़ के बड़े पब्लिक ग्रीन स्पेस के 500m के अंदर रहती है।</t>
  </si>
  <si>
    <t>शहरी गर्मी का खतरा</t>
  </si>
  <si>
    <t>साल के सबसे गर्म तीसरे हिस्से के लिए ज़मीन की सतह का औसत तापमान ({start_date} से {end_date} तक)</t>
  </si>
  <si>
    <t>गर्मी के खतरे में असमानता को गर्मी के खतरे, सेंसिटिविटी और एडैप्टिव कैपेसिटी (टर्नर एट अल, 2025; https://dx.doi.org/10.2139/ssrn.5251739) के आधार पर आंका गया।</t>
  </si>
  <si>
    <t>गर्मी का खतरा</t>
  </si>
  <si>
    <t>{percent} आबादी उन इलाकों में रहती है जहाँ गर्मी का सबसे ज़्यादा खतरा होता है।</t>
  </si>
  <si>
    <t>बड़ी पब्लिक ग्रीन स्पेस शहरी गर्मी को कम करके, हवा की क्वालिटी और बायोडायवर्सिटी को बेहतर बनाकर, और फिजिकल एक्टिविटी, सोशल इंटरेक्शन और मेंटल वेलबीइंग को बढ़ावा देकर कई हेल्थ और एनवायरनमेंटल को-बेनिफिट्स दे सकती हैं।</t>
  </si>
  <si>
    <t>स्टडी एरिया का {percent} ज़मीन का एरिया सालाना औसत NDVI ≥ 0.2 की पेड़-पौधों की लिमिट को पूरा करता है।</t>
  </si>
  <si>
    <t>ज़मीन की सतह का टेम्परेचर ({units})</t>
  </si>
  <si>
    <t>Indeks Vegetasi Perbedaan Normalisasi (NDVI)</t>
  </si>
  <si>
    <t>Ruang hijau publik yang luas</t>
  </si>
  <si>
    <t>Akses dalam radius 500m</t>
  </si>
  <si>
    <t>Tutupan vegetasi</t>
  </si>
  <si>
    <t>Ruang hijau publik yang luas dapat memberikan berbagai manfaat kesehatan dan lingkungan dengan mengurangi panas perkotaan, meningkatkan kualitas udara dan keanekaragaman hayati, serta mendorong aktivitas fisik, interaksi sosial, dan kesejahteraan mental.</t>
  </si>
  <si>
    <t>Akses ruang hijau publik yang luas</t>
  </si>
  <si>
    <t>Paparan panas perkotaan</t>
  </si>
  <si>
    <t>Suhu permukaan tanah rata-rata untuk sepertiga terpanas tahun ini ({start_date} hingga {end_date})</t>
  </si>
  <si>
    <t>Kerentanan panas perkotaan</t>
  </si>
  <si>
    <t>Ketidaksetaraan dalam kerentanan panas dievaluasi sebagai fungsi dari paparan panas, sensitivitas, dan kapasitas adaptif (Turner et al, 2025; https://dx.doi.org/10.2139/ssrn.5251739).</t>
  </si>
  <si>
    <t>Kerentanan panas</t>
  </si>
  <si>
    <t>{percent} dari populasi tinggal di daerah yang paling rentan terhadap panas</t>
  </si>
  <si>
    <t>{percent} dari populasi tinggal dalam jarak 500m dari ruang hijau publik yang luas dengan ukuran minimal 1 hektar</t>
  </si>
  <si>
    <t>{percent} dari luas lahan wilayah studi memenuhi ambang batas vegetasi dengan rata-rata tahunan NDVI ≥ 0,2</t>
  </si>
  <si>
    <t>Suhu Permukaan Tanah ({units})</t>
  </si>
  <si>
    <t>Indice di vegetazione normalizzato (NDVI)</t>
  </si>
  <si>
    <t>Ampio spazio verde pubblico</t>
  </si>
  <si>
    <t>Accesso entro 500 m</t>
  </si>
  <si>
    <t>Temperatura della superficie del suolo ({unità})</t>
  </si>
  <si>
    <t>Copertura vegetale</t>
  </si>
  <si>
    <t>Gli ampi spazi verdi pubblici possono offrire molteplici benefici collaterali per la salute e l'ambiente, mitigando il calore urbano, migliorando la qualità dell'aria e la biodiversità e promuovendo l'attività fisica, le interazioni sociali e il benessere mentale.</t>
  </si>
  <si>
    <t>Accesso a grandi spazi verdi pubblici</t>
  </si>
  <si>
    <t>Esposizione al calore urbano</t>
  </si>
  <si>
    <t>Temperatura media della superficie terrestre per il terzo più caldo dell'anno (dal {start_date} al {end_date})</t>
  </si>
  <si>
    <t>Vulnerabilità al calore urbano</t>
  </si>
  <si>
    <t>Le disuguaglianze nella vulnerabilità al calore sono state valutate in funzione dell'esposizione al calore, della sensibilità e della capacità di adattamento (Turner et al, 2025; https://dx.doi.org/10.2139/ssrn.5251739).</t>
  </si>
  <si>
    <t>Vulnerabilità al calore</t>
  </si>
  <si>
    <t>Il {percent} della popolazione vive in aree più vulnerabili al calore</t>
  </si>
  <si>
    <t>Il {percent} della popolazione vive entro 500 m da un grande spazio verde pubblico di almeno 1 ettaro</t>
  </si>
  <si>
    <t>Il {percent} della superficie terrestre della regione di studio soddisfa la soglia di vegetazione con un NDVI medio annuo ≥ 0,2</t>
  </si>
  <si>
    <t>正規化植生指数（NDVI）</t>
  </si>
  <si>
    <t>大規模な公共緑地</t>
  </si>
  <si>
    <t>500m以内のアクセス</t>
  </si>
  <si>
    <t>植被率</t>
  </si>
  <si>
    <t>大規模な公共緑地は、都市部のヒートアイランド現象の緩和、大気質と生物多様性の向上、身体活動、社会交流、精神的健康の促進など、健康面と環境面で多岐にわたる副次的効果をもたらします。</t>
  </si>
  <si>
    <t>大規模公共緑地へのアクセス</t>
  </si>
  <si>
    <t>都市部の熱曝露</t>
  </si>
  <si>
    <t>都市部の熱脆弱性</t>
  </si>
  <si>
    <t>熱脆弱性の不平等は、熱曝露、感受性、および適応能力の関数として評価された（Turner et al, 2025; https://dx.doi.org/10.2139/ssrn.5251739）。</t>
  </si>
  <si>
    <t>人口の{percent}が、熱に対して最も脆弱な地域に居住している。</t>
  </si>
  <si>
    <t>年間で最も暑い3分の1の期間（{start_date}～{end_date}）の平均地表面温度</t>
  </si>
  <si>
    <t>人口の{percent}が、少なくとも1ヘクタールの大規模公共緑地から500m以内に居住している。</t>
  </si>
  <si>
    <t>調査対象地域の土地面積の{percent}が、年間平均NDVI≧0.2の植生基準を満たしている。</t>
  </si>
  <si>
    <t>地表面温度（{units}）</t>
  </si>
  <si>
    <t>정규화 식생지수(NDVI)</t>
  </si>
  <si>
    <t>대규모 공공 녹지 공간</t>
  </si>
  <si>
    <t>500m 이내 접근성</t>
  </si>
  <si>
    <t>지표면 온도({units})</t>
  </si>
  <si>
    <t>식생 피복률</t>
  </si>
  <si>
    <t>대규모 공공 녹지 공간은 도시 열섬 현상 완화, 대기 질 및 생물 다양성 개선, 신체 활동 증진, 사회적 교류 및 정신 건강 증진을 통해 다양한 건강 및 환경적 이점을 제공할 수 있습니다.</t>
  </si>
  <si>
    <t>연구 지역 토지 면적의 {percent}가 연평균 NDVI ≥ 0.2의 식생 기준을 충족합니다.</t>
  </si>
  <si>
    <t>대규모 공공 녹지 접근성</t>
  </si>
  <si>
    <t>인구의 {percent}가 최소 1헥타르 규모의 대규모 공공 녹지에서 500m 이내에 거주합니다.</t>
  </si>
  <si>
    <t>도시 열 노출</t>
  </si>
  <si>
    <t>연중 가장 더운 3분의 1 기간({start_date}~{end_date})의 평균 지표면 온도</t>
  </si>
  <si>
    <t>도시 열 취약성</t>
  </si>
  <si>
    <t>열 취약성의 불평등은 열 노출, 민감도 및 적응 능력의 함수로 평가되었습니다(Turner et al, 2025; https://dx.doi.org/10.2139/ssrn.5251739).</t>
  </si>
  <si>
    <t>열 취약성</t>
  </si>
  <si>
    <t>인구의 {percent}가 열에 가장 취약한 지역에 거주합니다.</t>
  </si>
  <si>
    <t>Te Tāurangi Rerekētanga Huawhenua Whakaōrite (NDVI)</t>
  </si>
  <si>
    <t>Wāhi matomato tūmatanui nui</t>
  </si>
  <si>
    <t>Te urunga atu i roto i te 500m</t>
  </si>
  <si>
    <t>Te Taupoki Huawhenua</t>
  </si>
  <si>
    <t>Ka taea e ngā wāhi matomato tūmatanui nui te whakarato i ngā painga maha mō te hauora me te taiao mā te whakaiti i te wera o te tāone, te whakapai ake i te kounga o te hau me te kanorau koiora, me te whakatairanga i te mahi tinana, ngā taunekeneke pāpori, me te oranga hinengaro.</t>
  </si>
  <si>
    <t>Te urunga atu ki ngā wāhi matomato tūmatanui nui</t>
  </si>
  <si>
    <t>Te wera o te tāone</t>
  </si>
  <si>
    <t>Te ngoikore o te wera o te tāone</t>
  </si>
  <si>
    <t>I aromatawaihia ngā kore taurite o te ngoikore o te wera hei mahi a te wera, te aro, me te kaha urutau (Turner et al, 2025; https://dx.doi.org/10.2139/ssrn.5251739).</t>
  </si>
  <si>
    <t>Te ngoikore o te wera</t>
  </si>
  <si>
    <t>Te Pāmahana o te Mata Whenua ({units})</t>
  </si>
  <si>
    <t>{percent} o te rohe rangahau whenua e tutuki ana i te paepae tipu o te toharite ā-tau NDVI ≥ 0.2</t>
  </si>
  <si>
    <t>{percent} o te taupori e noho ana i ngā wāhi tino ngoikore ki te wera</t>
  </si>
  <si>
    <t>Te pāmahana mata whenua toharite mō te hautoru wera rawa o te tau ({start_date} ki {end_date})</t>
  </si>
  <si>
    <t>{percent} o te taupori e noho ana i roto i te 500m o ngā wāhi matomato tūmatanui nui, neke atu i te 1 heketea te rahi</t>
  </si>
  <si>
    <t>सामान्यीकृत भिन्नता वनस्पति सूचकांक (NDVI)</t>
  </si>
  <si>
    <t>ठूला सार्वजनिक हरियो ठाउँ</t>
  </si>
  <si>
    <t>५०० मिटर भित्र पहुँच</t>
  </si>
  <si>
    <t>वनस्पति कभर</t>
  </si>
  <si>
    <t>ठूला सार्वजनिक हरियो ठाउँहरूले शहरी तापक्रम कम गरेर, वायुको गुणस्तर र जैविक विविधतामा सुधार गरेर, र शारीरिक गतिविधि, सामाजिक अन्तरक्रिया र मानसिक स्वास्थ्यलाई प्रवर्द्धन गरेर धेरै स्वास्थ्य र वातावरणीय सह-लाभहरू प्रदान गर्न सक्छन्।</t>
  </si>
  <si>
    <t>ठूलो सार्वजनिक हरियो ठाउँ पहुँच</t>
  </si>
  <si>
    <t>शहरी ताप जोखिम</t>
  </si>
  <si>
    <t>वर्षको सबैभन्दा तातो तेस्रो भागको लागि औसत जमिनको सतहको तापक्रम ({start_date} देखि {end_date} सम्म)</t>
  </si>
  <si>
    <t>तातो जोखिममा असमानताहरूलाई ताप जोखिम, संवेदनशीलता र अनुकूलन क्षमताको कार्यको रूपमा मूल्याङ्कन गरिएको थियो (टर्नर एट अल, २०२५; https://dx.doi.org/10.2139/ssrn.5251739)।</t>
  </si>
  <si>
    <t>तातो जोखिम</t>
  </si>
  <si>
    <t>जमिनको सतहको तापक्रम ({units})</t>
  </si>
  <si>
    <t>अध्ययन क्षेत्रको {percent} भू-क्षेत्रफलले वार्षिक औसत NDVI ≥ ०.२ को वनस्पति सीमा पूरा गर्दछ</t>
  </si>
  <si>
    <t>जनसंख्याको {percent} कम्तिमा १ हेक्टर आकारको ठूलो सार्वजनिक हरियो ठाउँको ५०० मिटर भित्र बस्छन्</t>
  </si>
  <si>
    <t>जनसंख्याको {percent} गर्मीको लागि सबैभन्दा जोखिममा रहेका क्षेत्रहरूमा बस्छन्</t>
  </si>
  <si>
    <t>شاخص پوشش گیاهی نرمال شده (NDVI)</t>
  </si>
  <si>
    <t>فضای سبز عمومی بزرگ</t>
  </si>
  <si>
    <t>دسترسی در محدوده ۵۰۰ متری</t>
  </si>
  <si>
    <t>پوشش گیاهی</t>
  </si>
  <si>
    <t>فضاهای سبز عمومی بزرگ می‌توانند با کاهش گرمای شهری، بهبود کیفیت هوا و تنوع زیستی و ترویج فعالیت بدنی، تعاملات اجتماعی و سلامت روان، مزایای متعدد بهداشتی و زیست‌محیطی را فراهم کنند.</t>
  </si>
  <si>
    <t>دسترسی به فضای سبز عمومی بزرگ</t>
  </si>
  <si>
    <t>قرار گرفتن در معرض گرمای شهری</t>
  </si>
  <si>
    <t>میانگین دمای سطح زمین برای گرم‌ترین یک سوم سال ({start_date} تا {end_date})</t>
  </si>
  <si>
    <t>آسیب‌پذیری گرمای شهری</t>
  </si>
  <si>
    <t>نابرابری‌ها در آسیب‌پذیری گرما به عنوان تابعی از قرار گرفتن در معرض گرما، حساسیت و ظرفیت سازگاری ارزیابی شدند (Turner et al, 2025; https://dx.doi.org/10.2139/ssrn.5251739).</t>
  </si>
  <si>
    <t>آسیب‌پذیری گرما</t>
  </si>
  <si>
    <t>دمای سطح زمین ({units})</t>
  </si>
  <si>
    <t>{percent} از مساحت منطقه مورد مطالعه، آستانه پوشش گیاهی میانگین سالانه NDVI ≥ 0.2 را برآورده می‌کند.</t>
  </si>
  <si>
    <t>{percent} از جمعیت در فاصله ۵۰۰ متری از فضای سبز عمومی بزرگ با حداقل ۱ هکتار مساحت زندگی می‌کنند.</t>
  </si>
  <si>
    <t>{percent} از جمعیت در مناطقی زندگی می‌کنند که بیشترین آسیب‌پذیری را در برابر گرما دارند.</t>
  </si>
  <si>
    <t>Índice de Vegetação por Diferença Normalizada (NDVI)</t>
  </si>
  <si>
    <t>Grandes espaços verdes públicos</t>
  </si>
  <si>
    <t>Acesso a menos de 500 m</t>
  </si>
  <si>
    <t>Temperatura da superfície terrestre (units)</t>
  </si>
  <si>
    <t>Grandes espaços verdes públicos podem proporcionar múltiplos benefícios para a saúde e o meio ambiente, mitigando o calor urbano, melhorando a qualidade do ar e a biodiversidade, e promovendo atividade física, interações sociais e bem-estar mental.</t>
  </si>
  <si>
    <t>{percent} da área terrestre da região de estudo atende ao limiar de vegetação de NDVI médio anual ≥ 0,2</t>
  </si>
  <si>
    <t>Acesso a grandes espaços verdes públicos</t>
  </si>
  <si>
    <t>{percent} da população vive a menos de 500 m de um grande espaço verde público com pelo menos 1 hectare de tamanho</t>
  </si>
  <si>
    <t>Exposição ao calor urbano</t>
  </si>
  <si>
    <t>Temperatura média da superfície terrestre durante o terço mais quente do ano ({start_date} a {end_date})</t>
  </si>
  <si>
    <t>Vulnerabilidade ao calor urbano</t>
  </si>
  <si>
    <t>As desigualdades na vulnerabilidade ao calor foram avaliadas em função da exposição ao calor, da sensibilidade e da capacidade adaptativa (Turner et al, 2025; https://dx.doi.org/10.2139/ssrn.5251739).</t>
  </si>
  <si>
    <t>Vulnerabilidade ao calor</t>
  </si>
  <si>
    <t>{percent} da população vive em áreas mais vulneráveis ao calor</t>
  </si>
  <si>
    <t>Os grandes espaços verdes públicos podem proporcionar múltiplos benefícios para a saúde e para o ambiente, mitigando o calor urbano, melhorando a qualidade do ar e a biodiversidade, e promovendo a atividade física, as interações sociais e o bem-estar mental.</t>
  </si>
  <si>
    <t>{percent} da área terrestre da região de estudo cumpre o limiar de vegetação de NDVI médio anual ≥ 0,2</t>
  </si>
  <si>
    <t>{percent} da população vive em zonas mais vulneráveis ao calor</t>
  </si>
  <si>
    <t>Índice de Vegetación de Diferencia Normalizada (NDVI)</t>
  </si>
  <si>
    <t>Grandes espacios verdes públicos</t>
  </si>
  <si>
    <t>Acceso a menos de 500 m</t>
  </si>
  <si>
    <t>Temperatura de la superficie terrestre (units)</t>
  </si>
  <si>
    <t>Los grandes espacios verdes públicos pueden proporcionar múltiples beneficios para la salud y el medio ambiente al mitigar el calor urbano, mejorar la calidad del aire y la biodiversidad, y promover la actividad física, las interacciones sociales y el bienestar mental.</t>
  </si>
  <si>
    <t>{percent} de la superficie terrestre de la región de estudio cumple con el umbral de vegetación de un NDVI promedio anual ≥ 0,2.</t>
  </si>
  <si>
    <t>Acceso a grandes espacios verdes públicos</t>
  </si>
  <si>
    <t>{percent} de la población vive a menos de 500 m de un gran espacio verde público de al menos 1 hectárea.</t>
  </si>
  <si>
    <t>Exposición al calor urbano</t>
  </si>
  <si>
    <t>Temperatura promedio de la superficie terrestre durante el tercio más cálido del año ({start_date} a {end_date}).</t>
  </si>
  <si>
    <t>Vulnerabilidad al calor urbano</t>
  </si>
  <si>
    <t>Las desigualdades en la vulnerabilidad al calor se evaluaron en función de la exposición al calor, la sensibilidad y la capacidad de adaptación (Turner et al., 2025; https://dx.doi.org/10.2139/ssrn.5251739).</t>
  </si>
  <si>
    <t>Vulnerabilidad al calor</t>
  </si>
  <si>
    <t>{percent} de la población vive en las zonas más vulnerables al calor.</t>
  </si>
  <si>
    <t>இயல்பாக்கப்பட்ட வேறுபாட்டுத் தாவரக் குறியீடு (NDVI)</t>
  </si>
  <si>
    <t>பெரிய பொதுப் பசுமை வெளி</t>
  </si>
  <si>
    <t>500 மீட்டருக்குள் அணுகல்</t>
  </si>
  <si>
    <t>நில மேற்பரப்பு வெப்பநிலை ({units})</t>
  </si>
  <si>
    <t>தாவரப் பரப்பு</t>
  </si>
  <si>
    <t>பெரிய பொதுப் பசுமை வெளிகள், நகர்ப்புற வெப்பத்தைத் தணித்தல், காற்றின் தரம் மற்றும் பல்லுயிர்ப் பெருக்கத்தை மேம்படுத்துதல், மேலும் உடல் செயல்பாடு, சமூகத் தொடர்புகள் மற்றும் மனநலத்தை ஊக்குவித்தல் ஆகியவற்றின் மூலம் பல சுகாதார மற்றும் சுற்றுச்சூழல் இணைப் பலன்களை வழங்க முடியும்.</t>
  </si>
  <si>
    <t>ஆய்வுப் பிராந்திய நிலப்பரப்பில் {percent} ஆண்டு சராசரி NDVI ≥ 0.2 என்ற தாவர வரம்பைப் பூர்த்தி செய்கிறது</t>
  </si>
  <si>
    <t>பெரிய பொது பசுமைவெளி அணுகல்</t>
  </si>
  <si>
    <t>{percent} மக்கள், குறைந்தது 1 ஹெக்டேர் பரப்பளவுள்ள பெரிய பொது பசுமைவெளியிலிருந்து 500 மீட்டருக்குள் வாழ்கின்றனர்</t>
  </si>
  <si>
    <t>நகர்ப்புற வெப்ப வெளிப்பாடு</t>
  </si>
  <si>
    <t>ஆண்டின் வெப்பமான மூன்றில் ஒரு பகுதிக்கான ({start_date} முதல் {end_date} வரை) சராசரி நில மேற்பரப்பு வெப்பநிலை</t>
  </si>
  <si>
    <t>நகர்ப்புற வெப்ப பாதிப்புத்தன்மை</t>
  </si>
  <si>
    <t>வெப்ப பாதிப்புத்தன்மையில் உள்ள ஏற்றத்தாழ்வுகள், வெப்ப வெளிப்பாடு, உணர்திறன் மற்றும் தகவமைப்புத் திறன் ஆகியவற்றின் செயல்பாடாக மதிப்பிடப்பட்டன (டர்னர் மற்றும் பலர், 2025; https://dx.doi.org/10.2139/ssrn.5251739).</t>
  </si>
  <si>
    <t>வெப்ப பாதிப்புத்தன்மை</t>
  </si>
  <si>
    <t>{percent} மக்கள் வெப்பத்தால் மிகவும் பாதிக்கப்படக்கூடிய பகுதிகளில் வாழ்கின்றனர்.</t>
  </si>
  <si>
    <t>ดัชนีความแตกต่างของพืชพรรณแบบนอร์มาไลซ์ (NDVI)</t>
  </si>
  <si>
    <t>พื้นที่สีเขียวสาธารณะขนาดใหญ่</t>
  </si>
  <si>
    <t>การเข้าถึงภายใน 500 เมตร</t>
  </si>
  <si>
    <t>อุณหภูมิพื้นผิว ({units})</t>
  </si>
  <si>
    <t>ความหนาแน่นของพืชพรรณ</t>
  </si>
  <si>
    <t>พื้นที่สีเขียวสาธารณะขนาดใหญ่สามารถให้ประโยชน์ร่วมกันด้านสุขภาพและสิ่งแวดล้อมได้หลายประการ เช่น บรรเทาความร้อนในเมือง ปรับปรุงคุณภาพอากาศและความหลากหลายทางชีวภาพ และส่งเสริมกิจกรรมทางกาย การปฏิสัมพันธ์ทางสังคม และสุขภาพจิตที่ดี</t>
  </si>
  <si>
    <t>{percent} ของพื้นที่ศึกษาตรงตามเกณฑ์พืชพรรณของค่าเฉลี่ย NDVI รายปี ≥ 0.2</t>
  </si>
  <si>
    <t>การเข้าถึงพื้นที่สีเขียวสาธารณะขนาดใหญ่</t>
  </si>
  <si>
    <t>{percent} ของประชากรอาศัยอยู่ภายในระยะ 500 เมตรจากพื้นที่สีเขียวสาธารณะขนาดใหญ่ที่มีขนาดอย่างน้อย 1 เฮกตาร์</t>
  </si>
  <si>
    <t>การสัมผัสความร้อนในเมือง</t>
  </si>
  <si>
    <t>อุณหภูมิพื้นผิวเฉลี่ยในช่วงหนึ่งในสามของปีที่ร้อนที่สุด ({start_date} ถึง {end_date})</t>
  </si>
  <si>
    <t>ความเปราะบางต่อความร้อนในเมือง</t>
  </si>
  <si>
    <t>ความไม่เท่าเทียมกันในความเปราะบางต่อความร้อนได้รับการประเมินโดยพิจารณาจากการสัมผัสความร้อน ความไว และความสามารถในการปรับตัว (Turner et al, 2025; https://dx.doi.org/10.2139/ssrn.5251739)</t>
  </si>
  <si>
    <t>ความเปราะบางต่อความร้อน</t>
  </si>
  <si>
    <t>{percent} ของประชากรอาศัยอยู่ในพื้นที่ที่มีความเสี่ยงต่อความร้อนมากที่สุด</t>
  </si>
  <si>
    <t>Normalleştirilmiş Fark Bitki Örtüsü İndeksi (NDVI)</t>
  </si>
  <si>
    <t>Büyük kamusal yeşil alan</t>
  </si>
  <si>
    <t>500 m içinde erişim</t>
  </si>
  <si>
    <t>Yüzey Sıcaklığı ({units})</t>
  </si>
  <si>
    <t>Bitki örtüsü</t>
  </si>
  <si>
    <t>Büyük kamusal yeşil alanlar, kentsel ısıyı azaltarak, hava kalitesini ve biyoçeşitliliği iyileştirerek ve fiziksel aktiviteyi, sosyal etkileşimleri ve zihinsel refahı teşvik ederek çok sayıda sağlık ve çevresel fayda sağlayabilir.</t>
  </si>
  <si>
    <t>Çalışma bölgesinin arazi alanının {percent}'si yıllık ortalama NDVI ≥ 0,2 bitki örtüsü eşiğini karşılıyor.</t>
  </si>
  <si>
    <t>Büyük kamusal yeşil alanlara erişim</t>
  </si>
  <si>
    <t>Nüfusun {percent}'si en az 1 hektarlık büyük kamusal yeşil alanlara 500 m mesafede yaşıyor.</t>
  </si>
  <si>
    <t>Kentsel ısıya maruz kalma</t>
  </si>
  <si>
    <t>Yılın en sıcak üçte birlik bölümü için ortalama arazi yüzey sıcaklığı ({start_date} - {end_date})</t>
  </si>
  <si>
    <t>Kentsel ısıya karşı savunmasızlık</t>
  </si>
  <si>
    <t>Isıya karşı savunmasızlıktaki eşitsizlikler, ısıya maruz kalma, hassasiyet ve adaptasyon kapasitesinin bir fonksiyonu olarak değerlendirilmiştir (Turner vd., 2025; https://dx.doi.org/10.2139/ssrn.5251739).</t>
  </si>
  <si>
    <t>Isıya karşı savunmasızlık</t>
  </si>
  <si>
    <t>Nüfusun {percent}'si ısıya karşı en savunmasız bölgelerde yaşıyor.</t>
  </si>
  <si>
    <t>Індекс нормалізованої різниці рослинності (NDVI)</t>
  </si>
  <si>
    <t>Великі громадські зелені зони</t>
  </si>
  <si>
    <t>Доступ у межах 500 м</t>
  </si>
  <si>
    <t>Температура поверхні землі ({units})</t>
  </si>
  <si>
    <t>Рослинний покрив</t>
  </si>
  <si>
    <t>Великі громадські зелені зони можуть забезпечити численні супутні переваги для здоров'я та навколишнього середовища, пом'якшуючи міську спеку, покращуючи якість повітря та біорізноманіття, а також сприяючи фізичній активності, соціальній взаємодії та психічному благополуччю.</t>
  </si>
  <si>
    <t>{percent} площі досліджуваного регіону відповідає порогу рослинності середньорічного NDVI ≥ 0,2</t>
  </si>
  <si>
    <t>Доступ до великих громадських зелених насаджень</t>
  </si>
  <si>
    <t>{percent} населення проживає в межах 500 м від великих громадських зелених насаджень площею щонайменше 1 гектар</t>
  </si>
  <si>
    <t>Вплив тепла в міському середовищі</t>
  </si>
  <si>
    <t>Середня температура поверхні землі протягом найспекотнішої третини року (з {start_date} до {end_date})</t>
  </si>
  <si>
    <t>Вразливість до тепла в міському середовищі</t>
  </si>
  <si>
    <t>Нерівність у вразливості до тепла оцінювалася як функція впливу тепла, чутливості та адаптивної здатності (Turner et al, 2025; https://dx.doi.org/10.2139/ssrn.5251739).</t>
  </si>
  <si>
    <t>Вразливість до тепла</t>
  </si>
  <si>
    <t>{percent} населення проживає в районах, найбільш вразливих до тепла</t>
  </si>
  <si>
    <t>Chỉ số thực vật khác biệt chuẩn hóa (NDVI)</t>
  </si>
  <si>
    <t>Không gian xanh công cộng rộng lớn</t>
  </si>
  <si>
    <t>Phạm vi tiếp cận trong vòng 500m</t>
  </si>
  <si>
    <t>Nhiệt độ bề mặt đất ({units})</t>
  </si>
  <si>
    <t>Độ che phủ thực vật</t>
  </si>
  <si>
    <t>Các không gian xanh công cộng rộng lớn có thể mang lại nhiều lợi ích cộng hưởng cho sức khỏe và môi trường bằng cách giảm thiểu hiện tượng đảo nhiệt đô thị, cải thiện chất lượng không khí và đa dạng sinh học, đồng thời thúc đẩy hoạt động thể chất, tương tác xã hội và sức khỏe tinh thần.</t>
  </si>
  <si>
    <t>{percent} diện tích đất vùng nghiên cứu đáp ứng ngưỡng thảm thực vật với chỉ số NDVI trung bình hàng năm ≥ 0,2</t>
  </si>
  <si>
    <t>Tiếp cận không gian xanh công cộng rộng lớn</t>
  </si>
  <si>
    <t>{percent} dân số sống trong phạm vi 500m tính từ không gian xanh công cộng rộng lớn có diện tích ít nhất 1 ha</t>
  </si>
  <si>
    <t>Tiếp xúc với nhiệt đô thị</t>
  </si>
  <si>
    <t>Nhiệt độ bề mặt đất trung bình trong một phần ba nóng nhất của năm (từ {start_date} đến {end_date})</t>
  </si>
  <si>
    <t>Tính dễ bị tổn thương do nhiệt đô thị</t>
  </si>
  <si>
    <t>Sự bất bình đẳng về tính dễ bị tổn thương do nhiệt được đánh giá dựa trên mức độ tiếp xúc với nhiệt, độ nhạy cảm và khả năng thích ứng (Turner et al, 2025; https://dx.doi.org/10.2139/ssrn.5251739).</t>
  </si>
  <si>
    <t>Tính dễ bị tổn thương do nhiệt</t>
  </si>
  <si>
    <t>{percent} dân số sống ở những khu vực dễ bị tổn thương nhất do nhiệt</t>
  </si>
  <si>
    <t>https://github.com/healthysustainablecities/global-indicators/issues/600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</si>
</sst>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
      <b/>
      <sz val="11"/>
      <color theme="0" tint="-0.499984740745262"/>
      <name val="Calibri"/>
      <family val="2"/>
      <scheme val="minor"/>
    </font>
    <font>
      <sz val="11"/>
      <color theme="0" tint="-0.499984740745262"/>
      <name val="Calibri"/>
      <family val="2"/>
      <scheme val="minor"/>
    </font>
    <font>
      <sz val="11"/>
      <name val="Calibri"/>
      <family val="2"/>
      <scheme val="minor"/>
    </font>
    <font>
      <sz val="9"/>
      <color rgb="FF202124"/>
      <name val="Consolas"/>
      <family val="3"/>
    </font>
    <font>
      <u/>
      <sz val="11"/>
      <color theme="1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52">
    <xf numFmtId="0" fontId="0" fillId="0" borderId="0" xfId="0"/>
    <xf numFmtId="0" fontId="0" fillId="0" borderId="0" xfId="0" applyAlignment="1">
      <alignment horizontal="left" vertical="center"/>
    </xf>
    <xf numFmtId="0" fontId="0" fillId="0" borderId="0" xfId="0" applyAlignment="1">
      <alignment vertical="top"/>
    </xf>
    <xf numFmtId="0" fontId="0" fillId="0" borderId="0" xfId="0" applyAlignment="1">
      <alignment vertical="top" wrapText="1"/>
    </xf>
    <xf numFmtId="0" fontId="16" fillId="0" borderId="0" xfId="0" applyFont="1"/>
    <xf numFmtId="0" fontId="0" fillId="0" borderId="0" xfId="0" applyAlignment="1">
      <alignment horizontal="left" vertical="center" wrapText="1"/>
    </xf>
    <xf numFmtId="0" fontId="16" fillId="0" borderId="10" xfId="0" applyFont="1" applyBorder="1" applyAlignment="1">
      <alignment vertical="top" wrapText="1"/>
    </xf>
    <xf numFmtId="0" fontId="16" fillId="0" borderId="11" xfId="0" applyFont="1" applyBorder="1" applyAlignment="1">
      <alignment vertical="top" wrapText="1"/>
    </xf>
    <xf numFmtId="0" fontId="0" fillId="0" borderId="13" xfId="0" applyBorder="1" applyAlignment="1">
      <alignment vertical="top" wrapText="1"/>
    </xf>
    <xf numFmtId="0" fontId="0" fillId="0" borderId="12" xfId="0" applyBorder="1" applyAlignment="1">
      <alignmen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0" xfId="0" applyBorder="1" applyAlignment="1">
      <alignment vertical="top" wrapText="1"/>
    </xf>
    <xf numFmtId="0" fontId="19" fillId="0" borderId="0" xfId="0" applyFont="1" applyAlignment="1">
      <alignment vertical="top" wrapText="1"/>
    </xf>
    <xf numFmtId="0" fontId="16" fillId="0" borderId="0" xfId="0" applyFont="1" applyAlignment="1">
      <alignment vertical="top" wrapText="1"/>
    </xf>
    <xf numFmtId="0" fontId="20" fillId="0" borderId="0" xfId="0" applyFont="1" applyAlignment="1">
      <alignment vertical="top" wrapText="1"/>
    </xf>
    <xf numFmtId="0" fontId="18" fillId="0" borderId="13" xfId="0" applyFont="1" applyBorder="1" applyAlignment="1">
      <alignment vertical="top" wrapText="1"/>
    </xf>
    <xf numFmtId="0" fontId="20" fillId="0" borderId="0" xfId="0" applyFont="1" applyAlignment="1">
      <alignment vertical="top"/>
    </xf>
    <xf numFmtId="0" fontId="0" fillId="0" borderId="0" xfId="0" applyAlignment="1">
      <alignment horizontal="left" vertical="top"/>
    </xf>
    <xf numFmtId="0" fontId="0" fillId="0" borderId="10" xfId="0" quotePrefix="1" applyBorder="1" applyAlignment="1">
      <alignment vertical="top" wrapText="1"/>
    </xf>
    <xf numFmtId="0" fontId="21" fillId="0" borderId="12" xfId="0" applyFont="1" applyBorder="1" applyAlignment="1">
      <alignment vertical="top" wrapText="1"/>
    </xf>
    <xf numFmtId="0" fontId="18" fillId="0" borderId="0" xfId="0" applyFont="1"/>
    <xf numFmtId="0" fontId="0" fillId="0" borderId="12" xfId="0" quotePrefix="1" applyBorder="1" applyAlignment="1">
      <alignment vertical="top" wrapText="1"/>
    </xf>
    <xf numFmtId="0" fontId="22" fillId="0" borderId="0" xfId="0" applyFont="1"/>
    <xf numFmtId="0" fontId="18" fillId="0" borderId="12" xfId="0" applyFont="1" applyBorder="1" applyAlignment="1">
      <alignment vertical="top" wrapText="1"/>
    </xf>
    <xf numFmtId="9" fontId="0" fillId="0" borderId="0" xfId="0" applyNumberFormat="1"/>
    <xf numFmtId="9" fontId="0" fillId="0" borderId="0" xfId="0" quotePrefix="1" applyNumberFormat="1" applyAlignment="1">
      <alignment horizontal="left" vertical="center"/>
    </xf>
    <xf numFmtId="0" fontId="0" fillId="0" borderId="0" xfId="0" applyAlignment="1">
      <alignment wrapText="1"/>
    </xf>
    <xf numFmtId="0" fontId="0" fillId="0" borderId="14" xfId="0" applyBorder="1" applyAlignment="1">
      <alignment vertical="top"/>
    </xf>
    <xf numFmtId="0" fontId="0" fillId="0" borderId="14" xfId="0" applyBorder="1"/>
    <xf numFmtId="0" fontId="16" fillId="0" borderId="16" xfId="0" applyFont="1" applyBorder="1" applyAlignment="1">
      <alignment vertical="top" wrapText="1"/>
    </xf>
    <xf numFmtId="0" fontId="0" fillId="0" borderId="16" xfId="0" applyBorder="1" applyAlignment="1">
      <alignment vertical="top"/>
    </xf>
    <xf numFmtId="0" fontId="0" fillId="0" borderId="16" xfId="0" applyBorder="1"/>
    <xf numFmtId="0" fontId="0" fillId="0" borderId="16" xfId="0" applyBorder="1" applyAlignment="1">
      <alignment wrapText="1"/>
    </xf>
    <xf numFmtId="0" fontId="16" fillId="0" borderId="17" xfId="0" applyFont="1" applyBorder="1" applyAlignment="1">
      <alignment vertical="top" wrapText="1"/>
    </xf>
    <xf numFmtId="0" fontId="16" fillId="0" borderId="17" xfId="0" applyFont="1" applyBorder="1" applyAlignment="1">
      <alignment horizontal="center" vertical="center" wrapText="1"/>
    </xf>
    <xf numFmtId="0" fontId="16" fillId="0" borderId="17" xfId="0" applyFont="1" applyBorder="1" applyAlignment="1">
      <alignment horizontal="center" vertical="top" wrapText="1"/>
    </xf>
    <xf numFmtId="0" fontId="0" fillId="0" borderId="14" xfId="0" applyBorder="1" applyAlignment="1">
      <alignment horizontal="center" vertical="top"/>
    </xf>
    <xf numFmtId="0" fontId="0" fillId="0" borderId="16" xfId="0" applyBorder="1" applyAlignment="1">
      <alignment horizontal="center" vertical="top"/>
    </xf>
    <xf numFmtId="0" fontId="0" fillId="0" borderId="16" xfId="0" applyBorder="1" applyAlignment="1">
      <alignment horizontal="center"/>
    </xf>
    <xf numFmtId="0" fontId="0" fillId="0" borderId="0" xfId="0" applyAlignment="1">
      <alignment horizontal="center"/>
    </xf>
    <xf numFmtId="0" fontId="16" fillId="0" borderId="18" xfId="0" applyFont="1" applyBorder="1" applyAlignment="1">
      <alignment horizontal="center" vertical="center" wrapText="1"/>
    </xf>
    <xf numFmtId="0" fontId="0" fillId="0" borderId="0" xfId="0" quotePrefix="1" applyAlignment="1">
      <alignment vertical="top" wrapText="1"/>
    </xf>
    <xf numFmtId="164" fontId="0" fillId="0" borderId="10" xfId="0" applyNumberFormat="1" applyBorder="1" applyAlignment="1">
      <alignment vertical="top" wrapText="1"/>
    </xf>
    <xf numFmtId="0" fontId="0" fillId="0" borderId="0" xfId="0" applyAlignment="1">
      <alignment horizontal="right" vertical="top" wrapText="1"/>
    </xf>
    <xf numFmtId="0" fontId="0" fillId="0" borderId="16" xfId="0" applyBorder="1" applyAlignment="1">
      <alignment vertical="top" wrapText="1"/>
    </xf>
    <xf numFmtId="0" fontId="0" fillId="0" borderId="13" xfId="0" applyBorder="1" applyAlignment="1">
      <alignment horizontal="right" vertical="top" wrapText="1"/>
    </xf>
    <xf numFmtId="0" fontId="0" fillId="0" borderId="0" xfId="0" applyAlignment="1">
      <alignment horizontal="left" vertical="top" wrapText="1"/>
    </xf>
    <xf numFmtId="0" fontId="16" fillId="0" borderId="15" xfId="0" applyFont="1" applyBorder="1" applyAlignment="1">
      <alignment horizontal="center" vertical="top" wrapText="1"/>
    </xf>
    <xf numFmtId="0" fontId="16" fillId="0" borderId="18" xfId="0" applyFont="1" applyBorder="1" applyAlignment="1">
      <alignment horizontal="center" vertical="top" wrapText="1"/>
    </xf>
    <xf numFmtId="0" fontId="20" fillId="33" borderId="0" xfId="0" applyFont="1" applyFill="1" applyAlignment="1">
      <alignment vertical="top"/>
    </xf>
    <xf numFmtId="0" fontId="23" fillId="33" borderId="0" xfId="42" applyFill="1" applyAlignment="1">
      <alignment vertical="top"/>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7" tint="0.59996337778862885"/>
        </patternFill>
      </fill>
    </dxf>
    <dxf>
      <fill>
        <patternFill>
          <bgColor theme="7" tint="0.59996337778862885"/>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github.com/healthysustainablecities/global-indicators/issues/600" TargetMode="External"/><Relationship Id="rId1" Type="http://schemas.openxmlformats.org/officeDocument/2006/relationships/hyperlink" Target="https://github.com/healthysustainablecities/global-indicators/issues/600"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29"/>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3</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899</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20</v>
      </c>
      <c r="F21">
        <v>196</v>
      </c>
      <c r="G21">
        <v>25</v>
      </c>
      <c r="H21" t="s">
        <v>102</v>
      </c>
      <c r="I21">
        <v>10</v>
      </c>
      <c r="J21">
        <v>0</v>
      </c>
      <c r="K21">
        <v>0</v>
      </c>
      <c r="L21">
        <v>0</v>
      </c>
      <c r="M21" t="s">
        <v>903</v>
      </c>
      <c r="N21" t="s">
        <v>947</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947</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947</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947</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947</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947</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947</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98</v>
      </c>
      <c r="F36">
        <v>210</v>
      </c>
      <c r="G36">
        <v>50</v>
      </c>
      <c r="I36">
        <v>0</v>
      </c>
      <c r="J36">
        <v>1</v>
      </c>
      <c r="K36">
        <v>0</v>
      </c>
      <c r="L36">
        <v>0</v>
      </c>
      <c r="N36" t="s">
        <v>21</v>
      </c>
      <c r="O36" t="s">
        <v>25</v>
      </c>
      <c r="Q36">
        <v>0</v>
      </c>
      <c r="R36" t="b">
        <v>0</v>
      </c>
      <c r="S36" t="s">
        <v>119</v>
      </c>
      <c r="T36">
        <v>0</v>
      </c>
    </row>
    <row r="37" spans="1:20" x14ac:dyDescent="0.25">
      <c r="A37" t="s">
        <v>1020</v>
      </c>
      <c r="B37">
        <v>3</v>
      </c>
      <c r="C37" t="s">
        <v>19</v>
      </c>
      <c r="D37">
        <v>14</v>
      </c>
      <c r="E37">
        <v>92</v>
      </c>
      <c r="F37">
        <v>196</v>
      </c>
      <c r="G37">
        <v>97</v>
      </c>
      <c r="H37" t="s">
        <v>102</v>
      </c>
      <c r="I37">
        <v>14</v>
      </c>
      <c r="J37">
        <v>1</v>
      </c>
      <c r="K37">
        <v>0</v>
      </c>
      <c r="L37">
        <v>0</v>
      </c>
      <c r="N37" t="s">
        <v>21</v>
      </c>
      <c r="O37" t="s">
        <v>25</v>
      </c>
      <c r="Q37">
        <v>3</v>
      </c>
      <c r="R37" t="b">
        <v>1</v>
      </c>
      <c r="S37" t="s">
        <v>119</v>
      </c>
      <c r="T37">
        <v>0</v>
      </c>
    </row>
    <row r="38" spans="1:20" x14ac:dyDescent="0.25">
      <c r="A38" t="s">
        <v>1021</v>
      </c>
      <c r="B38">
        <v>3</v>
      </c>
      <c r="C38" t="s">
        <v>19</v>
      </c>
      <c r="D38">
        <v>14</v>
      </c>
      <c r="E38">
        <v>101</v>
      </c>
      <c r="F38">
        <v>196</v>
      </c>
      <c r="G38">
        <v>106</v>
      </c>
      <c r="H38" t="s">
        <v>102</v>
      </c>
      <c r="I38">
        <v>12</v>
      </c>
      <c r="J38">
        <v>0</v>
      </c>
      <c r="K38">
        <v>0</v>
      </c>
      <c r="L38">
        <v>0</v>
      </c>
      <c r="N38" t="s">
        <v>21</v>
      </c>
      <c r="O38" t="s">
        <v>25</v>
      </c>
      <c r="Q38">
        <v>3</v>
      </c>
      <c r="R38" t="b">
        <v>1</v>
      </c>
      <c r="S38" t="s">
        <v>119</v>
      </c>
      <c r="T38">
        <v>0</v>
      </c>
    </row>
    <row r="39" spans="1:20" x14ac:dyDescent="0.25">
      <c r="A39" t="s">
        <v>976</v>
      </c>
      <c r="B39">
        <v>3</v>
      </c>
      <c r="C39" t="s">
        <v>19</v>
      </c>
      <c r="D39">
        <v>14</v>
      </c>
      <c r="E39">
        <v>132</v>
      </c>
      <c r="F39">
        <v>196</v>
      </c>
      <c r="G39">
        <v>137</v>
      </c>
      <c r="H39" t="s">
        <v>102</v>
      </c>
      <c r="I39">
        <v>12</v>
      </c>
      <c r="J39">
        <v>1</v>
      </c>
      <c r="K39">
        <v>0</v>
      </c>
      <c r="L39">
        <v>0</v>
      </c>
      <c r="N39" t="s">
        <v>21</v>
      </c>
      <c r="O39" t="s">
        <v>25</v>
      </c>
      <c r="Q39">
        <v>3</v>
      </c>
      <c r="R39" t="b">
        <v>1</v>
      </c>
      <c r="S39" t="s">
        <v>119</v>
      </c>
      <c r="T39">
        <v>0</v>
      </c>
    </row>
    <row r="40" spans="1:20" x14ac:dyDescent="0.25">
      <c r="A40" t="s">
        <v>5021</v>
      </c>
      <c r="B40">
        <v>3</v>
      </c>
      <c r="C40" t="s">
        <v>19</v>
      </c>
      <c r="D40">
        <v>14</v>
      </c>
      <c r="E40">
        <v>141</v>
      </c>
      <c r="F40">
        <v>196</v>
      </c>
      <c r="G40">
        <v>146</v>
      </c>
      <c r="H40" t="s">
        <v>102</v>
      </c>
      <c r="I40">
        <v>12</v>
      </c>
      <c r="J40">
        <v>0</v>
      </c>
      <c r="K40">
        <v>0</v>
      </c>
      <c r="L40">
        <v>0</v>
      </c>
      <c r="N40" t="s">
        <v>21</v>
      </c>
      <c r="O40" t="s">
        <v>25</v>
      </c>
      <c r="Q40">
        <v>3</v>
      </c>
      <c r="R40" t="b">
        <v>1</v>
      </c>
      <c r="S40" t="s">
        <v>119</v>
      </c>
      <c r="T40">
        <v>0</v>
      </c>
    </row>
    <row r="41" spans="1:20" x14ac:dyDescent="0.25">
      <c r="A41" t="s">
        <v>969</v>
      </c>
      <c r="B41">
        <v>3</v>
      </c>
      <c r="C41" t="s">
        <v>19</v>
      </c>
      <c r="D41">
        <v>14</v>
      </c>
      <c r="E41">
        <v>158</v>
      </c>
      <c r="F41">
        <v>196</v>
      </c>
      <c r="G41">
        <v>163</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167</v>
      </c>
      <c r="F42">
        <v>196</v>
      </c>
      <c r="G42">
        <v>172</v>
      </c>
      <c r="H42" t="s">
        <v>102</v>
      </c>
      <c r="I42">
        <v>12</v>
      </c>
      <c r="J42">
        <v>0</v>
      </c>
      <c r="K42">
        <v>0</v>
      </c>
      <c r="L42">
        <v>0</v>
      </c>
      <c r="N42" t="s">
        <v>21</v>
      </c>
      <c r="O42" t="s">
        <v>25</v>
      </c>
      <c r="Q42">
        <v>3</v>
      </c>
      <c r="R42" t="b">
        <v>1</v>
      </c>
      <c r="S42" t="s">
        <v>119</v>
      </c>
      <c r="T42">
        <v>0</v>
      </c>
    </row>
    <row r="43" spans="1:20" x14ac:dyDescent="0.25">
      <c r="A43" t="s">
        <v>970</v>
      </c>
      <c r="B43">
        <v>3</v>
      </c>
      <c r="C43" t="s">
        <v>19</v>
      </c>
      <c r="D43">
        <v>14</v>
      </c>
      <c r="E43">
        <v>200</v>
      </c>
      <c r="F43">
        <v>196</v>
      </c>
      <c r="G43">
        <v>205</v>
      </c>
      <c r="H43" t="s">
        <v>102</v>
      </c>
      <c r="I43">
        <v>12</v>
      </c>
      <c r="J43">
        <v>1</v>
      </c>
      <c r="K43">
        <v>0</v>
      </c>
      <c r="L43">
        <v>0</v>
      </c>
      <c r="N43" t="s">
        <v>21</v>
      </c>
      <c r="O43" t="s">
        <v>25</v>
      </c>
      <c r="Q43">
        <v>3</v>
      </c>
      <c r="R43" t="b">
        <v>1</v>
      </c>
      <c r="S43" t="s">
        <v>119</v>
      </c>
      <c r="T43">
        <v>0</v>
      </c>
    </row>
    <row r="44" spans="1:20" x14ac:dyDescent="0.25">
      <c r="A44" t="s">
        <v>1018</v>
      </c>
      <c r="B44">
        <v>3</v>
      </c>
      <c r="C44" t="s">
        <v>19</v>
      </c>
      <c r="D44">
        <v>14</v>
      </c>
      <c r="E44">
        <v>209</v>
      </c>
      <c r="F44">
        <v>196</v>
      </c>
      <c r="G44">
        <v>214</v>
      </c>
      <c r="H44" t="s">
        <v>102</v>
      </c>
      <c r="I44">
        <v>12</v>
      </c>
      <c r="J44">
        <v>0</v>
      </c>
      <c r="K44">
        <v>0</v>
      </c>
      <c r="L44">
        <v>0</v>
      </c>
      <c r="N44" t="s">
        <v>21</v>
      </c>
      <c r="O44" t="s">
        <v>25</v>
      </c>
      <c r="Q44">
        <v>3</v>
      </c>
      <c r="R44" t="b">
        <v>1</v>
      </c>
      <c r="S44" t="s">
        <v>119</v>
      </c>
      <c r="T44">
        <v>0</v>
      </c>
    </row>
    <row r="45" spans="1:20" x14ac:dyDescent="0.25">
      <c r="A45" t="s">
        <v>994</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910</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727</v>
      </c>
      <c r="B47">
        <v>4</v>
      </c>
      <c r="C47" t="s">
        <v>24</v>
      </c>
      <c r="D47">
        <v>15</v>
      </c>
      <c r="E47">
        <v>55</v>
      </c>
      <c r="F47">
        <v>196</v>
      </c>
      <c r="G47">
        <v>190</v>
      </c>
      <c r="I47">
        <v>0</v>
      </c>
      <c r="J47">
        <v>0</v>
      </c>
      <c r="K47">
        <v>0</v>
      </c>
      <c r="L47">
        <v>0</v>
      </c>
      <c r="N47" t="s">
        <v>21</v>
      </c>
      <c r="O47" t="s">
        <v>25</v>
      </c>
      <c r="Q47">
        <v>2</v>
      </c>
      <c r="R47" t="b">
        <v>0</v>
      </c>
      <c r="S47" t="s">
        <v>119</v>
      </c>
      <c r="T47">
        <v>0</v>
      </c>
    </row>
    <row r="48" spans="1:20" x14ac:dyDescent="0.25">
      <c r="A48" t="s">
        <v>989</v>
      </c>
      <c r="B48">
        <v>-999</v>
      </c>
      <c r="C48" t="s">
        <v>26</v>
      </c>
      <c r="D48">
        <v>40</v>
      </c>
      <c r="E48">
        <v>200</v>
      </c>
      <c r="F48">
        <v>170</v>
      </c>
      <c r="G48">
        <v>240</v>
      </c>
      <c r="I48">
        <v>0</v>
      </c>
      <c r="J48">
        <v>1</v>
      </c>
      <c r="K48">
        <v>0</v>
      </c>
      <c r="L48">
        <v>0</v>
      </c>
      <c r="N48" t="s">
        <v>988</v>
      </c>
      <c r="O48" t="s">
        <v>25</v>
      </c>
      <c r="Q48">
        <v>0</v>
      </c>
      <c r="R48" t="b">
        <v>0</v>
      </c>
      <c r="S48" t="s">
        <v>119</v>
      </c>
      <c r="T48">
        <v>0</v>
      </c>
    </row>
    <row r="49" spans="1:20" x14ac:dyDescent="0.25">
      <c r="A49" t="s">
        <v>990</v>
      </c>
      <c r="B49">
        <v>4</v>
      </c>
      <c r="C49" t="s">
        <v>19</v>
      </c>
      <c r="D49">
        <v>14</v>
      </c>
      <c r="E49">
        <v>202</v>
      </c>
      <c r="F49">
        <v>196</v>
      </c>
      <c r="G49">
        <v>207</v>
      </c>
      <c r="H49" t="s">
        <v>102</v>
      </c>
      <c r="I49">
        <v>10</v>
      </c>
      <c r="J49">
        <v>1</v>
      </c>
      <c r="K49">
        <v>0</v>
      </c>
      <c r="L49">
        <v>0</v>
      </c>
      <c r="N49" t="s">
        <v>21</v>
      </c>
      <c r="O49" t="s">
        <v>25</v>
      </c>
      <c r="Q49">
        <v>2</v>
      </c>
      <c r="R49" t="b">
        <v>1</v>
      </c>
      <c r="T49">
        <v>0</v>
      </c>
    </row>
    <row r="50" spans="1:20" x14ac:dyDescent="0.25">
      <c r="A50" t="s">
        <v>995</v>
      </c>
      <c r="B50">
        <v>4</v>
      </c>
      <c r="C50" t="s">
        <v>24</v>
      </c>
      <c r="D50">
        <v>14</v>
      </c>
      <c r="E50">
        <v>210</v>
      </c>
      <c r="F50">
        <v>24</v>
      </c>
      <c r="G50">
        <v>220</v>
      </c>
      <c r="I50">
        <v>0</v>
      </c>
      <c r="J50">
        <v>0</v>
      </c>
      <c r="K50">
        <v>0</v>
      </c>
      <c r="L50">
        <v>0</v>
      </c>
      <c r="N50" t="s">
        <v>21</v>
      </c>
      <c r="O50" t="s">
        <v>25</v>
      </c>
      <c r="P50" t="s">
        <v>5277</v>
      </c>
      <c r="Q50">
        <v>2</v>
      </c>
      <c r="R50" t="b">
        <v>0</v>
      </c>
      <c r="S50" t="s">
        <v>119</v>
      </c>
      <c r="T50">
        <v>0</v>
      </c>
    </row>
    <row r="51" spans="1:20" x14ac:dyDescent="0.25">
      <c r="A51" t="s">
        <v>996</v>
      </c>
      <c r="B51">
        <v>4</v>
      </c>
      <c r="C51" t="s">
        <v>24</v>
      </c>
      <c r="D51">
        <v>75</v>
      </c>
      <c r="E51">
        <v>210</v>
      </c>
      <c r="F51">
        <v>85</v>
      </c>
      <c r="G51">
        <v>220</v>
      </c>
      <c r="I51">
        <v>0</v>
      </c>
      <c r="J51">
        <v>0</v>
      </c>
      <c r="K51">
        <v>0</v>
      </c>
      <c r="L51">
        <v>0</v>
      </c>
      <c r="N51" t="s">
        <v>21</v>
      </c>
      <c r="O51" t="s">
        <v>25</v>
      </c>
      <c r="P51" t="s">
        <v>5278</v>
      </c>
      <c r="Q51">
        <v>2</v>
      </c>
      <c r="R51" t="b">
        <v>0</v>
      </c>
      <c r="S51" t="s">
        <v>119</v>
      </c>
      <c r="T51">
        <v>0</v>
      </c>
    </row>
    <row r="52" spans="1:20" x14ac:dyDescent="0.25">
      <c r="A52" t="s">
        <v>997</v>
      </c>
      <c r="B52">
        <v>4</v>
      </c>
      <c r="C52" t="s">
        <v>24</v>
      </c>
      <c r="D52">
        <v>136</v>
      </c>
      <c r="E52">
        <v>210</v>
      </c>
      <c r="F52">
        <v>146</v>
      </c>
      <c r="G52">
        <v>220</v>
      </c>
      <c r="I52">
        <v>0</v>
      </c>
      <c r="J52">
        <v>0</v>
      </c>
      <c r="K52">
        <v>0</v>
      </c>
      <c r="L52">
        <v>0</v>
      </c>
      <c r="N52" t="s">
        <v>21</v>
      </c>
      <c r="O52" t="s">
        <v>25</v>
      </c>
      <c r="P52" t="s">
        <v>5279</v>
      </c>
      <c r="Q52">
        <v>2</v>
      </c>
      <c r="R52" t="b">
        <v>0</v>
      </c>
      <c r="S52" t="s">
        <v>119</v>
      </c>
      <c r="T52">
        <v>0</v>
      </c>
    </row>
    <row r="53" spans="1:20" x14ac:dyDescent="0.25">
      <c r="A53" t="s">
        <v>991</v>
      </c>
      <c r="B53">
        <v>4</v>
      </c>
      <c r="C53" t="s">
        <v>19</v>
      </c>
      <c r="D53">
        <v>14</v>
      </c>
      <c r="E53">
        <v>222</v>
      </c>
      <c r="F53">
        <v>70</v>
      </c>
      <c r="G53">
        <v>227</v>
      </c>
      <c r="H53" t="s">
        <v>102</v>
      </c>
      <c r="I53">
        <v>10</v>
      </c>
      <c r="J53">
        <v>0</v>
      </c>
      <c r="K53">
        <v>0</v>
      </c>
      <c r="L53">
        <v>0</v>
      </c>
      <c r="N53" t="s">
        <v>21</v>
      </c>
      <c r="O53" t="s">
        <v>25</v>
      </c>
      <c r="Q53">
        <v>2</v>
      </c>
      <c r="R53" t="b">
        <v>1</v>
      </c>
      <c r="T53">
        <v>0</v>
      </c>
    </row>
    <row r="54" spans="1:20" x14ac:dyDescent="0.25">
      <c r="A54" t="s">
        <v>992</v>
      </c>
      <c r="B54">
        <v>4</v>
      </c>
      <c r="C54" t="s">
        <v>19</v>
      </c>
      <c r="D54">
        <v>75</v>
      </c>
      <c r="E54">
        <v>222</v>
      </c>
      <c r="F54">
        <v>131</v>
      </c>
      <c r="G54">
        <v>227</v>
      </c>
      <c r="H54" t="s">
        <v>102</v>
      </c>
      <c r="I54">
        <v>10</v>
      </c>
      <c r="J54">
        <v>0</v>
      </c>
      <c r="K54">
        <v>0</v>
      </c>
      <c r="L54">
        <v>0</v>
      </c>
      <c r="N54" t="s">
        <v>21</v>
      </c>
      <c r="O54" t="s">
        <v>25</v>
      </c>
      <c r="Q54">
        <v>2</v>
      </c>
      <c r="R54" t="b">
        <v>1</v>
      </c>
      <c r="T54">
        <v>0</v>
      </c>
    </row>
    <row r="55" spans="1:20" x14ac:dyDescent="0.25">
      <c r="A55" t="s">
        <v>993</v>
      </c>
      <c r="B55">
        <v>4</v>
      </c>
      <c r="C55" t="s">
        <v>19</v>
      </c>
      <c r="D55">
        <v>136</v>
      </c>
      <c r="E55">
        <v>222</v>
      </c>
      <c r="F55">
        <v>196</v>
      </c>
      <c r="G55">
        <v>227</v>
      </c>
      <c r="H55" t="s">
        <v>102</v>
      </c>
      <c r="I55">
        <v>10</v>
      </c>
      <c r="J55">
        <v>0</v>
      </c>
      <c r="K55">
        <v>0</v>
      </c>
      <c r="L55">
        <v>0</v>
      </c>
      <c r="N55" t="s">
        <v>21</v>
      </c>
      <c r="O55" t="s">
        <v>25</v>
      </c>
      <c r="Q55">
        <v>2</v>
      </c>
      <c r="R55" t="b">
        <v>1</v>
      </c>
      <c r="T55">
        <v>0</v>
      </c>
    </row>
    <row r="56" spans="1:20" x14ac:dyDescent="0.25">
      <c r="A56" t="s">
        <v>863</v>
      </c>
      <c r="B56">
        <v>5</v>
      </c>
      <c r="C56" t="s">
        <v>19</v>
      </c>
      <c r="D56">
        <v>14</v>
      </c>
      <c r="E56">
        <v>20</v>
      </c>
      <c r="F56">
        <v>196</v>
      </c>
      <c r="G56">
        <v>25</v>
      </c>
      <c r="H56" t="s">
        <v>102</v>
      </c>
      <c r="I56">
        <v>14</v>
      </c>
      <c r="J56">
        <v>1</v>
      </c>
      <c r="K56">
        <v>0</v>
      </c>
      <c r="L56">
        <v>0</v>
      </c>
      <c r="N56" t="s">
        <v>21</v>
      </c>
      <c r="O56" t="s">
        <v>25</v>
      </c>
      <c r="Q56">
        <v>3</v>
      </c>
      <c r="R56" t="b">
        <v>1</v>
      </c>
      <c r="S56" t="s">
        <v>119</v>
      </c>
      <c r="T56">
        <v>0</v>
      </c>
    </row>
    <row r="57" spans="1:20" x14ac:dyDescent="0.25">
      <c r="A57" t="s">
        <v>801</v>
      </c>
      <c r="B57">
        <v>5</v>
      </c>
      <c r="C57" t="s">
        <v>19</v>
      </c>
      <c r="D57">
        <v>14</v>
      </c>
      <c r="E57">
        <v>33</v>
      </c>
      <c r="F57">
        <v>196</v>
      </c>
      <c r="G57">
        <v>38</v>
      </c>
      <c r="H57" t="s">
        <v>102</v>
      </c>
      <c r="I57">
        <v>12</v>
      </c>
      <c r="J57">
        <v>0</v>
      </c>
      <c r="K57">
        <v>0</v>
      </c>
      <c r="L57">
        <v>0</v>
      </c>
      <c r="N57" t="s">
        <v>21</v>
      </c>
      <c r="O57" t="s">
        <v>25</v>
      </c>
      <c r="Q57">
        <v>3</v>
      </c>
      <c r="R57" t="b">
        <v>1</v>
      </c>
      <c r="S57" t="s">
        <v>119</v>
      </c>
      <c r="T57">
        <v>0</v>
      </c>
    </row>
    <row r="58" spans="1:20" x14ac:dyDescent="0.25">
      <c r="A58" t="s">
        <v>966</v>
      </c>
      <c r="B58">
        <v>5</v>
      </c>
      <c r="C58" t="s">
        <v>26</v>
      </c>
      <c r="D58">
        <v>30</v>
      </c>
      <c r="E58">
        <v>85</v>
      </c>
      <c r="F58">
        <v>170</v>
      </c>
      <c r="G58">
        <v>152</v>
      </c>
      <c r="I58">
        <v>0</v>
      </c>
      <c r="J58">
        <v>1</v>
      </c>
      <c r="K58">
        <v>0</v>
      </c>
      <c r="L58">
        <v>0</v>
      </c>
      <c r="M58" t="s">
        <v>665</v>
      </c>
      <c r="N58" t="s">
        <v>665</v>
      </c>
      <c r="O58" t="s">
        <v>25</v>
      </c>
      <c r="Q58">
        <v>1</v>
      </c>
      <c r="R58" t="b">
        <v>0</v>
      </c>
      <c r="S58" t="s">
        <v>119</v>
      </c>
      <c r="T58">
        <v>0</v>
      </c>
    </row>
    <row r="59" spans="1:20" x14ac:dyDescent="0.25">
      <c r="A59" t="s">
        <v>35</v>
      </c>
      <c r="B59">
        <v>5</v>
      </c>
      <c r="C59" t="s">
        <v>19</v>
      </c>
      <c r="D59">
        <v>40</v>
      </c>
      <c r="E59">
        <v>93</v>
      </c>
      <c r="F59">
        <v>160</v>
      </c>
      <c r="G59">
        <v>98</v>
      </c>
      <c r="H59" t="s">
        <v>102</v>
      </c>
      <c r="I59">
        <v>16</v>
      </c>
      <c r="J59">
        <v>1</v>
      </c>
      <c r="K59">
        <v>0</v>
      </c>
      <c r="L59">
        <v>0</v>
      </c>
      <c r="N59" t="s">
        <v>665</v>
      </c>
      <c r="O59" t="s">
        <v>27</v>
      </c>
      <c r="Q59">
        <v>3</v>
      </c>
      <c r="R59" t="b">
        <v>1</v>
      </c>
      <c r="S59" t="s">
        <v>119</v>
      </c>
      <c r="T59">
        <v>0</v>
      </c>
    </row>
    <row r="60" spans="1:20" x14ac:dyDescent="0.25">
      <c r="A60" t="s">
        <v>104</v>
      </c>
      <c r="B60">
        <v>5</v>
      </c>
      <c r="C60" t="s">
        <v>19</v>
      </c>
      <c r="D60">
        <v>40</v>
      </c>
      <c r="E60">
        <v>106</v>
      </c>
      <c r="F60">
        <v>160</v>
      </c>
      <c r="G60">
        <v>114</v>
      </c>
      <c r="H60" t="s">
        <v>102</v>
      </c>
      <c r="I60">
        <v>16</v>
      </c>
      <c r="J60">
        <v>0</v>
      </c>
      <c r="K60">
        <v>1</v>
      </c>
      <c r="L60">
        <v>0</v>
      </c>
      <c r="N60" t="s">
        <v>665</v>
      </c>
      <c r="O60" t="s">
        <v>27</v>
      </c>
      <c r="Q60">
        <v>2</v>
      </c>
      <c r="R60" t="b">
        <v>1</v>
      </c>
      <c r="S60" t="s">
        <v>119</v>
      </c>
      <c r="T60">
        <v>0</v>
      </c>
    </row>
    <row r="61" spans="1:20" x14ac:dyDescent="0.25">
      <c r="A61" t="s">
        <v>56</v>
      </c>
      <c r="B61">
        <v>5</v>
      </c>
      <c r="C61" t="s">
        <v>19</v>
      </c>
      <c r="D61">
        <v>40</v>
      </c>
      <c r="E61">
        <v>134</v>
      </c>
      <c r="F61">
        <v>160</v>
      </c>
      <c r="G61">
        <v>140</v>
      </c>
      <c r="H61" t="s">
        <v>102</v>
      </c>
      <c r="I61">
        <v>20</v>
      </c>
      <c r="J61">
        <v>1</v>
      </c>
      <c r="K61">
        <v>0</v>
      </c>
      <c r="L61">
        <v>0</v>
      </c>
      <c r="N61" t="s">
        <v>665</v>
      </c>
      <c r="O61" t="s">
        <v>27</v>
      </c>
      <c r="P61" t="s">
        <v>963</v>
      </c>
      <c r="Q61">
        <v>3</v>
      </c>
      <c r="R61" t="b">
        <v>1</v>
      </c>
      <c r="S61" t="s">
        <v>119</v>
      </c>
      <c r="T61">
        <v>0</v>
      </c>
    </row>
    <row r="62" spans="1:20" x14ac:dyDescent="0.25">
      <c r="A62" t="s">
        <v>965</v>
      </c>
      <c r="B62">
        <v>5</v>
      </c>
      <c r="C62" t="s">
        <v>26</v>
      </c>
      <c r="D62">
        <v>30</v>
      </c>
      <c r="E62">
        <v>182</v>
      </c>
      <c r="F62">
        <v>170</v>
      </c>
      <c r="G62">
        <v>249</v>
      </c>
      <c r="I62">
        <v>0</v>
      </c>
      <c r="J62">
        <v>1</v>
      </c>
      <c r="K62">
        <v>0</v>
      </c>
      <c r="L62">
        <v>0</v>
      </c>
      <c r="M62" t="s">
        <v>967</v>
      </c>
      <c r="N62" t="s">
        <v>967</v>
      </c>
      <c r="O62" t="s">
        <v>25</v>
      </c>
      <c r="Q62">
        <v>1</v>
      </c>
      <c r="R62" t="b">
        <v>0</v>
      </c>
      <c r="S62" t="s">
        <v>119</v>
      </c>
      <c r="T62">
        <v>0</v>
      </c>
    </row>
    <row r="63" spans="1:20" x14ac:dyDescent="0.25">
      <c r="A63" t="s">
        <v>36</v>
      </c>
      <c r="B63">
        <v>5</v>
      </c>
      <c r="C63" t="s">
        <v>19</v>
      </c>
      <c r="D63">
        <v>40</v>
      </c>
      <c r="E63">
        <v>190</v>
      </c>
      <c r="F63">
        <v>160</v>
      </c>
      <c r="G63">
        <v>195</v>
      </c>
      <c r="H63" t="s">
        <v>102</v>
      </c>
      <c r="I63">
        <v>16</v>
      </c>
      <c r="J63">
        <v>1</v>
      </c>
      <c r="K63">
        <v>0</v>
      </c>
      <c r="L63">
        <v>0</v>
      </c>
      <c r="N63" t="s">
        <v>967</v>
      </c>
      <c r="O63" t="s">
        <v>27</v>
      </c>
      <c r="Q63">
        <v>3</v>
      </c>
      <c r="R63" t="b">
        <v>1</v>
      </c>
      <c r="S63" t="s">
        <v>119</v>
      </c>
      <c r="T63">
        <v>0</v>
      </c>
    </row>
    <row r="64" spans="1:20" x14ac:dyDescent="0.25">
      <c r="A64" t="s">
        <v>105</v>
      </c>
      <c r="B64">
        <v>5</v>
      </c>
      <c r="C64" t="s">
        <v>19</v>
      </c>
      <c r="D64">
        <v>40</v>
      </c>
      <c r="E64">
        <v>203</v>
      </c>
      <c r="F64">
        <v>160</v>
      </c>
      <c r="G64">
        <v>211</v>
      </c>
      <c r="H64" t="s">
        <v>102</v>
      </c>
      <c r="I64">
        <v>16</v>
      </c>
      <c r="J64">
        <v>0</v>
      </c>
      <c r="K64">
        <v>1</v>
      </c>
      <c r="L64">
        <v>0</v>
      </c>
      <c r="N64" t="s">
        <v>967</v>
      </c>
      <c r="O64" t="s">
        <v>27</v>
      </c>
      <c r="Q64">
        <v>2</v>
      </c>
      <c r="R64" t="b">
        <v>1</v>
      </c>
      <c r="S64" t="s">
        <v>119</v>
      </c>
      <c r="T64">
        <v>0</v>
      </c>
    </row>
    <row r="65" spans="1:20" x14ac:dyDescent="0.25">
      <c r="A65" t="s">
        <v>57</v>
      </c>
      <c r="B65">
        <v>5</v>
      </c>
      <c r="C65" t="s">
        <v>19</v>
      </c>
      <c r="D65">
        <v>40</v>
      </c>
      <c r="E65">
        <v>231</v>
      </c>
      <c r="F65">
        <v>160</v>
      </c>
      <c r="G65">
        <v>237</v>
      </c>
      <c r="H65" t="s">
        <v>102</v>
      </c>
      <c r="I65">
        <v>20</v>
      </c>
      <c r="J65">
        <v>1</v>
      </c>
      <c r="K65">
        <v>0</v>
      </c>
      <c r="L65">
        <v>0</v>
      </c>
      <c r="N65" t="s">
        <v>967</v>
      </c>
      <c r="O65" t="s">
        <v>27</v>
      </c>
      <c r="P65" t="s">
        <v>964</v>
      </c>
      <c r="Q65">
        <v>3</v>
      </c>
      <c r="R65" t="b">
        <v>1</v>
      </c>
      <c r="S65" t="s">
        <v>119</v>
      </c>
      <c r="T65">
        <v>0</v>
      </c>
    </row>
    <row r="66" spans="1:20" x14ac:dyDescent="0.25">
      <c r="A66" t="s">
        <v>972</v>
      </c>
      <c r="B66">
        <v>6</v>
      </c>
      <c r="C66" t="s">
        <v>26</v>
      </c>
      <c r="D66">
        <v>14</v>
      </c>
      <c r="E66">
        <v>45</v>
      </c>
      <c r="F66">
        <v>196</v>
      </c>
      <c r="G66">
        <v>244</v>
      </c>
      <c r="I66">
        <v>0</v>
      </c>
      <c r="J66">
        <v>0</v>
      </c>
      <c r="K66">
        <v>0</v>
      </c>
      <c r="L66">
        <v>0</v>
      </c>
      <c r="N66" t="s">
        <v>21</v>
      </c>
      <c r="O66" t="s">
        <v>25</v>
      </c>
      <c r="Q66">
        <v>1</v>
      </c>
      <c r="R66" t="b">
        <v>0</v>
      </c>
      <c r="S66" t="s">
        <v>119</v>
      </c>
      <c r="T66">
        <v>0</v>
      </c>
    </row>
    <row r="67" spans="1:20" x14ac:dyDescent="0.25">
      <c r="A67" t="s">
        <v>805</v>
      </c>
      <c r="B67">
        <v>6</v>
      </c>
      <c r="C67" t="s">
        <v>19</v>
      </c>
      <c r="D67">
        <v>20</v>
      </c>
      <c r="E67">
        <v>51</v>
      </c>
      <c r="F67">
        <v>194</v>
      </c>
      <c r="G67">
        <v>56</v>
      </c>
      <c r="H67" t="s">
        <v>102</v>
      </c>
      <c r="I67">
        <v>12</v>
      </c>
      <c r="J67">
        <v>1</v>
      </c>
      <c r="K67">
        <v>0</v>
      </c>
      <c r="L67">
        <v>0</v>
      </c>
      <c r="N67" t="s">
        <v>21</v>
      </c>
      <c r="O67" t="s">
        <v>25</v>
      </c>
      <c r="Q67">
        <v>2</v>
      </c>
      <c r="R67" t="b">
        <v>1</v>
      </c>
      <c r="S67" t="s">
        <v>119</v>
      </c>
      <c r="T67">
        <v>0</v>
      </c>
    </row>
    <row r="68" spans="1:20" x14ac:dyDescent="0.25">
      <c r="A68" t="s">
        <v>804</v>
      </c>
      <c r="B68">
        <v>6</v>
      </c>
      <c r="C68" t="s">
        <v>19</v>
      </c>
      <c r="D68">
        <v>20</v>
      </c>
      <c r="E68">
        <v>64</v>
      </c>
      <c r="F68">
        <v>194</v>
      </c>
      <c r="G68">
        <v>69</v>
      </c>
      <c r="H68" t="s">
        <v>102</v>
      </c>
      <c r="I68">
        <v>12</v>
      </c>
      <c r="J68">
        <v>0</v>
      </c>
      <c r="K68">
        <v>0</v>
      </c>
      <c r="L68">
        <v>0</v>
      </c>
      <c r="N68" t="s">
        <v>21</v>
      </c>
      <c r="O68" t="s">
        <v>25</v>
      </c>
      <c r="P68" s="1"/>
      <c r="Q68">
        <v>1</v>
      </c>
      <c r="R68" t="b">
        <v>1</v>
      </c>
      <c r="S68" t="s">
        <v>119</v>
      </c>
      <c r="T68">
        <v>0</v>
      </c>
    </row>
    <row r="69" spans="1:20" x14ac:dyDescent="0.25">
      <c r="A69" t="s">
        <v>1005</v>
      </c>
      <c r="B69">
        <v>6</v>
      </c>
      <c r="C69" t="s">
        <v>24</v>
      </c>
      <c r="D69">
        <v>14</v>
      </c>
      <c r="E69">
        <v>130</v>
      </c>
      <c r="F69">
        <v>196</v>
      </c>
      <c r="G69">
        <v>225</v>
      </c>
      <c r="I69">
        <v>0</v>
      </c>
      <c r="J69">
        <v>0</v>
      </c>
      <c r="K69">
        <v>0</v>
      </c>
      <c r="L69">
        <v>0</v>
      </c>
      <c r="N69" t="s">
        <v>21</v>
      </c>
      <c r="O69" t="s">
        <v>25</v>
      </c>
      <c r="P69" s="1" t="s">
        <v>1006</v>
      </c>
      <c r="Q69">
        <v>1</v>
      </c>
      <c r="R69" t="b">
        <v>1</v>
      </c>
      <c r="S69" t="s">
        <v>119</v>
      </c>
      <c r="T69">
        <v>0</v>
      </c>
    </row>
    <row r="70" spans="1:20" x14ac:dyDescent="0.25">
      <c r="A70" t="s">
        <v>81</v>
      </c>
      <c r="B70">
        <v>6</v>
      </c>
      <c r="C70" t="s">
        <v>19</v>
      </c>
      <c r="D70">
        <v>78</v>
      </c>
      <c r="E70">
        <v>223</v>
      </c>
      <c r="F70">
        <v>102</v>
      </c>
      <c r="G70">
        <v>226</v>
      </c>
      <c r="H70" t="s">
        <v>102</v>
      </c>
      <c r="I70">
        <v>8</v>
      </c>
      <c r="J70">
        <v>0</v>
      </c>
      <c r="K70">
        <v>0</v>
      </c>
      <c r="L70">
        <v>0</v>
      </c>
      <c r="M70" t="s">
        <v>884</v>
      </c>
      <c r="O70" t="s">
        <v>25</v>
      </c>
      <c r="Q70">
        <v>3</v>
      </c>
      <c r="R70" t="b">
        <v>1</v>
      </c>
      <c r="T70">
        <v>0</v>
      </c>
    </row>
    <row r="71" spans="1:20" x14ac:dyDescent="0.25">
      <c r="A71" t="s">
        <v>83</v>
      </c>
      <c r="B71">
        <v>6</v>
      </c>
      <c r="C71" t="s">
        <v>19</v>
      </c>
      <c r="D71">
        <v>114</v>
      </c>
      <c r="E71">
        <v>223</v>
      </c>
      <c r="F71">
        <v>129</v>
      </c>
      <c r="G71">
        <v>226</v>
      </c>
      <c r="H71" t="s">
        <v>102</v>
      </c>
      <c r="I71">
        <v>8</v>
      </c>
      <c r="J71">
        <v>0</v>
      </c>
      <c r="K71">
        <v>0</v>
      </c>
      <c r="L71">
        <v>0</v>
      </c>
      <c r="M71" t="s">
        <v>884</v>
      </c>
      <c r="O71" t="s">
        <v>22</v>
      </c>
      <c r="Q71">
        <v>3</v>
      </c>
      <c r="R71" t="b">
        <v>1</v>
      </c>
      <c r="T71">
        <v>0</v>
      </c>
    </row>
    <row r="72" spans="1:20" x14ac:dyDescent="0.25">
      <c r="A72" t="s">
        <v>614</v>
      </c>
      <c r="B72">
        <v>6</v>
      </c>
      <c r="C72" t="s">
        <v>19</v>
      </c>
      <c r="D72">
        <v>66</v>
      </c>
      <c r="E72">
        <v>228</v>
      </c>
      <c r="F72">
        <v>141</v>
      </c>
      <c r="G72">
        <v>231</v>
      </c>
      <c r="H72" t="s">
        <v>102</v>
      </c>
      <c r="I72">
        <v>8</v>
      </c>
      <c r="J72">
        <v>0</v>
      </c>
      <c r="K72">
        <v>1</v>
      </c>
      <c r="L72">
        <v>0</v>
      </c>
      <c r="M72" t="s">
        <v>884</v>
      </c>
      <c r="O72" t="s">
        <v>27</v>
      </c>
      <c r="Q72">
        <v>3</v>
      </c>
      <c r="R72" t="b">
        <v>1</v>
      </c>
      <c r="T72">
        <v>0</v>
      </c>
    </row>
    <row r="73" spans="1:20" x14ac:dyDescent="0.25">
      <c r="A73" t="s">
        <v>1026</v>
      </c>
      <c r="B73">
        <v>6</v>
      </c>
      <c r="C73" t="s">
        <v>26</v>
      </c>
      <c r="D73">
        <v>64</v>
      </c>
      <c r="E73">
        <v>214</v>
      </c>
      <c r="F73">
        <v>143</v>
      </c>
      <c r="G73">
        <v>236</v>
      </c>
      <c r="I73">
        <v>0</v>
      </c>
      <c r="J73">
        <v>0</v>
      </c>
      <c r="K73">
        <v>0</v>
      </c>
      <c r="L73">
        <v>0</v>
      </c>
      <c r="O73" t="s">
        <v>25</v>
      </c>
      <c r="Q73">
        <v>1</v>
      </c>
      <c r="R73" t="b">
        <v>0</v>
      </c>
      <c r="S73" t="s">
        <v>119</v>
      </c>
      <c r="T73">
        <v>0</v>
      </c>
    </row>
    <row r="74" spans="1:20" x14ac:dyDescent="0.25">
      <c r="A74" t="s">
        <v>777</v>
      </c>
      <c r="B74">
        <v>7</v>
      </c>
      <c r="C74" t="s">
        <v>19</v>
      </c>
      <c r="D74">
        <v>14</v>
      </c>
      <c r="E74">
        <v>20</v>
      </c>
      <c r="F74">
        <v>196</v>
      </c>
      <c r="G74">
        <v>25</v>
      </c>
      <c r="H74" t="s">
        <v>102</v>
      </c>
      <c r="I74">
        <v>14</v>
      </c>
      <c r="J74">
        <v>1</v>
      </c>
      <c r="K74">
        <v>0</v>
      </c>
      <c r="L74">
        <v>0</v>
      </c>
      <c r="N74" t="s">
        <v>21</v>
      </c>
      <c r="O74" t="s">
        <v>25</v>
      </c>
      <c r="Q74">
        <v>3</v>
      </c>
      <c r="R74" t="b">
        <v>1</v>
      </c>
      <c r="S74" t="s">
        <v>119</v>
      </c>
      <c r="T74">
        <v>0</v>
      </c>
    </row>
    <row r="75" spans="1:20" x14ac:dyDescent="0.25">
      <c r="A75" t="s">
        <v>917</v>
      </c>
      <c r="B75">
        <v>7</v>
      </c>
      <c r="C75" t="s">
        <v>19</v>
      </c>
      <c r="D75">
        <v>14</v>
      </c>
      <c r="E75">
        <v>33</v>
      </c>
      <c r="F75">
        <v>196</v>
      </c>
      <c r="G75">
        <v>38</v>
      </c>
      <c r="H75" t="s">
        <v>102</v>
      </c>
      <c r="I75">
        <v>12</v>
      </c>
      <c r="J75">
        <v>0</v>
      </c>
      <c r="K75">
        <v>0</v>
      </c>
      <c r="L75">
        <v>0</v>
      </c>
      <c r="N75" t="s">
        <v>21</v>
      </c>
      <c r="O75" t="s">
        <v>25</v>
      </c>
      <c r="Q75">
        <v>3</v>
      </c>
      <c r="R75" t="b">
        <v>1</v>
      </c>
      <c r="T75">
        <v>0</v>
      </c>
    </row>
    <row r="76" spans="1:20" x14ac:dyDescent="0.25">
      <c r="A76" t="s">
        <v>769</v>
      </c>
      <c r="B76">
        <v>7</v>
      </c>
      <c r="C76" t="s">
        <v>26</v>
      </c>
      <c r="D76">
        <v>0</v>
      </c>
      <c r="E76">
        <v>85</v>
      </c>
      <c r="F76">
        <v>210</v>
      </c>
      <c r="G76">
        <v>198</v>
      </c>
      <c r="I76">
        <v>0</v>
      </c>
      <c r="J76">
        <v>1</v>
      </c>
      <c r="K76">
        <v>0</v>
      </c>
      <c r="L76">
        <v>0</v>
      </c>
      <c r="M76" t="s">
        <v>918</v>
      </c>
      <c r="N76" t="s">
        <v>918</v>
      </c>
      <c r="O76" t="s">
        <v>25</v>
      </c>
      <c r="Q76">
        <v>1</v>
      </c>
      <c r="R76" t="b">
        <v>0</v>
      </c>
      <c r="S76" t="s">
        <v>119</v>
      </c>
      <c r="T76">
        <v>0</v>
      </c>
    </row>
    <row r="77" spans="1:20" x14ac:dyDescent="0.25">
      <c r="A77" t="s">
        <v>770</v>
      </c>
      <c r="B77">
        <v>7</v>
      </c>
      <c r="C77" t="s">
        <v>19</v>
      </c>
      <c r="D77">
        <v>14</v>
      </c>
      <c r="E77">
        <v>90</v>
      </c>
      <c r="F77">
        <v>196</v>
      </c>
      <c r="G77">
        <v>93</v>
      </c>
      <c r="H77" t="s">
        <v>102</v>
      </c>
      <c r="I77">
        <v>12</v>
      </c>
      <c r="J77">
        <v>1</v>
      </c>
      <c r="K77">
        <v>0</v>
      </c>
      <c r="L77">
        <v>0</v>
      </c>
      <c r="N77" t="s">
        <v>918</v>
      </c>
      <c r="O77" t="s">
        <v>25</v>
      </c>
      <c r="Q77">
        <v>3</v>
      </c>
      <c r="R77" t="b">
        <v>0</v>
      </c>
      <c r="S77" t="s">
        <v>119</v>
      </c>
      <c r="T77">
        <v>0</v>
      </c>
    </row>
    <row r="78" spans="1:20" x14ac:dyDescent="0.25">
      <c r="A78" t="s">
        <v>774</v>
      </c>
      <c r="B78">
        <v>7</v>
      </c>
      <c r="C78" t="s">
        <v>19</v>
      </c>
      <c r="D78">
        <v>113</v>
      </c>
      <c r="E78">
        <v>87</v>
      </c>
      <c r="F78">
        <v>140</v>
      </c>
      <c r="G78">
        <v>92</v>
      </c>
      <c r="H78" t="s">
        <v>102</v>
      </c>
      <c r="I78">
        <v>10</v>
      </c>
      <c r="J78">
        <v>1</v>
      </c>
      <c r="K78">
        <v>0</v>
      </c>
      <c r="L78">
        <v>0</v>
      </c>
      <c r="N78" t="s">
        <v>918</v>
      </c>
      <c r="O78" t="s">
        <v>27</v>
      </c>
      <c r="Q78">
        <v>3</v>
      </c>
      <c r="R78" t="b">
        <v>1</v>
      </c>
      <c r="S78" t="s">
        <v>119</v>
      </c>
      <c r="T78">
        <v>0</v>
      </c>
    </row>
    <row r="79" spans="1:20" x14ac:dyDescent="0.25">
      <c r="A79" t="s">
        <v>775</v>
      </c>
      <c r="B79">
        <v>7</v>
      </c>
      <c r="C79" t="s">
        <v>19</v>
      </c>
      <c r="D79">
        <v>140</v>
      </c>
      <c r="E79">
        <v>87</v>
      </c>
      <c r="F79">
        <v>169</v>
      </c>
      <c r="G79">
        <v>92</v>
      </c>
      <c r="H79" t="s">
        <v>102</v>
      </c>
      <c r="I79">
        <v>10</v>
      </c>
      <c r="J79">
        <v>1</v>
      </c>
      <c r="K79">
        <v>0</v>
      </c>
      <c r="L79">
        <v>0</v>
      </c>
      <c r="N79" t="s">
        <v>918</v>
      </c>
      <c r="O79" t="s">
        <v>27</v>
      </c>
      <c r="Q79">
        <v>3</v>
      </c>
      <c r="R79" t="b">
        <v>1</v>
      </c>
      <c r="S79" t="s">
        <v>119</v>
      </c>
      <c r="T79">
        <v>0</v>
      </c>
    </row>
    <row r="80" spans="1:20" x14ac:dyDescent="0.25">
      <c r="A80" t="s">
        <v>776</v>
      </c>
      <c r="B80">
        <v>7</v>
      </c>
      <c r="C80" t="s">
        <v>19</v>
      </c>
      <c r="D80">
        <v>168</v>
      </c>
      <c r="E80">
        <v>87</v>
      </c>
      <c r="F80">
        <v>194</v>
      </c>
      <c r="G80">
        <v>92</v>
      </c>
      <c r="H80" t="s">
        <v>102</v>
      </c>
      <c r="I80">
        <v>10</v>
      </c>
      <c r="J80">
        <v>1</v>
      </c>
      <c r="K80">
        <v>0</v>
      </c>
      <c r="L80">
        <v>0</v>
      </c>
      <c r="N80" t="s">
        <v>918</v>
      </c>
      <c r="O80" t="s">
        <v>27</v>
      </c>
      <c r="Q80">
        <v>3</v>
      </c>
      <c r="R80" t="b">
        <v>1</v>
      </c>
      <c r="S80" t="s">
        <v>119</v>
      </c>
      <c r="T80">
        <v>0</v>
      </c>
    </row>
    <row r="81" spans="1:20" x14ac:dyDescent="0.25">
      <c r="A81" t="s">
        <v>44</v>
      </c>
      <c r="B81">
        <v>7</v>
      </c>
      <c r="C81" t="s">
        <v>25</v>
      </c>
      <c r="D81">
        <v>114</v>
      </c>
      <c r="E81">
        <v>85</v>
      </c>
      <c r="F81">
        <v>114</v>
      </c>
      <c r="G81">
        <v>198</v>
      </c>
      <c r="I81">
        <v>0.5</v>
      </c>
      <c r="J81">
        <v>0</v>
      </c>
      <c r="K81">
        <v>0</v>
      </c>
      <c r="L81">
        <v>0</v>
      </c>
      <c r="M81" t="s">
        <v>21</v>
      </c>
      <c r="N81" t="s">
        <v>918</v>
      </c>
      <c r="O81" t="s">
        <v>25</v>
      </c>
      <c r="Q81">
        <v>4</v>
      </c>
      <c r="R81" t="b">
        <v>0</v>
      </c>
      <c r="S81" t="s">
        <v>119</v>
      </c>
      <c r="T81">
        <v>0</v>
      </c>
    </row>
    <row r="82" spans="1:20" x14ac:dyDescent="0.25">
      <c r="A82" t="s">
        <v>45</v>
      </c>
      <c r="B82">
        <v>7</v>
      </c>
      <c r="C82" t="s">
        <v>25</v>
      </c>
      <c r="D82">
        <v>141</v>
      </c>
      <c r="E82">
        <v>85</v>
      </c>
      <c r="F82">
        <v>141</v>
      </c>
      <c r="G82">
        <v>198</v>
      </c>
      <c r="I82">
        <v>0.5</v>
      </c>
      <c r="J82">
        <v>0</v>
      </c>
      <c r="K82">
        <v>0</v>
      </c>
      <c r="L82">
        <v>0</v>
      </c>
      <c r="M82" t="s">
        <v>21</v>
      </c>
      <c r="N82" t="s">
        <v>918</v>
      </c>
      <c r="O82" t="s">
        <v>25</v>
      </c>
      <c r="Q82">
        <v>4</v>
      </c>
      <c r="R82" t="b">
        <v>0</v>
      </c>
      <c r="S82" t="s">
        <v>119</v>
      </c>
      <c r="T82">
        <v>0</v>
      </c>
    </row>
    <row r="83" spans="1:20" x14ac:dyDescent="0.25">
      <c r="A83" t="s">
        <v>46</v>
      </c>
      <c r="B83">
        <v>7</v>
      </c>
      <c r="C83" t="s">
        <v>25</v>
      </c>
      <c r="D83">
        <v>168</v>
      </c>
      <c r="E83">
        <v>85</v>
      </c>
      <c r="F83">
        <v>168</v>
      </c>
      <c r="G83">
        <v>198</v>
      </c>
      <c r="I83">
        <v>0.5</v>
      </c>
      <c r="J83">
        <v>0</v>
      </c>
      <c r="K83">
        <v>0</v>
      </c>
      <c r="L83">
        <v>0</v>
      </c>
      <c r="M83" t="s">
        <v>21</v>
      </c>
      <c r="N83" t="s">
        <v>918</v>
      </c>
      <c r="O83" t="s">
        <v>25</v>
      </c>
      <c r="Q83">
        <v>4</v>
      </c>
      <c r="R83" t="b">
        <v>0</v>
      </c>
      <c r="S83" t="s">
        <v>119</v>
      </c>
      <c r="T83">
        <v>0</v>
      </c>
    </row>
    <row r="84" spans="1:20" x14ac:dyDescent="0.25">
      <c r="A84" t="s">
        <v>55</v>
      </c>
      <c r="B84">
        <v>7</v>
      </c>
      <c r="C84" t="s">
        <v>25</v>
      </c>
      <c r="D84">
        <v>14</v>
      </c>
      <c r="E84">
        <v>112</v>
      </c>
      <c r="F84">
        <v>196</v>
      </c>
      <c r="G84">
        <v>112</v>
      </c>
      <c r="I84">
        <v>0.5</v>
      </c>
      <c r="J84">
        <v>0</v>
      </c>
      <c r="K84">
        <v>0</v>
      </c>
      <c r="L84">
        <v>0</v>
      </c>
      <c r="M84" t="s">
        <v>21</v>
      </c>
      <c r="N84" t="s">
        <v>918</v>
      </c>
      <c r="O84" t="s">
        <v>25</v>
      </c>
      <c r="Q84">
        <v>4</v>
      </c>
      <c r="R84" t="b">
        <v>0</v>
      </c>
      <c r="S84" t="s">
        <v>119</v>
      </c>
      <c r="T84">
        <v>0</v>
      </c>
    </row>
    <row r="85" spans="1:20" x14ac:dyDescent="0.25">
      <c r="A85" t="s">
        <v>920</v>
      </c>
      <c r="B85">
        <v>7</v>
      </c>
      <c r="C85" t="s">
        <v>19</v>
      </c>
      <c r="D85">
        <v>114</v>
      </c>
      <c r="E85">
        <v>200</v>
      </c>
      <c r="F85">
        <v>196</v>
      </c>
      <c r="G85">
        <v>204</v>
      </c>
      <c r="H85" t="s">
        <v>102</v>
      </c>
      <c r="I85">
        <v>10</v>
      </c>
      <c r="J85">
        <v>0</v>
      </c>
      <c r="K85">
        <v>0</v>
      </c>
      <c r="L85">
        <v>0</v>
      </c>
      <c r="N85" t="s">
        <v>21</v>
      </c>
      <c r="O85" t="s">
        <v>22</v>
      </c>
      <c r="Q85">
        <v>2</v>
      </c>
      <c r="R85" t="b">
        <v>0</v>
      </c>
      <c r="S85" t="s">
        <v>119</v>
      </c>
      <c r="T85">
        <v>0</v>
      </c>
    </row>
    <row r="86" spans="1:20" x14ac:dyDescent="0.25">
      <c r="A86" t="s">
        <v>729</v>
      </c>
      <c r="B86">
        <v>7</v>
      </c>
      <c r="C86" t="s">
        <v>19</v>
      </c>
      <c r="D86">
        <v>14</v>
      </c>
      <c r="E86">
        <v>114</v>
      </c>
      <c r="F86">
        <v>112</v>
      </c>
      <c r="G86">
        <v>119</v>
      </c>
      <c r="H86" t="s">
        <v>102</v>
      </c>
      <c r="I86">
        <v>12</v>
      </c>
      <c r="J86">
        <v>0</v>
      </c>
      <c r="K86">
        <v>0</v>
      </c>
      <c r="L86">
        <v>0</v>
      </c>
      <c r="N86" t="s">
        <v>918</v>
      </c>
      <c r="O86" t="s">
        <v>25</v>
      </c>
      <c r="Q86">
        <v>3</v>
      </c>
      <c r="R86" t="b">
        <v>1</v>
      </c>
      <c r="S86" t="s">
        <v>119</v>
      </c>
      <c r="T86">
        <v>0</v>
      </c>
    </row>
    <row r="87" spans="1:20" x14ac:dyDescent="0.25">
      <c r="A87" t="s">
        <v>730</v>
      </c>
      <c r="B87">
        <v>7</v>
      </c>
      <c r="C87" t="s">
        <v>19</v>
      </c>
      <c r="D87">
        <v>113</v>
      </c>
      <c r="E87">
        <v>115</v>
      </c>
      <c r="F87">
        <v>140</v>
      </c>
      <c r="G87">
        <v>118</v>
      </c>
      <c r="H87" t="s">
        <v>20</v>
      </c>
      <c r="I87">
        <v>16</v>
      </c>
      <c r="J87">
        <v>1</v>
      </c>
      <c r="K87">
        <v>0</v>
      </c>
      <c r="L87">
        <v>0</v>
      </c>
      <c r="N87" t="s">
        <v>918</v>
      </c>
      <c r="O87" t="s">
        <v>27</v>
      </c>
      <c r="Q87">
        <v>2</v>
      </c>
      <c r="R87" t="b">
        <v>0</v>
      </c>
      <c r="S87" t="s">
        <v>119</v>
      </c>
      <c r="T87">
        <v>0</v>
      </c>
    </row>
    <row r="88" spans="1:20" x14ac:dyDescent="0.25">
      <c r="A88" t="s">
        <v>731</v>
      </c>
      <c r="B88">
        <v>7</v>
      </c>
      <c r="C88" t="s">
        <v>19</v>
      </c>
      <c r="D88">
        <v>140</v>
      </c>
      <c r="E88">
        <v>115</v>
      </c>
      <c r="F88">
        <v>169</v>
      </c>
      <c r="G88">
        <v>118</v>
      </c>
      <c r="H88" t="s">
        <v>20</v>
      </c>
      <c r="I88">
        <v>16</v>
      </c>
      <c r="J88">
        <v>1</v>
      </c>
      <c r="K88">
        <v>0</v>
      </c>
      <c r="L88">
        <v>0</v>
      </c>
      <c r="N88" t="s">
        <v>918</v>
      </c>
      <c r="O88" t="s">
        <v>27</v>
      </c>
      <c r="Q88">
        <v>2</v>
      </c>
      <c r="R88" t="b">
        <v>0</v>
      </c>
      <c r="S88" t="s">
        <v>119</v>
      </c>
      <c r="T88">
        <v>0</v>
      </c>
    </row>
    <row r="89" spans="1:20" x14ac:dyDescent="0.25">
      <c r="A89" t="s">
        <v>732</v>
      </c>
      <c r="B89">
        <v>7</v>
      </c>
      <c r="C89" t="s">
        <v>19</v>
      </c>
      <c r="D89">
        <v>168</v>
      </c>
      <c r="E89">
        <v>115</v>
      </c>
      <c r="F89">
        <v>194</v>
      </c>
      <c r="G89">
        <v>118</v>
      </c>
      <c r="H89" t="s">
        <v>20</v>
      </c>
      <c r="I89">
        <v>16</v>
      </c>
      <c r="J89">
        <v>1</v>
      </c>
      <c r="K89">
        <v>0</v>
      </c>
      <c r="L89">
        <v>0</v>
      </c>
      <c r="N89" t="s">
        <v>918</v>
      </c>
      <c r="O89" t="s">
        <v>27</v>
      </c>
      <c r="Q89">
        <v>2</v>
      </c>
      <c r="R89" t="b">
        <v>0</v>
      </c>
      <c r="S89" t="s">
        <v>119</v>
      </c>
      <c r="T89">
        <v>0</v>
      </c>
    </row>
    <row r="90" spans="1:20" x14ac:dyDescent="0.25">
      <c r="A90" t="s">
        <v>733</v>
      </c>
      <c r="B90">
        <v>7</v>
      </c>
      <c r="C90" t="s">
        <v>19</v>
      </c>
      <c r="D90">
        <v>14</v>
      </c>
      <c r="E90">
        <v>130</v>
      </c>
      <c r="F90">
        <v>112</v>
      </c>
      <c r="G90">
        <v>135</v>
      </c>
      <c r="H90" t="s">
        <v>102</v>
      </c>
      <c r="I90">
        <v>12</v>
      </c>
      <c r="J90">
        <v>0</v>
      </c>
      <c r="K90">
        <v>0</v>
      </c>
      <c r="L90">
        <v>0</v>
      </c>
      <c r="N90" t="s">
        <v>918</v>
      </c>
      <c r="O90" t="s">
        <v>25</v>
      </c>
      <c r="Q90">
        <v>3</v>
      </c>
      <c r="R90" t="b">
        <v>1</v>
      </c>
      <c r="S90" t="s">
        <v>119</v>
      </c>
      <c r="T90">
        <v>0</v>
      </c>
    </row>
    <row r="91" spans="1:20" x14ac:dyDescent="0.25">
      <c r="A91" t="s">
        <v>734</v>
      </c>
      <c r="B91">
        <v>7</v>
      </c>
      <c r="C91" t="s">
        <v>19</v>
      </c>
      <c r="D91">
        <v>113</v>
      </c>
      <c r="E91">
        <v>131</v>
      </c>
      <c r="F91">
        <v>140</v>
      </c>
      <c r="G91">
        <v>134</v>
      </c>
      <c r="H91" t="s">
        <v>20</v>
      </c>
      <c r="I91">
        <v>16</v>
      </c>
      <c r="J91">
        <v>1</v>
      </c>
      <c r="K91">
        <v>0</v>
      </c>
      <c r="L91">
        <v>0</v>
      </c>
      <c r="N91" t="s">
        <v>918</v>
      </c>
      <c r="O91" t="s">
        <v>27</v>
      </c>
      <c r="Q91">
        <v>2</v>
      </c>
      <c r="R91" t="b">
        <v>0</v>
      </c>
      <c r="S91" t="s">
        <v>119</v>
      </c>
      <c r="T91">
        <v>0</v>
      </c>
    </row>
    <row r="92" spans="1:20" x14ac:dyDescent="0.25">
      <c r="A92" t="s">
        <v>735</v>
      </c>
      <c r="B92">
        <v>7</v>
      </c>
      <c r="C92" t="s">
        <v>19</v>
      </c>
      <c r="D92">
        <v>140</v>
      </c>
      <c r="E92">
        <v>131</v>
      </c>
      <c r="F92">
        <v>169</v>
      </c>
      <c r="G92">
        <v>134</v>
      </c>
      <c r="H92" t="s">
        <v>20</v>
      </c>
      <c r="I92">
        <v>16</v>
      </c>
      <c r="J92">
        <v>1</v>
      </c>
      <c r="K92">
        <v>0</v>
      </c>
      <c r="L92">
        <v>0</v>
      </c>
      <c r="N92" t="s">
        <v>918</v>
      </c>
      <c r="O92" t="s">
        <v>27</v>
      </c>
      <c r="Q92">
        <v>2</v>
      </c>
      <c r="R92" t="b">
        <v>0</v>
      </c>
      <c r="S92" t="s">
        <v>119</v>
      </c>
      <c r="T92">
        <v>0</v>
      </c>
    </row>
    <row r="93" spans="1:20" x14ac:dyDescent="0.25">
      <c r="A93" t="s">
        <v>736</v>
      </c>
      <c r="B93">
        <v>7</v>
      </c>
      <c r="C93" t="s">
        <v>19</v>
      </c>
      <c r="D93">
        <v>168</v>
      </c>
      <c r="E93">
        <v>131</v>
      </c>
      <c r="F93">
        <v>194</v>
      </c>
      <c r="G93">
        <v>134</v>
      </c>
      <c r="H93" t="s">
        <v>20</v>
      </c>
      <c r="I93">
        <v>16</v>
      </c>
      <c r="J93">
        <v>1</v>
      </c>
      <c r="K93">
        <v>0</v>
      </c>
      <c r="L93">
        <v>0</v>
      </c>
      <c r="N93" t="s">
        <v>918</v>
      </c>
      <c r="O93" t="s">
        <v>27</v>
      </c>
      <c r="Q93">
        <v>2</v>
      </c>
      <c r="R93" t="b">
        <v>0</v>
      </c>
      <c r="S93" t="s">
        <v>119</v>
      </c>
      <c r="T93">
        <v>0</v>
      </c>
    </row>
    <row r="94" spans="1:20" x14ac:dyDescent="0.25">
      <c r="A94" t="s">
        <v>737</v>
      </c>
      <c r="B94">
        <v>7</v>
      </c>
      <c r="C94" t="s">
        <v>19</v>
      </c>
      <c r="D94">
        <v>14</v>
      </c>
      <c r="E94">
        <v>146</v>
      </c>
      <c r="F94">
        <v>112</v>
      </c>
      <c r="G94">
        <v>151</v>
      </c>
      <c r="H94" t="s">
        <v>102</v>
      </c>
      <c r="I94">
        <v>12</v>
      </c>
      <c r="J94">
        <v>0</v>
      </c>
      <c r="K94">
        <v>0</v>
      </c>
      <c r="L94">
        <v>0</v>
      </c>
      <c r="N94" t="s">
        <v>918</v>
      </c>
      <c r="O94" t="s">
        <v>25</v>
      </c>
      <c r="Q94">
        <v>3</v>
      </c>
      <c r="R94" t="b">
        <v>1</v>
      </c>
      <c r="S94" t="s">
        <v>119</v>
      </c>
      <c r="T94">
        <v>0</v>
      </c>
    </row>
    <row r="95" spans="1:20" x14ac:dyDescent="0.25">
      <c r="A95" t="s">
        <v>738</v>
      </c>
      <c r="B95">
        <v>7</v>
      </c>
      <c r="C95" t="s">
        <v>19</v>
      </c>
      <c r="D95">
        <v>113</v>
      </c>
      <c r="E95">
        <v>147</v>
      </c>
      <c r="F95">
        <v>140</v>
      </c>
      <c r="G95">
        <v>150</v>
      </c>
      <c r="H95" t="s">
        <v>20</v>
      </c>
      <c r="I95">
        <v>16</v>
      </c>
      <c r="J95">
        <v>1</v>
      </c>
      <c r="K95">
        <v>0</v>
      </c>
      <c r="L95">
        <v>0</v>
      </c>
      <c r="N95" t="s">
        <v>918</v>
      </c>
      <c r="O95" t="s">
        <v>27</v>
      </c>
      <c r="Q95">
        <v>2</v>
      </c>
      <c r="R95" t="b">
        <v>0</v>
      </c>
      <c r="S95" t="s">
        <v>119</v>
      </c>
      <c r="T95">
        <v>0</v>
      </c>
    </row>
    <row r="96" spans="1:20" x14ac:dyDescent="0.25">
      <c r="A96" t="s">
        <v>739</v>
      </c>
      <c r="B96">
        <v>7</v>
      </c>
      <c r="C96" t="s">
        <v>19</v>
      </c>
      <c r="D96">
        <v>140</v>
      </c>
      <c r="E96">
        <v>147</v>
      </c>
      <c r="F96">
        <v>169</v>
      </c>
      <c r="G96">
        <v>150</v>
      </c>
      <c r="H96" t="s">
        <v>20</v>
      </c>
      <c r="I96">
        <v>16</v>
      </c>
      <c r="J96">
        <v>1</v>
      </c>
      <c r="K96">
        <v>0</v>
      </c>
      <c r="L96">
        <v>0</v>
      </c>
      <c r="N96" t="s">
        <v>918</v>
      </c>
      <c r="O96" t="s">
        <v>27</v>
      </c>
      <c r="Q96">
        <v>2</v>
      </c>
      <c r="R96" t="b">
        <v>0</v>
      </c>
      <c r="S96" t="s">
        <v>119</v>
      </c>
      <c r="T96">
        <v>0</v>
      </c>
    </row>
    <row r="97" spans="1:20" x14ac:dyDescent="0.25">
      <c r="A97" t="s">
        <v>740</v>
      </c>
      <c r="B97">
        <v>7</v>
      </c>
      <c r="C97" t="s">
        <v>19</v>
      </c>
      <c r="D97">
        <v>168</v>
      </c>
      <c r="E97">
        <v>147</v>
      </c>
      <c r="F97">
        <v>194</v>
      </c>
      <c r="G97">
        <v>150</v>
      </c>
      <c r="H97" t="s">
        <v>20</v>
      </c>
      <c r="I97">
        <v>16</v>
      </c>
      <c r="J97">
        <v>1</v>
      </c>
      <c r="K97">
        <v>0</v>
      </c>
      <c r="L97">
        <v>0</v>
      </c>
      <c r="N97" t="s">
        <v>918</v>
      </c>
      <c r="O97" t="s">
        <v>27</v>
      </c>
      <c r="Q97">
        <v>2</v>
      </c>
      <c r="R97" t="b">
        <v>0</v>
      </c>
      <c r="S97" t="s">
        <v>119</v>
      </c>
      <c r="T97">
        <v>0</v>
      </c>
    </row>
    <row r="98" spans="1:20" x14ac:dyDescent="0.25">
      <c r="A98" t="s">
        <v>741</v>
      </c>
      <c r="B98">
        <v>7</v>
      </c>
      <c r="C98" t="s">
        <v>19</v>
      </c>
      <c r="D98">
        <v>14</v>
      </c>
      <c r="E98">
        <v>162</v>
      </c>
      <c r="F98">
        <v>112</v>
      </c>
      <c r="G98">
        <v>167</v>
      </c>
      <c r="H98" t="s">
        <v>102</v>
      </c>
      <c r="I98">
        <v>12</v>
      </c>
      <c r="J98">
        <v>0</v>
      </c>
      <c r="K98">
        <v>0</v>
      </c>
      <c r="L98">
        <v>0</v>
      </c>
      <c r="N98" t="s">
        <v>918</v>
      </c>
      <c r="O98" t="s">
        <v>25</v>
      </c>
      <c r="Q98">
        <v>3</v>
      </c>
      <c r="R98" t="b">
        <v>1</v>
      </c>
      <c r="S98" t="s">
        <v>119</v>
      </c>
      <c r="T98">
        <v>0</v>
      </c>
    </row>
    <row r="99" spans="1:20" x14ac:dyDescent="0.25">
      <c r="A99" t="s">
        <v>742</v>
      </c>
      <c r="B99">
        <v>7</v>
      </c>
      <c r="C99" t="s">
        <v>19</v>
      </c>
      <c r="D99">
        <v>113</v>
      </c>
      <c r="E99">
        <v>163</v>
      </c>
      <c r="F99">
        <v>140</v>
      </c>
      <c r="G99">
        <v>166</v>
      </c>
      <c r="H99" t="s">
        <v>20</v>
      </c>
      <c r="I99">
        <v>16</v>
      </c>
      <c r="J99">
        <v>1</v>
      </c>
      <c r="K99">
        <v>0</v>
      </c>
      <c r="L99">
        <v>0</v>
      </c>
      <c r="N99" t="s">
        <v>918</v>
      </c>
      <c r="O99" t="s">
        <v>27</v>
      </c>
      <c r="Q99">
        <v>2</v>
      </c>
      <c r="R99" t="b">
        <v>0</v>
      </c>
      <c r="S99" t="s">
        <v>119</v>
      </c>
      <c r="T99">
        <v>0</v>
      </c>
    </row>
    <row r="100" spans="1:20" x14ac:dyDescent="0.25">
      <c r="A100" t="s">
        <v>743</v>
      </c>
      <c r="B100">
        <v>7</v>
      </c>
      <c r="C100" t="s">
        <v>19</v>
      </c>
      <c r="D100">
        <v>140</v>
      </c>
      <c r="E100">
        <v>163</v>
      </c>
      <c r="F100">
        <v>169</v>
      </c>
      <c r="G100">
        <v>166</v>
      </c>
      <c r="H100" t="s">
        <v>20</v>
      </c>
      <c r="I100">
        <v>16</v>
      </c>
      <c r="J100">
        <v>1</v>
      </c>
      <c r="K100">
        <v>0</v>
      </c>
      <c r="L100">
        <v>0</v>
      </c>
      <c r="N100" t="s">
        <v>918</v>
      </c>
      <c r="O100" t="s">
        <v>27</v>
      </c>
      <c r="Q100">
        <v>2</v>
      </c>
      <c r="R100" t="b">
        <v>0</v>
      </c>
      <c r="S100" t="s">
        <v>119</v>
      </c>
      <c r="T100">
        <v>0</v>
      </c>
    </row>
    <row r="101" spans="1:20" x14ac:dyDescent="0.25">
      <c r="A101" t="s">
        <v>744</v>
      </c>
      <c r="B101">
        <v>7</v>
      </c>
      <c r="C101" t="s">
        <v>19</v>
      </c>
      <c r="D101">
        <v>168</v>
      </c>
      <c r="E101">
        <v>163</v>
      </c>
      <c r="F101">
        <v>194</v>
      </c>
      <c r="G101">
        <v>166</v>
      </c>
      <c r="H101" t="s">
        <v>20</v>
      </c>
      <c r="I101">
        <v>16</v>
      </c>
      <c r="J101">
        <v>1</v>
      </c>
      <c r="K101">
        <v>0</v>
      </c>
      <c r="L101">
        <v>0</v>
      </c>
      <c r="N101" t="s">
        <v>918</v>
      </c>
      <c r="O101" t="s">
        <v>27</v>
      </c>
      <c r="Q101">
        <v>2</v>
      </c>
      <c r="R101" t="b">
        <v>0</v>
      </c>
      <c r="S101" t="s">
        <v>119</v>
      </c>
      <c r="T101">
        <v>0</v>
      </c>
    </row>
    <row r="102" spans="1:20" x14ac:dyDescent="0.25">
      <c r="A102" t="s">
        <v>745</v>
      </c>
      <c r="B102">
        <v>7</v>
      </c>
      <c r="C102" t="s">
        <v>19</v>
      </c>
      <c r="D102">
        <v>14</v>
      </c>
      <c r="E102">
        <v>178</v>
      </c>
      <c r="F102">
        <v>112</v>
      </c>
      <c r="G102">
        <v>183</v>
      </c>
      <c r="H102" t="s">
        <v>102</v>
      </c>
      <c r="I102">
        <v>12</v>
      </c>
      <c r="J102">
        <v>0</v>
      </c>
      <c r="K102">
        <v>0</v>
      </c>
      <c r="L102">
        <v>0</v>
      </c>
      <c r="N102" t="s">
        <v>918</v>
      </c>
      <c r="O102" t="s">
        <v>25</v>
      </c>
      <c r="Q102">
        <v>3</v>
      </c>
      <c r="R102" t="b">
        <v>1</v>
      </c>
      <c r="S102" t="s">
        <v>119</v>
      </c>
      <c r="T102">
        <v>0</v>
      </c>
    </row>
    <row r="103" spans="1:20" x14ac:dyDescent="0.25">
      <c r="A103" t="s">
        <v>746</v>
      </c>
      <c r="B103">
        <v>7</v>
      </c>
      <c r="C103" t="s">
        <v>19</v>
      </c>
      <c r="D103">
        <v>113</v>
      </c>
      <c r="E103">
        <v>179</v>
      </c>
      <c r="F103">
        <v>140</v>
      </c>
      <c r="G103">
        <v>182</v>
      </c>
      <c r="H103" t="s">
        <v>20</v>
      </c>
      <c r="I103">
        <v>16</v>
      </c>
      <c r="J103">
        <v>1</v>
      </c>
      <c r="K103">
        <v>0</v>
      </c>
      <c r="L103">
        <v>0</v>
      </c>
      <c r="N103" t="s">
        <v>918</v>
      </c>
      <c r="O103" t="s">
        <v>27</v>
      </c>
      <c r="Q103">
        <v>2</v>
      </c>
      <c r="R103" t="b">
        <v>0</v>
      </c>
      <c r="S103" t="s">
        <v>119</v>
      </c>
      <c r="T103">
        <v>0</v>
      </c>
    </row>
    <row r="104" spans="1:20" x14ac:dyDescent="0.25">
      <c r="A104" t="s">
        <v>747</v>
      </c>
      <c r="B104">
        <v>7</v>
      </c>
      <c r="C104" t="s">
        <v>19</v>
      </c>
      <c r="D104">
        <v>140</v>
      </c>
      <c r="E104">
        <v>179</v>
      </c>
      <c r="F104">
        <v>169</v>
      </c>
      <c r="G104">
        <v>182</v>
      </c>
      <c r="H104" t="s">
        <v>20</v>
      </c>
      <c r="I104">
        <v>16</v>
      </c>
      <c r="J104">
        <v>1</v>
      </c>
      <c r="K104">
        <v>0</v>
      </c>
      <c r="L104">
        <v>0</v>
      </c>
      <c r="N104" t="s">
        <v>918</v>
      </c>
      <c r="O104" t="s">
        <v>27</v>
      </c>
      <c r="Q104">
        <v>2</v>
      </c>
      <c r="R104" t="b">
        <v>0</v>
      </c>
      <c r="S104" t="s">
        <v>119</v>
      </c>
      <c r="T104">
        <v>0</v>
      </c>
    </row>
    <row r="105" spans="1:20" x14ac:dyDescent="0.25">
      <c r="A105" t="s">
        <v>748</v>
      </c>
      <c r="B105">
        <v>7</v>
      </c>
      <c r="C105" t="s">
        <v>19</v>
      </c>
      <c r="D105">
        <v>168</v>
      </c>
      <c r="E105">
        <v>179</v>
      </c>
      <c r="F105">
        <v>194</v>
      </c>
      <c r="G105">
        <v>182</v>
      </c>
      <c r="H105" t="s">
        <v>20</v>
      </c>
      <c r="I105">
        <v>16</v>
      </c>
      <c r="J105">
        <v>1</v>
      </c>
      <c r="K105">
        <v>0</v>
      </c>
      <c r="L105">
        <v>0</v>
      </c>
      <c r="N105" t="s">
        <v>918</v>
      </c>
      <c r="O105" t="s">
        <v>27</v>
      </c>
      <c r="Q105">
        <v>2</v>
      </c>
      <c r="R105" t="b">
        <v>0</v>
      </c>
      <c r="S105" t="s">
        <v>119</v>
      </c>
      <c r="T105">
        <v>0</v>
      </c>
    </row>
    <row r="106" spans="1:20" x14ac:dyDescent="0.25">
      <c r="A106" t="s">
        <v>827</v>
      </c>
      <c r="B106">
        <v>-999</v>
      </c>
      <c r="C106" t="s">
        <v>19</v>
      </c>
      <c r="D106">
        <v>127</v>
      </c>
      <c r="E106">
        <v>13</v>
      </c>
      <c r="F106">
        <v>205</v>
      </c>
      <c r="G106">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v>228</v>
      </c>
      <c r="F108">
        <v>196</v>
      </c>
      <c r="G108">
        <v>233</v>
      </c>
      <c r="H108" t="s">
        <v>102</v>
      </c>
      <c r="I108">
        <v>12</v>
      </c>
      <c r="J108">
        <v>0</v>
      </c>
      <c r="K108">
        <v>0</v>
      </c>
      <c r="L108">
        <v>0</v>
      </c>
      <c r="N108" t="s">
        <v>21</v>
      </c>
      <c r="O108" t="s">
        <v>25</v>
      </c>
      <c r="P108" s="1"/>
      <c r="Q108">
        <v>1</v>
      </c>
      <c r="R108" t="b">
        <v>1</v>
      </c>
      <c r="S108" t="s">
        <v>119</v>
      </c>
      <c r="T108">
        <v>0</v>
      </c>
    </row>
    <row r="109" spans="1:20" x14ac:dyDescent="0.25">
      <c r="A109" t="s">
        <v>820</v>
      </c>
      <c r="B109">
        <v>8</v>
      </c>
      <c r="C109" t="s">
        <v>26</v>
      </c>
      <c r="D109">
        <v>0</v>
      </c>
      <c r="E109">
        <v>30</v>
      </c>
      <c r="F109">
        <v>210</v>
      </c>
      <c r="G109">
        <v>267</v>
      </c>
      <c r="I109">
        <v>0</v>
      </c>
      <c r="J109">
        <v>1</v>
      </c>
      <c r="K109">
        <v>0</v>
      </c>
      <c r="L109">
        <v>0</v>
      </c>
      <c r="M109" t="s">
        <v>665</v>
      </c>
      <c r="N109" t="s">
        <v>918</v>
      </c>
      <c r="O109" t="s">
        <v>25</v>
      </c>
      <c r="Q109">
        <v>2</v>
      </c>
      <c r="R109" t="b">
        <v>0</v>
      </c>
      <c r="S109" t="s">
        <v>119</v>
      </c>
      <c r="T109">
        <v>0</v>
      </c>
    </row>
    <row r="110" spans="1:20" x14ac:dyDescent="0.25">
      <c r="A110" t="s">
        <v>771</v>
      </c>
      <c r="B110">
        <v>8</v>
      </c>
      <c r="C110" t="s">
        <v>19</v>
      </c>
      <c r="D110">
        <v>14</v>
      </c>
      <c r="E110">
        <v>20</v>
      </c>
      <c r="F110">
        <v>196</v>
      </c>
      <c r="G110">
        <v>25</v>
      </c>
      <c r="H110" t="s">
        <v>102</v>
      </c>
      <c r="I110">
        <v>12</v>
      </c>
      <c r="J110">
        <v>1</v>
      </c>
      <c r="K110">
        <v>0</v>
      </c>
      <c r="L110">
        <v>0</v>
      </c>
      <c r="N110" t="s">
        <v>21</v>
      </c>
      <c r="O110" t="s">
        <v>25</v>
      </c>
      <c r="Q110">
        <v>3</v>
      </c>
      <c r="R110" t="b">
        <v>1</v>
      </c>
      <c r="S110" t="s">
        <v>119</v>
      </c>
      <c r="T110">
        <v>0</v>
      </c>
    </row>
    <row r="111" spans="1:20" x14ac:dyDescent="0.25">
      <c r="A111" t="s">
        <v>774</v>
      </c>
      <c r="B111">
        <v>8</v>
      </c>
      <c r="C111" t="s">
        <v>19</v>
      </c>
      <c r="D111">
        <v>113</v>
      </c>
      <c r="E111">
        <v>32</v>
      </c>
      <c r="F111">
        <v>140</v>
      </c>
      <c r="G111">
        <v>37</v>
      </c>
      <c r="H111" t="s">
        <v>102</v>
      </c>
      <c r="I111">
        <v>10</v>
      </c>
      <c r="J111">
        <v>1</v>
      </c>
      <c r="K111">
        <v>0</v>
      </c>
      <c r="L111">
        <v>0</v>
      </c>
      <c r="N111" t="s">
        <v>918</v>
      </c>
      <c r="O111" t="s">
        <v>27</v>
      </c>
      <c r="Q111">
        <v>3</v>
      </c>
      <c r="R111" t="b">
        <v>1</v>
      </c>
      <c r="S111" t="s">
        <v>119</v>
      </c>
      <c r="T111">
        <v>0</v>
      </c>
    </row>
    <row r="112" spans="1:20" x14ac:dyDescent="0.25">
      <c r="A112" t="s">
        <v>775</v>
      </c>
      <c r="B112">
        <v>8</v>
      </c>
      <c r="C112" t="s">
        <v>19</v>
      </c>
      <c r="D112">
        <v>140</v>
      </c>
      <c r="E112">
        <v>32</v>
      </c>
      <c r="F112">
        <v>169</v>
      </c>
      <c r="G112">
        <v>37</v>
      </c>
      <c r="H112" t="s">
        <v>102</v>
      </c>
      <c r="I112">
        <v>10</v>
      </c>
      <c r="J112">
        <v>1</v>
      </c>
      <c r="K112">
        <v>0</v>
      </c>
      <c r="L112">
        <v>0</v>
      </c>
      <c r="N112" t="s">
        <v>918</v>
      </c>
      <c r="O112" t="s">
        <v>27</v>
      </c>
      <c r="Q112">
        <v>3</v>
      </c>
      <c r="R112" t="b">
        <v>1</v>
      </c>
      <c r="S112" t="s">
        <v>119</v>
      </c>
      <c r="T112">
        <v>0</v>
      </c>
    </row>
    <row r="113" spans="1:20" x14ac:dyDescent="0.25">
      <c r="A113" t="s">
        <v>776</v>
      </c>
      <c r="B113">
        <v>8</v>
      </c>
      <c r="C113" t="s">
        <v>19</v>
      </c>
      <c r="D113">
        <v>168</v>
      </c>
      <c r="E113">
        <v>32</v>
      </c>
      <c r="F113">
        <v>194</v>
      </c>
      <c r="G113">
        <v>37</v>
      </c>
      <c r="H113" t="s">
        <v>102</v>
      </c>
      <c r="I113">
        <v>10</v>
      </c>
      <c r="J113">
        <v>1</v>
      </c>
      <c r="K113">
        <v>0</v>
      </c>
      <c r="L113">
        <v>0</v>
      </c>
      <c r="N113" t="s">
        <v>918</v>
      </c>
      <c r="O113" t="s">
        <v>27</v>
      </c>
      <c r="Q113">
        <v>3</v>
      </c>
      <c r="R113" t="b">
        <v>1</v>
      </c>
      <c r="S113" t="s">
        <v>119</v>
      </c>
      <c r="T113">
        <v>0</v>
      </c>
    </row>
    <row r="114" spans="1:20" x14ac:dyDescent="0.25">
      <c r="A114" t="s">
        <v>44</v>
      </c>
      <c r="B114">
        <v>8</v>
      </c>
      <c r="C114" t="s">
        <v>25</v>
      </c>
      <c r="D114">
        <v>114</v>
      </c>
      <c r="E114">
        <v>30</v>
      </c>
      <c r="F114">
        <v>114</v>
      </c>
      <c r="G114">
        <v>267</v>
      </c>
      <c r="I114">
        <v>0.5</v>
      </c>
      <c r="J114">
        <v>0</v>
      </c>
      <c r="K114">
        <v>0</v>
      </c>
      <c r="L114">
        <v>0</v>
      </c>
      <c r="M114" t="s">
        <v>21</v>
      </c>
      <c r="N114" t="s">
        <v>918</v>
      </c>
      <c r="O114" t="s">
        <v>25</v>
      </c>
      <c r="Q114">
        <v>4</v>
      </c>
      <c r="R114" t="b">
        <v>0</v>
      </c>
      <c r="S114" t="s">
        <v>119</v>
      </c>
      <c r="T114">
        <v>0</v>
      </c>
    </row>
    <row r="115" spans="1:20" x14ac:dyDescent="0.25">
      <c r="A115" t="s">
        <v>45</v>
      </c>
      <c r="B115">
        <v>8</v>
      </c>
      <c r="C115" t="s">
        <v>25</v>
      </c>
      <c r="D115">
        <v>141</v>
      </c>
      <c r="E115">
        <v>30</v>
      </c>
      <c r="F115">
        <v>141</v>
      </c>
      <c r="G115">
        <v>267</v>
      </c>
      <c r="I115">
        <v>0.5</v>
      </c>
      <c r="J115">
        <v>0</v>
      </c>
      <c r="K115">
        <v>0</v>
      </c>
      <c r="L115">
        <v>0</v>
      </c>
      <c r="M115" t="s">
        <v>21</v>
      </c>
      <c r="N115" t="s">
        <v>918</v>
      </c>
      <c r="O115" t="s">
        <v>25</v>
      </c>
      <c r="Q115">
        <v>4</v>
      </c>
      <c r="R115" t="b">
        <v>0</v>
      </c>
      <c r="S115" t="s">
        <v>119</v>
      </c>
      <c r="T115">
        <v>0</v>
      </c>
    </row>
    <row r="116" spans="1:20" x14ac:dyDescent="0.25">
      <c r="A116" t="s">
        <v>46</v>
      </c>
      <c r="B116">
        <v>8</v>
      </c>
      <c r="C116" t="s">
        <v>25</v>
      </c>
      <c r="D116">
        <v>168</v>
      </c>
      <c r="E116">
        <v>30</v>
      </c>
      <c r="F116">
        <v>168</v>
      </c>
      <c r="G116">
        <v>267</v>
      </c>
      <c r="I116">
        <v>0.5</v>
      </c>
      <c r="J116">
        <v>0</v>
      </c>
      <c r="K116">
        <v>0</v>
      </c>
      <c r="L116">
        <v>0</v>
      </c>
      <c r="M116" t="s">
        <v>21</v>
      </c>
      <c r="N116" t="s">
        <v>918</v>
      </c>
      <c r="O116" t="s">
        <v>25</v>
      </c>
      <c r="Q116">
        <v>4</v>
      </c>
      <c r="R116" t="b">
        <v>0</v>
      </c>
      <c r="S116" t="s">
        <v>119</v>
      </c>
      <c r="T116">
        <v>0</v>
      </c>
    </row>
    <row r="117" spans="1:20" x14ac:dyDescent="0.25">
      <c r="A117" t="s">
        <v>55</v>
      </c>
      <c r="B117">
        <v>8</v>
      </c>
      <c r="C117" t="s">
        <v>25</v>
      </c>
      <c r="D117">
        <v>14</v>
      </c>
      <c r="E117">
        <v>57</v>
      </c>
      <c r="F117">
        <v>196</v>
      </c>
      <c r="G117">
        <v>57</v>
      </c>
      <c r="I117">
        <v>0.5</v>
      </c>
      <c r="J117">
        <v>0</v>
      </c>
      <c r="K117">
        <v>0</v>
      </c>
      <c r="L117">
        <v>0</v>
      </c>
      <c r="M117" t="s">
        <v>21</v>
      </c>
      <c r="N117" t="s">
        <v>918</v>
      </c>
      <c r="O117" t="s">
        <v>25</v>
      </c>
      <c r="Q117">
        <v>4</v>
      </c>
      <c r="R117" t="b">
        <v>0</v>
      </c>
      <c r="S117" t="s">
        <v>119</v>
      </c>
      <c r="T117">
        <v>0</v>
      </c>
    </row>
    <row r="118" spans="1:20" x14ac:dyDescent="0.25">
      <c r="A118" t="s">
        <v>920</v>
      </c>
      <c r="B118">
        <v>8</v>
      </c>
      <c r="C118" t="s">
        <v>19</v>
      </c>
      <c r="D118">
        <v>114</v>
      </c>
      <c r="E118">
        <v>269</v>
      </c>
      <c r="F118">
        <v>196</v>
      </c>
      <c r="G118">
        <v>273</v>
      </c>
      <c r="H118" t="s">
        <v>102</v>
      </c>
      <c r="I118">
        <v>10</v>
      </c>
      <c r="J118">
        <v>0</v>
      </c>
      <c r="K118">
        <v>0</v>
      </c>
      <c r="L118">
        <v>0</v>
      </c>
      <c r="N118" t="s">
        <v>21</v>
      </c>
      <c r="O118" t="s">
        <v>22</v>
      </c>
      <c r="Q118">
        <v>2</v>
      </c>
      <c r="R118" t="b">
        <v>0</v>
      </c>
      <c r="S118" t="s">
        <v>119</v>
      </c>
      <c r="T118">
        <v>0</v>
      </c>
    </row>
    <row r="119" spans="1:20" x14ac:dyDescent="0.25">
      <c r="A119" t="s">
        <v>749</v>
      </c>
      <c r="B119">
        <v>8</v>
      </c>
      <c r="C119" t="s">
        <v>19</v>
      </c>
      <c r="D119">
        <v>14</v>
      </c>
      <c r="E119">
        <v>59</v>
      </c>
      <c r="F119">
        <v>112</v>
      </c>
      <c r="G119">
        <v>64</v>
      </c>
      <c r="H119" t="s">
        <v>102</v>
      </c>
      <c r="I119">
        <v>12</v>
      </c>
      <c r="J119">
        <v>0</v>
      </c>
      <c r="K119">
        <v>0</v>
      </c>
      <c r="L119">
        <v>0</v>
      </c>
      <c r="N119" t="s">
        <v>918</v>
      </c>
      <c r="O119" t="s">
        <v>25</v>
      </c>
      <c r="Q119">
        <v>3</v>
      </c>
      <c r="R119" t="b">
        <v>1</v>
      </c>
      <c r="S119" t="s">
        <v>119</v>
      </c>
      <c r="T119">
        <v>0</v>
      </c>
    </row>
    <row r="120" spans="1:20" x14ac:dyDescent="0.25">
      <c r="A120" t="s">
        <v>750</v>
      </c>
      <c r="B120">
        <v>8</v>
      </c>
      <c r="C120" t="s">
        <v>19</v>
      </c>
      <c r="D120">
        <v>113</v>
      </c>
      <c r="E120">
        <v>60</v>
      </c>
      <c r="F120">
        <v>140</v>
      </c>
      <c r="G120">
        <v>63</v>
      </c>
      <c r="H120" t="s">
        <v>20</v>
      </c>
      <c r="I120">
        <v>16</v>
      </c>
      <c r="J120">
        <v>1</v>
      </c>
      <c r="K120">
        <v>0</v>
      </c>
      <c r="L120">
        <v>0</v>
      </c>
      <c r="N120" t="s">
        <v>918</v>
      </c>
      <c r="O120" t="s">
        <v>27</v>
      </c>
      <c r="Q120">
        <v>2</v>
      </c>
      <c r="R120" t="b">
        <v>0</v>
      </c>
      <c r="S120" t="s">
        <v>119</v>
      </c>
      <c r="T120">
        <v>0</v>
      </c>
    </row>
    <row r="121" spans="1:20" x14ac:dyDescent="0.25">
      <c r="A121" t="s">
        <v>751</v>
      </c>
      <c r="B121">
        <v>8</v>
      </c>
      <c r="C121" t="s">
        <v>19</v>
      </c>
      <c r="D121">
        <v>140</v>
      </c>
      <c r="E121">
        <v>60</v>
      </c>
      <c r="F121">
        <v>169</v>
      </c>
      <c r="G121">
        <v>63</v>
      </c>
      <c r="H121" t="s">
        <v>20</v>
      </c>
      <c r="I121">
        <v>16</v>
      </c>
      <c r="J121">
        <v>1</v>
      </c>
      <c r="K121">
        <v>0</v>
      </c>
      <c r="L121">
        <v>0</v>
      </c>
      <c r="N121" t="s">
        <v>918</v>
      </c>
      <c r="O121" t="s">
        <v>27</v>
      </c>
      <c r="Q121">
        <v>2</v>
      </c>
      <c r="R121" t="b">
        <v>0</v>
      </c>
      <c r="S121" t="s">
        <v>119</v>
      </c>
      <c r="T121">
        <v>0</v>
      </c>
    </row>
    <row r="122" spans="1:20" x14ac:dyDescent="0.25">
      <c r="A122" t="s">
        <v>752</v>
      </c>
      <c r="B122">
        <v>8</v>
      </c>
      <c r="C122" t="s">
        <v>19</v>
      </c>
      <c r="D122">
        <v>168</v>
      </c>
      <c r="E122">
        <v>60</v>
      </c>
      <c r="F122">
        <v>194</v>
      </c>
      <c r="G122">
        <v>63</v>
      </c>
      <c r="H122" t="s">
        <v>20</v>
      </c>
      <c r="I122">
        <v>16</v>
      </c>
      <c r="J122">
        <v>1</v>
      </c>
      <c r="K122">
        <v>0</v>
      </c>
      <c r="L122">
        <v>0</v>
      </c>
      <c r="N122" t="s">
        <v>918</v>
      </c>
      <c r="O122" t="s">
        <v>27</v>
      </c>
      <c r="Q122">
        <v>2</v>
      </c>
      <c r="R122" t="b">
        <v>0</v>
      </c>
      <c r="S122" t="s">
        <v>119</v>
      </c>
      <c r="T122">
        <v>0</v>
      </c>
    </row>
    <row r="123" spans="1:20" x14ac:dyDescent="0.25">
      <c r="A123" t="s">
        <v>753</v>
      </c>
      <c r="B123">
        <v>8</v>
      </c>
      <c r="C123" t="s">
        <v>19</v>
      </c>
      <c r="D123">
        <v>14</v>
      </c>
      <c r="E123">
        <v>71</v>
      </c>
      <c r="F123">
        <v>112</v>
      </c>
      <c r="G123">
        <v>76</v>
      </c>
      <c r="H123" t="s">
        <v>102</v>
      </c>
      <c r="I123">
        <v>12</v>
      </c>
      <c r="J123">
        <v>0</v>
      </c>
      <c r="K123">
        <v>0</v>
      </c>
      <c r="L123">
        <v>0</v>
      </c>
      <c r="N123" t="s">
        <v>918</v>
      </c>
      <c r="O123" t="s">
        <v>25</v>
      </c>
      <c r="Q123">
        <v>3</v>
      </c>
      <c r="R123" t="b">
        <v>1</v>
      </c>
      <c r="S123" t="s">
        <v>119</v>
      </c>
      <c r="T123">
        <v>0</v>
      </c>
    </row>
    <row r="124" spans="1:20" x14ac:dyDescent="0.25">
      <c r="A124" t="s">
        <v>754</v>
      </c>
      <c r="B124">
        <v>8</v>
      </c>
      <c r="C124" t="s">
        <v>19</v>
      </c>
      <c r="D124">
        <v>113</v>
      </c>
      <c r="E124">
        <v>72</v>
      </c>
      <c r="F124">
        <v>140</v>
      </c>
      <c r="G124">
        <v>75</v>
      </c>
      <c r="H124" t="s">
        <v>20</v>
      </c>
      <c r="I124">
        <v>16</v>
      </c>
      <c r="J124">
        <v>1</v>
      </c>
      <c r="K124">
        <v>0</v>
      </c>
      <c r="L124">
        <v>0</v>
      </c>
      <c r="N124" t="s">
        <v>918</v>
      </c>
      <c r="O124" t="s">
        <v>27</v>
      </c>
      <c r="Q124">
        <v>2</v>
      </c>
      <c r="R124" t="b">
        <v>0</v>
      </c>
      <c r="S124" t="s">
        <v>119</v>
      </c>
      <c r="T124">
        <v>0</v>
      </c>
    </row>
    <row r="125" spans="1:20" x14ac:dyDescent="0.25">
      <c r="A125" t="s">
        <v>755</v>
      </c>
      <c r="B125">
        <v>8</v>
      </c>
      <c r="C125" t="s">
        <v>19</v>
      </c>
      <c r="D125">
        <v>140</v>
      </c>
      <c r="E125">
        <v>72</v>
      </c>
      <c r="F125">
        <v>169</v>
      </c>
      <c r="G125">
        <v>75</v>
      </c>
      <c r="H125" t="s">
        <v>20</v>
      </c>
      <c r="I125">
        <v>16</v>
      </c>
      <c r="J125">
        <v>1</v>
      </c>
      <c r="K125">
        <v>0</v>
      </c>
      <c r="L125">
        <v>0</v>
      </c>
      <c r="N125" t="s">
        <v>918</v>
      </c>
      <c r="O125" t="s">
        <v>27</v>
      </c>
      <c r="Q125">
        <v>2</v>
      </c>
      <c r="R125" t="b">
        <v>0</v>
      </c>
      <c r="S125" t="s">
        <v>119</v>
      </c>
      <c r="T125">
        <v>0</v>
      </c>
    </row>
    <row r="126" spans="1:20" x14ac:dyDescent="0.25">
      <c r="A126" t="s">
        <v>756</v>
      </c>
      <c r="B126">
        <v>8</v>
      </c>
      <c r="C126" t="s">
        <v>19</v>
      </c>
      <c r="D126">
        <v>168</v>
      </c>
      <c r="E126">
        <v>72</v>
      </c>
      <c r="F126">
        <v>194</v>
      </c>
      <c r="G126">
        <v>75</v>
      </c>
      <c r="H126" t="s">
        <v>20</v>
      </c>
      <c r="I126">
        <v>16</v>
      </c>
      <c r="J126">
        <v>1</v>
      </c>
      <c r="K126">
        <v>0</v>
      </c>
      <c r="L126">
        <v>0</v>
      </c>
      <c r="N126" t="s">
        <v>918</v>
      </c>
      <c r="O126" t="s">
        <v>27</v>
      </c>
      <c r="Q126">
        <v>2</v>
      </c>
      <c r="R126" t="b">
        <v>0</v>
      </c>
      <c r="S126" t="s">
        <v>119</v>
      </c>
      <c r="T126">
        <v>0</v>
      </c>
    </row>
    <row r="127" spans="1:20" x14ac:dyDescent="0.25">
      <c r="A127" t="s">
        <v>757</v>
      </c>
      <c r="B127">
        <v>8</v>
      </c>
      <c r="C127" t="s">
        <v>19</v>
      </c>
      <c r="D127">
        <v>14</v>
      </c>
      <c r="E127">
        <v>83</v>
      </c>
      <c r="F127">
        <v>112</v>
      </c>
      <c r="G127">
        <v>88</v>
      </c>
      <c r="H127" t="s">
        <v>102</v>
      </c>
      <c r="I127">
        <v>12</v>
      </c>
      <c r="J127">
        <v>0</v>
      </c>
      <c r="K127">
        <v>0</v>
      </c>
      <c r="L127">
        <v>0</v>
      </c>
      <c r="N127" t="s">
        <v>918</v>
      </c>
      <c r="O127" t="s">
        <v>25</v>
      </c>
      <c r="Q127">
        <v>3</v>
      </c>
      <c r="R127" t="b">
        <v>1</v>
      </c>
      <c r="S127" t="s">
        <v>119</v>
      </c>
      <c r="T127">
        <v>0</v>
      </c>
    </row>
    <row r="128" spans="1:20" x14ac:dyDescent="0.25">
      <c r="A128" t="s">
        <v>758</v>
      </c>
      <c r="B128">
        <v>8</v>
      </c>
      <c r="C128" t="s">
        <v>19</v>
      </c>
      <c r="D128">
        <v>113</v>
      </c>
      <c r="E128">
        <v>84</v>
      </c>
      <c r="F128">
        <v>140</v>
      </c>
      <c r="G128">
        <v>87</v>
      </c>
      <c r="H128" t="s">
        <v>20</v>
      </c>
      <c r="I128">
        <v>16</v>
      </c>
      <c r="J128">
        <v>1</v>
      </c>
      <c r="K128">
        <v>0</v>
      </c>
      <c r="L128">
        <v>0</v>
      </c>
      <c r="N128" t="s">
        <v>918</v>
      </c>
      <c r="O128" t="s">
        <v>27</v>
      </c>
      <c r="Q128">
        <v>2</v>
      </c>
      <c r="R128" t="b">
        <v>0</v>
      </c>
      <c r="S128" t="s">
        <v>119</v>
      </c>
      <c r="T128">
        <v>0</v>
      </c>
    </row>
    <row r="129" spans="1:20" x14ac:dyDescent="0.25">
      <c r="A129" t="s">
        <v>759</v>
      </c>
      <c r="B129">
        <v>8</v>
      </c>
      <c r="C129" t="s">
        <v>19</v>
      </c>
      <c r="D129">
        <v>140</v>
      </c>
      <c r="E129">
        <v>84</v>
      </c>
      <c r="F129">
        <v>169</v>
      </c>
      <c r="G129">
        <v>87</v>
      </c>
      <c r="H129" t="s">
        <v>20</v>
      </c>
      <c r="I129">
        <v>16</v>
      </c>
      <c r="J129">
        <v>1</v>
      </c>
      <c r="K129">
        <v>0</v>
      </c>
      <c r="L129">
        <v>0</v>
      </c>
      <c r="N129" t="s">
        <v>918</v>
      </c>
      <c r="O129" t="s">
        <v>27</v>
      </c>
      <c r="Q129">
        <v>2</v>
      </c>
      <c r="R129" t="b">
        <v>0</v>
      </c>
      <c r="S129" t="s">
        <v>119</v>
      </c>
      <c r="T129">
        <v>0</v>
      </c>
    </row>
    <row r="130" spans="1:20" x14ac:dyDescent="0.25">
      <c r="A130" t="s">
        <v>760</v>
      </c>
      <c r="B130">
        <v>8</v>
      </c>
      <c r="C130" t="s">
        <v>19</v>
      </c>
      <c r="D130">
        <v>168</v>
      </c>
      <c r="E130">
        <v>84</v>
      </c>
      <c r="F130">
        <v>194</v>
      </c>
      <c r="G130">
        <v>87</v>
      </c>
      <c r="H130" t="s">
        <v>20</v>
      </c>
      <c r="I130">
        <v>16</v>
      </c>
      <c r="J130">
        <v>1</v>
      </c>
      <c r="K130">
        <v>0</v>
      </c>
      <c r="L130">
        <v>0</v>
      </c>
      <c r="N130" t="s">
        <v>918</v>
      </c>
      <c r="O130" t="s">
        <v>27</v>
      </c>
      <c r="Q130">
        <v>2</v>
      </c>
      <c r="R130" t="b">
        <v>0</v>
      </c>
      <c r="S130" t="s">
        <v>119</v>
      </c>
      <c r="T130">
        <v>0</v>
      </c>
    </row>
    <row r="131" spans="1:20" x14ac:dyDescent="0.25">
      <c r="A131" t="s">
        <v>761</v>
      </c>
      <c r="B131">
        <v>8</v>
      </c>
      <c r="C131" t="s">
        <v>19</v>
      </c>
      <c r="D131">
        <v>14</v>
      </c>
      <c r="E131">
        <v>95</v>
      </c>
      <c r="F131">
        <v>112</v>
      </c>
      <c r="G131">
        <v>100</v>
      </c>
      <c r="H131" t="s">
        <v>102</v>
      </c>
      <c r="I131">
        <v>12</v>
      </c>
      <c r="J131">
        <v>0</v>
      </c>
      <c r="K131">
        <v>0</v>
      </c>
      <c r="L131">
        <v>0</v>
      </c>
      <c r="N131" t="s">
        <v>918</v>
      </c>
      <c r="O131" t="s">
        <v>25</v>
      </c>
      <c r="Q131">
        <v>3</v>
      </c>
      <c r="R131" t="b">
        <v>1</v>
      </c>
      <c r="S131" t="s">
        <v>119</v>
      </c>
      <c r="T131">
        <v>0</v>
      </c>
    </row>
    <row r="132" spans="1:20" x14ac:dyDescent="0.25">
      <c r="A132" t="s">
        <v>762</v>
      </c>
      <c r="B132">
        <v>8</v>
      </c>
      <c r="C132" t="s">
        <v>19</v>
      </c>
      <c r="D132">
        <v>113</v>
      </c>
      <c r="E132">
        <v>96</v>
      </c>
      <c r="F132">
        <v>140</v>
      </c>
      <c r="G132">
        <v>99</v>
      </c>
      <c r="H132" t="s">
        <v>20</v>
      </c>
      <c r="I132">
        <v>16</v>
      </c>
      <c r="J132">
        <v>1</v>
      </c>
      <c r="K132">
        <v>0</v>
      </c>
      <c r="L132">
        <v>0</v>
      </c>
      <c r="N132" t="s">
        <v>918</v>
      </c>
      <c r="O132" t="s">
        <v>27</v>
      </c>
      <c r="Q132">
        <v>2</v>
      </c>
      <c r="R132" t="b">
        <v>0</v>
      </c>
      <c r="S132" t="s">
        <v>119</v>
      </c>
      <c r="T132">
        <v>0</v>
      </c>
    </row>
    <row r="133" spans="1:20" x14ac:dyDescent="0.25">
      <c r="A133" t="s">
        <v>763</v>
      </c>
      <c r="B133">
        <v>8</v>
      </c>
      <c r="C133" t="s">
        <v>19</v>
      </c>
      <c r="D133">
        <v>140</v>
      </c>
      <c r="E133">
        <v>96</v>
      </c>
      <c r="F133">
        <v>169</v>
      </c>
      <c r="G133">
        <v>99</v>
      </c>
      <c r="H133" t="s">
        <v>20</v>
      </c>
      <c r="I133">
        <v>16</v>
      </c>
      <c r="J133">
        <v>1</v>
      </c>
      <c r="K133">
        <v>0</v>
      </c>
      <c r="L133">
        <v>0</v>
      </c>
      <c r="N133" t="s">
        <v>918</v>
      </c>
      <c r="O133" t="s">
        <v>27</v>
      </c>
      <c r="Q133">
        <v>2</v>
      </c>
      <c r="R133" t="b">
        <v>0</v>
      </c>
      <c r="S133" t="s">
        <v>119</v>
      </c>
      <c r="T133">
        <v>0</v>
      </c>
    </row>
    <row r="134" spans="1:20" x14ac:dyDescent="0.25">
      <c r="A134" t="s">
        <v>764</v>
      </c>
      <c r="B134">
        <v>8</v>
      </c>
      <c r="C134" t="s">
        <v>19</v>
      </c>
      <c r="D134">
        <v>168</v>
      </c>
      <c r="E134">
        <v>96</v>
      </c>
      <c r="F134">
        <v>194</v>
      </c>
      <c r="G134">
        <v>99</v>
      </c>
      <c r="H134" t="s">
        <v>20</v>
      </c>
      <c r="I134">
        <v>16</v>
      </c>
      <c r="J134">
        <v>1</v>
      </c>
      <c r="K134">
        <v>0</v>
      </c>
      <c r="L134">
        <v>0</v>
      </c>
      <c r="N134" t="s">
        <v>918</v>
      </c>
      <c r="O134" t="s">
        <v>27</v>
      </c>
      <c r="Q134">
        <v>2</v>
      </c>
      <c r="R134" t="b">
        <v>0</v>
      </c>
      <c r="S134" t="s">
        <v>119</v>
      </c>
      <c r="T134">
        <v>0</v>
      </c>
    </row>
    <row r="135" spans="1:20" x14ac:dyDescent="0.25">
      <c r="A135" t="s">
        <v>808</v>
      </c>
      <c r="B135">
        <v>8</v>
      </c>
      <c r="C135" t="s">
        <v>19</v>
      </c>
      <c r="D135">
        <v>14</v>
      </c>
      <c r="E135">
        <v>107</v>
      </c>
      <c r="F135">
        <v>112</v>
      </c>
      <c r="G135">
        <v>112</v>
      </c>
      <c r="H135" t="s">
        <v>102</v>
      </c>
      <c r="I135">
        <v>12</v>
      </c>
      <c r="J135">
        <v>0</v>
      </c>
      <c r="K135">
        <v>0</v>
      </c>
      <c r="L135">
        <v>0</v>
      </c>
      <c r="N135" t="s">
        <v>918</v>
      </c>
      <c r="O135" t="s">
        <v>25</v>
      </c>
      <c r="Q135">
        <v>3</v>
      </c>
      <c r="R135" t="b">
        <v>1</v>
      </c>
      <c r="S135" t="s">
        <v>119</v>
      </c>
      <c r="T135">
        <v>0</v>
      </c>
    </row>
    <row r="136" spans="1:20" x14ac:dyDescent="0.25">
      <c r="A136" t="s">
        <v>809</v>
      </c>
      <c r="B136">
        <v>8</v>
      </c>
      <c r="C136" t="s">
        <v>19</v>
      </c>
      <c r="D136">
        <v>113</v>
      </c>
      <c r="E136">
        <v>108</v>
      </c>
      <c r="F136">
        <v>140</v>
      </c>
      <c r="G136">
        <v>111</v>
      </c>
      <c r="H136" t="s">
        <v>20</v>
      </c>
      <c r="I136">
        <v>16</v>
      </c>
      <c r="J136">
        <v>1</v>
      </c>
      <c r="K136">
        <v>0</v>
      </c>
      <c r="L136">
        <v>0</v>
      </c>
      <c r="N136" t="s">
        <v>918</v>
      </c>
      <c r="O136" t="s">
        <v>27</v>
      </c>
      <c r="Q136">
        <v>2</v>
      </c>
      <c r="R136" t="b">
        <v>0</v>
      </c>
      <c r="S136" t="s">
        <v>119</v>
      </c>
      <c r="T136">
        <v>0</v>
      </c>
    </row>
    <row r="137" spans="1:20" x14ac:dyDescent="0.25">
      <c r="A137" t="s">
        <v>810</v>
      </c>
      <c r="B137">
        <v>8</v>
      </c>
      <c r="C137" t="s">
        <v>19</v>
      </c>
      <c r="D137">
        <v>140</v>
      </c>
      <c r="E137">
        <v>108</v>
      </c>
      <c r="F137">
        <v>169</v>
      </c>
      <c r="G137">
        <v>111</v>
      </c>
      <c r="H137" t="s">
        <v>20</v>
      </c>
      <c r="I137">
        <v>16</v>
      </c>
      <c r="J137">
        <v>1</v>
      </c>
      <c r="K137">
        <v>0</v>
      </c>
      <c r="L137">
        <v>0</v>
      </c>
      <c r="N137" t="s">
        <v>918</v>
      </c>
      <c r="O137" t="s">
        <v>27</v>
      </c>
      <c r="Q137">
        <v>2</v>
      </c>
      <c r="R137" t="b">
        <v>0</v>
      </c>
      <c r="S137" t="s">
        <v>119</v>
      </c>
      <c r="T137">
        <v>0</v>
      </c>
    </row>
    <row r="138" spans="1:20" x14ac:dyDescent="0.25">
      <c r="A138" t="s">
        <v>811</v>
      </c>
      <c r="B138">
        <v>8</v>
      </c>
      <c r="C138" t="s">
        <v>19</v>
      </c>
      <c r="D138">
        <v>168</v>
      </c>
      <c r="E138">
        <v>108</v>
      </c>
      <c r="F138">
        <v>194</v>
      </c>
      <c r="G138">
        <v>111</v>
      </c>
      <c r="H138" t="s">
        <v>20</v>
      </c>
      <c r="I138">
        <v>16</v>
      </c>
      <c r="J138">
        <v>1</v>
      </c>
      <c r="K138">
        <v>0</v>
      </c>
      <c r="L138">
        <v>0</v>
      </c>
      <c r="N138" t="s">
        <v>918</v>
      </c>
      <c r="O138" t="s">
        <v>27</v>
      </c>
      <c r="Q138">
        <v>2</v>
      </c>
      <c r="R138" t="b">
        <v>0</v>
      </c>
      <c r="S138" t="s">
        <v>119</v>
      </c>
      <c r="T138">
        <v>0</v>
      </c>
    </row>
    <row r="139" spans="1:20" x14ac:dyDescent="0.25">
      <c r="A139" t="s">
        <v>812</v>
      </c>
      <c r="B139">
        <v>8</v>
      </c>
      <c r="C139" t="s">
        <v>19</v>
      </c>
      <c r="D139">
        <v>14</v>
      </c>
      <c r="E139">
        <v>119</v>
      </c>
      <c r="F139">
        <v>112</v>
      </c>
      <c r="G139">
        <v>124</v>
      </c>
      <c r="H139" t="s">
        <v>102</v>
      </c>
      <c r="I139">
        <v>12</v>
      </c>
      <c r="J139">
        <v>0</v>
      </c>
      <c r="K139">
        <v>0</v>
      </c>
      <c r="L139">
        <v>0</v>
      </c>
      <c r="N139" t="s">
        <v>918</v>
      </c>
      <c r="O139" t="s">
        <v>25</v>
      </c>
      <c r="Q139">
        <v>3</v>
      </c>
      <c r="R139" t="b">
        <v>1</v>
      </c>
      <c r="S139" t="s">
        <v>119</v>
      </c>
      <c r="T139">
        <v>0</v>
      </c>
    </row>
    <row r="140" spans="1:20" x14ac:dyDescent="0.25">
      <c r="A140" t="s">
        <v>813</v>
      </c>
      <c r="B140">
        <v>8</v>
      </c>
      <c r="C140" t="s">
        <v>19</v>
      </c>
      <c r="D140">
        <v>113</v>
      </c>
      <c r="E140">
        <v>120</v>
      </c>
      <c r="F140">
        <v>140</v>
      </c>
      <c r="G140">
        <v>123</v>
      </c>
      <c r="H140" t="s">
        <v>20</v>
      </c>
      <c r="I140">
        <v>16</v>
      </c>
      <c r="J140">
        <v>1</v>
      </c>
      <c r="K140">
        <v>0</v>
      </c>
      <c r="L140">
        <v>0</v>
      </c>
      <c r="N140" t="s">
        <v>918</v>
      </c>
      <c r="O140" t="s">
        <v>27</v>
      </c>
      <c r="Q140">
        <v>2</v>
      </c>
      <c r="R140" t="b">
        <v>0</v>
      </c>
      <c r="S140" t="s">
        <v>119</v>
      </c>
      <c r="T140">
        <v>0</v>
      </c>
    </row>
    <row r="141" spans="1:20" x14ac:dyDescent="0.25">
      <c r="A141" t="s">
        <v>814</v>
      </c>
      <c r="B141">
        <v>8</v>
      </c>
      <c r="C141" t="s">
        <v>19</v>
      </c>
      <c r="D141">
        <v>140</v>
      </c>
      <c r="E141">
        <v>120</v>
      </c>
      <c r="F141">
        <v>169</v>
      </c>
      <c r="G141">
        <v>123</v>
      </c>
      <c r="H141" t="s">
        <v>20</v>
      </c>
      <c r="I141">
        <v>16</v>
      </c>
      <c r="J141">
        <v>1</v>
      </c>
      <c r="K141">
        <v>0</v>
      </c>
      <c r="L141">
        <v>0</v>
      </c>
      <c r="N141" t="s">
        <v>918</v>
      </c>
      <c r="O141" t="s">
        <v>27</v>
      </c>
      <c r="Q141">
        <v>2</v>
      </c>
      <c r="R141" t="b">
        <v>0</v>
      </c>
      <c r="S141" t="s">
        <v>119</v>
      </c>
      <c r="T141">
        <v>0</v>
      </c>
    </row>
    <row r="142" spans="1:20" x14ac:dyDescent="0.25">
      <c r="A142" t="s">
        <v>815</v>
      </c>
      <c r="B142">
        <v>8</v>
      </c>
      <c r="C142" t="s">
        <v>19</v>
      </c>
      <c r="D142">
        <v>168</v>
      </c>
      <c r="E142">
        <v>120</v>
      </c>
      <c r="F142">
        <v>194</v>
      </c>
      <c r="G142">
        <v>123</v>
      </c>
      <c r="H142" t="s">
        <v>20</v>
      </c>
      <c r="I142">
        <v>16</v>
      </c>
      <c r="J142">
        <v>1</v>
      </c>
      <c r="K142">
        <v>0</v>
      </c>
      <c r="L142">
        <v>0</v>
      </c>
      <c r="N142" t="s">
        <v>918</v>
      </c>
      <c r="O142" t="s">
        <v>27</v>
      </c>
      <c r="Q142">
        <v>2</v>
      </c>
      <c r="R142" t="b">
        <v>0</v>
      </c>
      <c r="S142" t="s">
        <v>119</v>
      </c>
      <c r="T142">
        <v>0</v>
      </c>
    </row>
    <row r="143" spans="1:20" x14ac:dyDescent="0.25">
      <c r="A143" t="s">
        <v>816</v>
      </c>
      <c r="B143">
        <v>8</v>
      </c>
      <c r="C143" t="s">
        <v>19</v>
      </c>
      <c r="D143">
        <v>14</v>
      </c>
      <c r="E143">
        <v>131</v>
      </c>
      <c r="F143">
        <v>112</v>
      </c>
      <c r="G143">
        <v>136</v>
      </c>
      <c r="H143" t="s">
        <v>102</v>
      </c>
      <c r="I143">
        <v>12</v>
      </c>
      <c r="J143">
        <v>0</v>
      </c>
      <c r="K143">
        <v>0</v>
      </c>
      <c r="L143">
        <v>0</v>
      </c>
      <c r="N143" t="s">
        <v>918</v>
      </c>
      <c r="O143" t="s">
        <v>25</v>
      </c>
      <c r="Q143">
        <v>3</v>
      </c>
      <c r="R143" t="b">
        <v>1</v>
      </c>
      <c r="S143" t="s">
        <v>119</v>
      </c>
      <c r="T143">
        <v>0</v>
      </c>
    </row>
    <row r="144" spans="1:20" x14ac:dyDescent="0.25">
      <c r="A144" t="s">
        <v>817</v>
      </c>
      <c r="B144">
        <v>8</v>
      </c>
      <c r="C144" t="s">
        <v>19</v>
      </c>
      <c r="D144">
        <v>113</v>
      </c>
      <c r="E144">
        <v>132</v>
      </c>
      <c r="F144">
        <v>140</v>
      </c>
      <c r="G144">
        <v>135</v>
      </c>
      <c r="H144" t="s">
        <v>20</v>
      </c>
      <c r="I144">
        <v>16</v>
      </c>
      <c r="J144">
        <v>1</v>
      </c>
      <c r="K144">
        <v>0</v>
      </c>
      <c r="L144">
        <v>0</v>
      </c>
      <c r="N144" t="s">
        <v>918</v>
      </c>
      <c r="O144" t="s">
        <v>27</v>
      </c>
      <c r="Q144">
        <v>2</v>
      </c>
      <c r="R144" t="b">
        <v>0</v>
      </c>
      <c r="S144" t="s">
        <v>119</v>
      </c>
      <c r="T144">
        <v>0</v>
      </c>
    </row>
    <row r="145" spans="1:20" x14ac:dyDescent="0.25">
      <c r="A145" t="s">
        <v>818</v>
      </c>
      <c r="B145">
        <v>8</v>
      </c>
      <c r="C145" t="s">
        <v>19</v>
      </c>
      <c r="D145">
        <v>140</v>
      </c>
      <c r="E145">
        <v>132</v>
      </c>
      <c r="F145">
        <v>169</v>
      </c>
      <c r="G145">
        <v>135</v>
      </c>
      <c r="H145" t="s">
        <v>20</v>
      </c>
      <c r="I145">
        <v>16</v>
      </c>
      <c r="J145">
        <v>1</v>
      </c>
      <c r="K145">
        <v>0</v>
      </c>
      <c r="L145">
        <v>0</v>
      </c>
      <c r="N145" t="s">
        <v>918</v>
      </c>
      <c r="O145" t="s">
        <v>27</v>
      </c>
      <c r="Q145">
        <v>2</v>
      </c>
      <c r="R145" t="b">
        <v>0</v>
      </c>
      <c r="S145" t="s">
        <v>119</v>
      </c>
      <c r="T145">
        <v>0</v>
      </c>
    </row>
    <row r="146" spans="1:20" x14ac:dyDescent="0.25">
      <c r="A146" t="s">
        <v>819</v>
      </c>
      <c r="B146">
        <v>8</v>
      </c>
      <c r="C146" t="s">
        <v>19</v>
      </c>
      <c r="D146">
        <v>168</v>
      </c>
      <c r="E146">
        <v>132</v>
      </c>
      <c r="F146">
        <v>194</v>
      </c>
      <c r="G146">
        <v>135</v>
      </c>
      <c r="H146" t="s">
        <v>20</v>
      </c>
      <c r="I146">
        <v>16</v>
      </c>
      <c r="J146">
        <v>1</v>
      </c>
      <c r="K146">
        <v>0</v>
      </c>
      <c r="L146">
        <v>0</v>
      </c>
      <c r="N146" t="s">
        <v>918</v>
      </c>
      <c r="O146" t="s">
        <v>27</v>
      </c>
      <c r="Q146">
        <v>2</v>
      </c>
      <c r="R146" t="b">
        <v>0</v>
      </c>
      <c r="S146" t="s">
        <v>119</v>
      </c>
      <c r="T146">
        <v>0</v>
      </c>
    </row>
    <row r="147" spans="1:20" x14ac:dyDescent="0.25">
      <c r="A147" t="s">
        <v>5234</v>
      </c>
      <c r="B147">
        <v>8</v>
      </c>
      <c r="C147" t="s">
        <v>19</v>
      </c>
      <c r="D147">
        <v>14</v>
      </c>
      <c r="E147">
        <v>143</v>
      </c>
      <c r="F147">
        <v>112</v>
      </c>
      <c r="G147">
        <v>148</v>
      </c>
      <c r="H147" t="s">
        <v>102</v>
      </c>
      <c r="I147">
        <v>12</v>
      </c>
      <c r="J147">
        <v>0</v>
      </c>
      <c r="K147">
        <v>0</v>
      </c>
      <c r="L147">
        <v>0</v>
      </c>
      <c r="N147" t="s">
        <v>918</v>
      </c>
      <c r="O147" t="s">
        <v>25</v>
      </c>
      <c r="Q147">
        <v>3</v>
      </c>
      <c r="R147" t="b">
        <v>1</v>
      </c>
      <c r="S147" t="s">
        <v>119</v>
      </c>
      <c r="T147">
        <v>0</v>
      </c>
    </row>
    <row r="148" spans="1:20" x14ac:dyDescent="0.25">
      <c r="A148" t="s">
        <v>5235</v>
      </c>
      <c r="B148">
        <v>8</v>
      </c>
      <c r="C148" t="s">
        <v>19</v>
      </c>
      <c r="D148">
        <v>113</v>
      </c>
      <c r="E148">
        <v>144</v>
      </c>
      <c r="F148">
        <v>140</v>
      </c>
      <c r="G148">
        <v>147</v>
      </c>
      <c r="H148" t="s">
        <v>20</v>
      </c>
      <c r="I148">
        <v>16</v>
      </c>
      <c r="J148">
        <v>1</v>
      </c>
      <c r="K148">
        <v>0</v>
      </c>
      <c r="L148">
        <v>0</v>
      </c>
      <c r="N148" t="s">
        <v>918</v>
      </c>
      <c r="O148" t="s">
        <v>27</v>
      </c>
      <c r="Q148">
        <v>2</v>
      </c>
      <c r="R148" t="b">
        <v>0</v>
      </c>
      <c r="S148" t="s">
        <v>119</v>
      </c>
      <c r="T148">
        <v>0</v>
      </c>
    </row>
    <row r="149" spans="1:20" x14ac:dyDescent="0.25">
      <c r="A149" t="s">
        <v>5236</v>
      </c>
      <c r="B149">
        <v>8</v>
      </c>
      <c r="C149" t="s">
        <v>19</v>
      </c>
      <c r="D149">
        <v>140</v>
      </c>
      <c r="E149">
        <v>144</v>
      </c>
      <c r="F149">
        <v>169</v>
      </c>
      <c r="G149">
        <v>147</v>
      </c>
      <c r="H149" t="s">
        <v>20</v>
      </c>
      <c r="I149">
        <v>16</v>
      </c>
      <c r="J149">
        <v>1</v>
      </c>
      <c r="K149">
        <v>0</v>
      </c>
      <c r="L149">
        <v>0</v>
      </c>
      <c r="N149" t="s">
        <v>918</v>
      </c>
      <c r="O149" t="s">
        <v>27</v>
      </c>
      <c r="Q149">
        <v>2</v>
      </c>
      <c r="R149" t="b">
        <v>0</v>
      </c>
      <c r="S149" t="s">
        <v>119</v>
      </c>
      <c r="T149">
        <v>0</v>
      </c>
    </row>
    <row r="150" spans="1:20" x14ac:dyDescent="0.25">
      <c r="A150" t="s">
        <v>5237</v>
      </c>
      <c r="B150">
        <v>8</v>
      </c>
      <c r="C150" t="s">
        <v>19</v>
      </c>
      <c r="D150">
        <v>168</v>
      </c>
      <c r="E150">
        <v>144</v>
      </c>
      <c r="F150">
        <v>194</v>
      </c>
      <c r="G150">
        <v>147</v>
      </c>
      <c r="H150" t="s">
        <v>20</v>
      </c>
      <c r="I150">
        <v>16</v>
      </c>
      <c r="J150">
        <v>1</v>
      </c>
      <c r="K150">
        <v>0</v>
      </c>
      <c r="L150">
        <v>0</v>
      </c>
      <c r="N150" t="s">
        <v>918</v>
      </c>
      <c r="O150" t="s">
        <v>27</v>
      </c>
      <c r="Q150">
        <v>2</v>
      </c>
      <c r="R150" t="b">
        <v>0</v>
      </c>
      <c r="S150" t="s">
        <v>119</v>
      </c>
      <c r="T150">
        <v>0</v>
      </c>
    </row>
    <row r="151" spans="1:20" x14ac:dyDescent="0.25">
      <c r="A151" t="s">
        <v>5238</v>
      </c>
      <c r="B151">
        <v>8</v>
      </c>
      <c r="C151" t="s">
        <v>19</v>
      </c>
      <c r="D151">
        <v>14</v>
      </c>
      <c r="E151">
        <v>155</v>
      </c>
      <c r="F151">
        <v>112</v>
      </c>
      <c r="G151">
        <v>160</v>
      </c>
      <c r="H151" t="s">
        <v>102</v>
      </c>
      <c r="I151">
        <v>12</v>
      </c>
      <c r="J151">
        <v>0</v>
      </c>
      <c r="K151">
        <v>0</v>
      </c>
      <c r="L151">
        <v>0</v>
      </c>
      <c r="N151" t="s">
        <v>918</v>
      </c>
      <c r="O151" t="s">
        <v>25</v>
      </c>
      <c r="Q151">
        <v>3</v>
      </c>
      <c r="R151" t="b">
        <v>1</v>
      </c>
      <c r="S151" t="s">
        <v>119</v>
      </c>
      <c r="T151">
        <v>0</v>
      </c>
    </row>
    <row r="152" spans="1:20" x14ac:dyDescent="0.25">
      <c r="A152" t="s">
        <v>5239</v>
      </c>
      <c r="B152">
        <v>8</v>
      </c>
      <c r="C152" t="s">
        <v>19</v>
      </c>
      <c r="D152">
        <v>113</v>
      </c>
      <c r="E152">
        <v>156</v>
      </c>
      <c r="F152">
        <v>140</v>
      </c>
      <c r="G152">
        <v>159</v>
      </c>
      <c r="H152" t="s">
        <v>20</v>
      </c>
      <c r="I152">
        <v>16</v>
      </c>
      <c r="J152">
        <v>1</v>
      </c>
      <c r="K152">
        <v>0</v>
      </c>
      <c r="L152">
        <v>0</v>
      </c>
      <c r="N152" t="s">
        <v>918</v>
      </c>
      <c r="O152" t="s">
        <v>27</v>
      </c>
      <c r="Q152">
        <v>2</v>
      </c>
      <c r="R152" t="b">
        <v>0</v>
      </c>
      <c r="S152" t="s">
        <v>119</v>
      </c>
      <c r="T152">
        <v>0</v>
      </c>
    </row>
    <row r="153" spans="1:20" x14ac:dyDescent="0.25">
      <c r="A153" t="s">
        <v>5240</v>
      </c>
      <c r="B153">
        <v>8</v>
      </c>
      <c r="C153" t="s">
        <v>19</v>
      </c>
      <c r="D153">
        <v>140</v>
      </c>
      <c r="E153">
        <v>156</v>
      </c>
      <c r="F153">
        <v>169</v>
      </c>
      <c r="G153">
        <v>159</v>
      </c>
      <c r="H153" t="s">
        <v>20</v>
      </c>
      <c r="I153">
        <v>16</v>
      </c>
      <c r="J153">
        <v>1</v>
      </c>
      <c r="K153">
        <v>0</v>
      </c>
      <c r="L153">
        <v>0</v>
      </c>
      <c r="N153" t="s">
        <v>918</v>
      </c>
      <c r="O153" t="s">
        <v>27</v>
      </c>
      <c r="Q153">
        <v>2</v>
      </c>
      <c r="R153" t="b">
        <v>0</v>
      </c>
      <c r="S153" t="s">
        <v>119</v>
      </c>
      <c r="T153">
        <v>0</v>
      </c>
    </row>
    <row r="154" spans="1:20" x14ac:dyDescent="0.25">
      <c r="A154" t="s">
        <v>5241</v>
      </c>
      <c r="B154">
        <v>8</v>
      </c>
      <c r="C154" t="s">
        <v>19</v>
      </c>
      <c r="D154">
        <v>168</v>
      </c>
      <c r="E154">
        <v>156</v>
      </c>
      <c r="F154">
        <v>194</v>
      </c>
      <c r="G154">
        <v>159</v>
      </c>
      <c r="H154" t="s">
        <v>20</v>
      </c>
      <c r="I154">
        <v>16</v>
      </c>
      <c r="J154">
        <v>1</v>
      </c>
      <c r="K154">
        <v>0</v>
      </c>
      <c r="L154">
        <v>0</v>
      </c>
      <c r="N154" t="s">
        <v>918</v>
      </c>
      <c r="O154" t="s">
        <v>27</v>
      </c>
      <c r="Q154">
        <v>2</v>
      </c>
      <c r="R154" t="b">
        <v>0</v>
      </c>
      <c r="S154" t="s">
        <v>119</v>
      </c>
      <c r="T154">
        <v>0</v>
      </c>
    </row>
    <row r="155" spans="1:20" x14ac:dyDescent="0.25">
      <c r="A155" t="s">
        <v>5242</v>
      </c>
      <c r="B155">
        <v>8</v>
      </c>
      <c r="C155" t="s">
        <v>19</v>
      </c>
      <c r="D155">
        <v>14</v>
      </c>
      <c r="E155">
        <v>167</v>
      </c>
      <c r="F155">
        <v>112</v>
      </c>
      <c r="G155">
        <v>172</v>
      </c>
      <c r="H155" t="s">
        <v>102</v>
      </c>
      <c r="I155">
        <v>12</v>
      </c>
      <c r="J155">
        <v>0</v>
      </c>
      <c r="K155">
        <v>0</v>
      </c>
      <c r="L155">
        <v>0</v>
      </c>
      <c r="N155" t="s">
        <v>918</v>
      </c>
      <c r="O155" t="s">
        <v>25</v>
      </c>
      <c r="Q155">
        <v>3</v>
      </c>
      <c r="R155" t="b">
        <v>1</v>
      </c>
      <c r="S155" t="s">
        <v>119</v>
      </c>
      <c r="T155">
        <v>0</v>
      </c>
    </row>
    <row r="156" spans="1:20" x14ac:dyDescent="0.25">
      <c r="A156" t="s">
        <v>5243</v>
      </c>
      <c r="B156">
        <v>8</v>
      </c>
      <c r="C156" t="s">
        <v>19</v>
      </c>
      <c r="D156">
        <v>113</v>
      </c>
      <c r="E156">
        <v>168</v>
      </c>
      <c r="F156">
        <v>140</v>
      </c>
      <c r="G156">
        <v>171</v>
      </c>
      <c r="H156" t="s">
        <v>20</v>
      </c>
      <c r="I156">
        <v>16</v>
      </c>
      <c r="J156">
        <v>1</v>
      </c>
      <c r="K156">
        <v>0</v>
      </c>
      <c r="L156">
        <v>0</v>
      </c>
      <c r="N156" t="s">
        <v>918</v>
      </c>
      <c r="O156" t="s">
        <v>27</v>
      </c>
      <c r="Q156">
        <v>2</v>
      </c>
      <c r="R156" t="b">
        <v>0</v>
      </c>
      <c r="S156" t="s">
        <v>119</v>
      </c>
      <c r="T156">
        <v>0</v>
      </c>
    </row>
    <row r="157" spans="1:20" x14ac:dyDescent="0.25">
      <c r="A157" t="s">
        <v>5244</v>
      </c>
      <c r="B157">
        <v>8</v>
      </c>
      <c r="C157" t="s">
        <v>19</v>
      </c>
      <c r="D157">
        <v>140</v>
      </c>
      <c r="E157">
        <v>168</v>
      </c>
      <c r="F157">
        <v>169</v>
      </c>
      <c r="G157">
        <v>171</v>
      </c>
      <c r="H157" t="s">
        <v>20</v>
      </c>
      <c r="I157">
        <v>16</v>
      </c>
      <c r="J157">
        <v>1</v>
      </c>
      <c r="K157">
        <v>0</v>
      </c>
      <c r="L157">
        <v>0</v>
      </c>
      <c r="N157" t="s">
        <v>918</v>
      </c>
      <c r="O157" t="s">
        <v>27</v>
      </c>
      <c r="Q157">
        <v>2</v>
      </c>
      <c r="R157" t="b">
        <v>0</v>
      </c>
      <c r="S157" t="s">
        <v>119</v>
      </c>
      <c r="T157">
        <v>0</v>
      </c>
    </row>
    <row r="158" spans="1:20" x14ac:dyDescent="0.25">
      <c r="A158" t="s">
        <v>5245</v>
      </c>
      <c r="B158">
        <v>8</v>
      </c>
      <c r="C158" t="s">
        <v>19</v>
      </c>
      <c r="D158">
        <v>168</v>
      </c>
      <c r="E158">
        <v>168</v>
      </c>
      <c r="F158">
        <v>194</v>
      </c>
      <c r="G158">
        <v>171</v>
      </c>
      <c r="H158" t="s">
        <v>20</v>
      </c>
      <c r="I158">
        <v>16</v>
      </c>
      <c r="J158">
        <v>1</v>
      </c>
      <c r="K158">
        <v>0</v>
      </c>
      <c r="L158">
        <v>0</v>
      </c>
      <c r="N158" t="s">
        <v>918</v>
      </c>
      <c r="O158" t="s">
        <v>27</v>
      </c>
      <c r="Q158">
        <v>2</v>
      </c>
      <c r="R158" t="b">
        <v>0</v>
      </c>
      <c r="S158" t="s">
        <v>119</v>
      </c>
      <c r="T158">
        <v>0</v>
      </c>
    </row>
    <row r="159" spans="1:20" x14ac:dyDescent="0.25">
      <c r="A159" t="s">
        <v>5246</v>
      </c>
      <c r="B159">
        <v>8</v>
      </c>
      <c r="C159" t="s">
        <v>19</v>
      </c>
      <c r="D159">
        <v>14</v>
      </c>
      <c r="E159">
        <v>179</v>
      </c>
      <c r="F159">
        <v>112</v>
      </c>
      <c r="G159">
        <v>184</v>
      </c>
      <c r="H159" t="s">
        <v>102</v>
      </c>
      <c r="I159">
        <v>12</v>
      </c>
      <c r="J159">
        <v>0</v>
      </c>
      <c r="K159">
        <v>0</v>
      </c>
      <c r="L159">
        <v>0</v>
      </c>
      <c r="N159" t="s">
        <v>918</v>
      </c>
      <c r="O159" t="s">
        <v>25</v>
      </c>
      <c r="Q159">
        <v>3</v>
      </c>
      <c r="R159" t="b">
        <v>1</v>
      </c>
      <c r="S159" t="s">
        <v>119</v>
      </c>
      <c r="T159">
        <v>0</v>
      </c>
    </row>
    <row r="160" spans="1:20" x14ac:dyDescent="0.25">
      <c r="A160" t="s">
        <v>5247</v>
      </c>
      <c r="B160">
        <v>8</v>
      </c>
      <c r="C160" t="s">
        <v>19</v>
      </c>
      <c r="D160">
        <v>113</v>
      </c>
      <c r="E160">
        <v>180</v>
      </c>
      <c r="F160">
        <v>140</v>
      </c>
      <c r="G160">
        <v>183</v>
      </c>
      <c r="H160" t="s">
        <v>20</v>
      </c>
      <c r="I160">
        <v>16</v>
      </c>
      <c r="J160">
        <v>1</v>
      </c>
      <c r="K160">
        <v>0</v>
      </c>
      <c r="L160">
        <v>0</v>
      </c>
      <c r="N160" t="s">
        <v>918</v>
      </c>
      <c r="O160" t="s">
        <v>27</v>
      </c>
      <c r="Q160">
        <v>2</v>
      </c>
      <c r="R160" t="b">
        <v>0</v>
      </c>
      <c r="S160" t="s">
        <v>119</v>
      </c>
      <c r="T160">
        <v>0</v>
      </c>
    </row>
    <row r="161" spans="1:20" x14ac:dyDescent="0.25">
      <c r="A161" t="s">
        <v>5248</v>
      </c>
      <c r="B161">
        <v>8</v>
      </c>
      <c r="C161" t="s">
        <v>19</v>
      </c>
      <c r="D161">
        <v>140</v>
      </c>
      <c r="E161">
        <v>180</v>
      </c>
      <c r="F161">
        <v>169</v>
      </c>
      <c r="G161">
        <v>183</v>
      </c>
      <c r="H161" t="s">
        <v>20</v>
      </c>
      <c r="I161">
        <v>16</v>
      </c>
      <c r="J161">
        <v>1</v>
      </c>
      <c r="K161">
        <v>0</v>
      </c>
      <c r="L161">
        <v>0</v>
      </c>
      <c r="N161" t="s">
        <v>918</v>
      </c>
      <c r="O161" t="s">
        <v>27</v>
      </c>
      <c r="Q161">
        <v>2</v>
      </c>
      <c r="R161" t="b">
        <v>0</v>
      </c>
      <c r="S161" t="s">
        <v>119</v>
      </c>
      <c r="T161">
        <v>0</v>
      </c>
    </row>
    <row r="162" spans="1:20" x14ac:dyDescent="0.25">
      <c r="A162" t="s">
        <v>5249</v>
      </c>
      <c r="B162">
        <v>8</v>
      </c>
      <c r="C162" t="s">
        <v>19</v>
      </c>
      <c r="D162">
        <v>168</v>
      </c>
      <c r="E162">
        <v>180</v>
      </c>
      <c r="F162">
        <v>194</v>
      </c>
      <c r="G162">
        <v>183</v>
      </c>
      <c r="H162" t="s">
        <v>20</v>
      </c>
      <c r="I162">
        <v>16</v>
      </c>
      <c r="J162">
        <v>1</v>
      </c>
      <c r="K162">
        <v>0</v>
      </c>
      <c r="L162">
        <v>0</v>
      </c>
      <c r="N162" t="s">
        <v>918</v>
      </c>
      <c r="O162" t="s">
        <v>27</v>
      </c>
      <c r="Q162">
        <v>2</v>
      </c>
      <c r="R162" t="b">
        <v>0</v>
      </c>
      <c r="S162" t="s">
        <v>119</v>
      </c>
      <c r="T162">
        <v>0</v>
      </c>
    </row>
    <row r="163" spans="1:20" x14ac:dyDescent="0.25">
      <c r="A163" t="s">
        <v>5250</v>
      </c>
      <c r="B163">
        <v>8</v>
      </c>
      <c r="C163" t="s">
        <v>19</v>
      </c>
      <c r="D163">
        <v>14</v>
      </c>
      <c r="E163">
        <v>191</v>
      </c>
      <c r="F163">
        <v>112</v>
      </c>
      <c r="G163">
        <v>196</v>
      </c>
      <c r="H163" t="s">
        <v>102</v>
      </c>
      <c r="I163">
        <v>12</v>
      </c>
      <c r="J163">
        <v>0</v>
      </c>
      <c r="K163">
        <v>0</v>
      </c>
      <c r="L163">
        <v>0</v>
      </c>
      <c r="N163" t="s">
        <v>918</v>
      </c>
      <c r="O163" t="s">
        <v>25</v>
      </c>
      <c r="Q163">
        <v>3</v>
      </c>
      <c r="R163" t="b">
        <v>1</v>
      </c>
      <c r="S163" t="s">
        <v>119</v>
      </c>
      <c r="T163">
        <v>0</v>
      </c>
    </row>
    <row r="164" spans="1:20" x14ac:dyDescent="0.25">
      <c r="A164" t="s">
        <v>5251</v>
      </c>
      <c r="B164">
        <v>8</v>
      </c>
      <c r="C164" t="s">
        <v>19</v>
      </c>
      <c r="D164">
        <v>113</v>
      </c>
      <c r="E164">
        <v>192</v>
      </c>
      <c r="F164">
        <v>140</v>
      </c>
      <c r="G164">
        <v>195</v>
      </c>
      <c r="H164" t="s">
        <v>20</v>
      </c>
      <c r="I164">
        <v>16</v>
      </c>
      <c r="J164">
        <v>1</v>
      </c>
      <c r="K164">
        <v>0</v>
      </c>
      <c r="L164">
        <v>0</v>
      </c>
      <c r="N164" t="s">
        <v>918</v>
      </c>
      <c r="O164" t="s">
        <v>27</v>
      </c>
      <c r="Q164">
        <v>2</v>
      </c>
      <c r="R164" t="b">
        <v>0</v>
      </c>
      <c r="S164" t="s">
        <v>119</v>
      </c>
      <c r="T164">
        <v>0</v>
      </c>
    </row>
    <row r="165" spans="1:20" x14ac:dyDescent="0.25">
      <c r="A165" t="s">
        <v>5252</v>
      </c>
      <c r="B165">
        <v>8</v>
      </c>
      <c r="C165" t="s">
        <v>19</v>
      </c>
      <c r="D165">
        <v>140</v>
      </c>
      <c r="E165">
        <v>192</v>
      </c>
      <c r="F165">
        <v>169</v>
      </c>
      <c r="G165">
        <v>195</v>
      </c>
      <c r="H165" t="s">
        <v>20</v>
      </c>
      <c r="I165">
        <v>16</v>
      </c>
      <c r="J165">
        <v>1</v>
      </c>
      <c r="K165">
        <v>0</v>
      </c>
      <c r="L165">
        <v>0</v>
      </c>
      <c r="N165" t="s">
        <v>918</v>
      </c>
      <c r="O165" t="s">
        <v>27</v>
      </c>
      <c r="Q165">
        <v>2</v>
      </c>
      <c r="R165" t="b">
        <v>0</v>
      </c>
      <c r="S165" t="s">
        <v>119</v>
      </c>
      <c r="T165">
        <v>0</v>
      </c>
    </row>
    <row r="166" spans="1:20" x14ac:dyDescent="0.25">
      <c r="A166" t="s">
        <v>5253</v>
      </c>
      <c r="B166">
        <v>8</v>
      </c>
      <c r="C166" t="s">
        <v>19</v>
      </c>
      <c r="D166">
        <v>168</v>
      </c>
      <c r="E166">
        <v>192</v>
      </c>
      <c r="F166">
        <v>194</v>
      </c>
      <c r="G166">
        <v>195</v>
      </c>
      <c r="H166" t="s">
        <v>20</v>
      </c>
      <c r="I166">
        <v>16</v>
      </c>
      <c r="J166">
        <v>1</v>
      </c>
      <c r="K166">
        <v>0</v>
      </c>
      <c r="L166">
        <v>0</v>
      </c>
      <c r="N166" t="s">
        <v>918</v>
      </c>
      <c r="O166" t="s">
        <v>27</v>
      </c>
      <c r="Q166">
        <v>2</v>
      </c>
      <c r="R166" t="b">
        <v>0</v>
      </c>
      <c r="S166" t="s">
        <v>119</v>
      </c>
      <c r="T166">
        <v>0</v>
      </c>
    </row>
    <row r="167" spans="1:20" x14ac:dyDescent="0.25">
      <c r="A167" t="s">
        <v>5254</v>
      </c>
      <c r="B167">
        <v>8</v>
      </c>
      <c r="C167" t="s">
        <v>19</v>
      </c>
      <c r="D167">
        <v>14</v>
      </c>
      <c r="E167">
        <v>203</v>
      </c>
      <c r="F167">
        <v>112</v>
      </c>
      <c r="G167">
        <v>208</v>
      </c>
      <c r="H167" t="s">
        <v>102</v>
      </c>
      <c r="I167">
        <v>12</v>
      </c>
      <c r="J167">
        <v>0</v>
      </c>
      <c r="K167">
        <v>0</v>
      </c>
      <c r="L167">
        <v>0</v>
      </c>
      <c r="N167" t="s">
        <v>918</v>
      </c>
      <c r="O167" t="s">
        <v>25</v>
      </c>
      <c r="Q167">
        <v>3</v>
      </c>
      <c r="R167" t="b">
        <v>1</v>
      </c>
      <c r="S167" t="s">
        <v>119</v>
      </c>
      <c r="T167">
        <v>0</v>
      </c>
    </row>
    <row r="168" spans="1:20" x14ac:dyDescent="0.25">
      <c r="A168" t="s">
        <v>5255</v>
      </c>
      <c r="B168">
        <v>8</v>
      </c>
      <c r="C168" t="s">
        <v>19</v>
      </c>
      <c r="D168">
        <v>113</v>
      </c>
      <c r="E168">
        <v>204</v>
      </c>
      <c r="F168">
        <v>140</v>
      </c>
      <c r="G168">
        <v>207</v>
      </c>
      <c r="H168" t="s">
        <v>20</v>
      </c>
      <c r="I168">
        <v>16</v>
      </c>
      <c r="J168">
        <v>1</v>
      </c>
      <c r="K168">
        <v>0</v>
      </c>
      <c r="L168">
        <v>0</v>
      </c>
      <c r="N168" t="s">
        <v>918</v>
      </c>
      <c r="O168" t="s">
        <v>27</v>
      </c>
      <c r="Q168">
        <v>2</v>
      </c>
      <c r="R168" t="b">
        <v>0</v>
      </c>
      <c r="S168" t="s">
        <v>119</v>
      </c>
      <c r="T168">
        <v>0</v>
      </c>
    </row>
    <row r="169" spans="1:20" x14ac:dyDescent="0.25">
      <c r="A169" t="s">
        <v>5256</v>
      </c>
      <c r="B169">
        <v>8</v>
      </c>
      <c r="C169" t="s">
        <v>19</v>
      </c>
      <c r="D169">
        <v>140</v>
      </c>
      <c r="E169">
        <v>204</v>
      </c>
      <c r="F169">
        <v>169</v>
      </c>
      <c r="G169">
        <v>207</v>
      </c>
      <c r="H169" t="s">
        <v>20</v>
      </c>
      <c r="I169">
        <v>16</v>
      </c>
      <c r="J169">
        <v>1</v>
      </c>
      <c r="K169">
        <v>0</v>
      </c>
      <c r="L169">
        <v>0</v>
      </c>
      <c r="N169" t="s">
        <v>918</v>
      </c>
      <c r="O169" t="s">
        <v>27</v>
      </c>
      <c r="Q169">
        <v>2</v>
      </c>
      <c r="R169" t="b">
        <v>0</v>
      </c>
      <c r="S169" t="s">
        <v>119</v>
      </c>
      <c r="T169">
        <v>0</v>
      </c>
    </row>
    <row r="170" spans="1:20" x14ac:dyDescent="0.25">
      <c r="A170" t="s">
        <v>5257</v>
      </c>
      <c r="B170">
        <v>8</v>
      </c>
      <c r="C170" t="s">
        <v>19</v>
      </c>
      <c r="D170">
        <v>168</v>
      </c>
      <c r="E170">
        <v>204</v>
      </c>
      <c r="F170">
        <v>194</v>
      </c>
      <c r="G170">
        <v>207</v>
      </c>
      <c r="H170" t="s">
        <v>20</v>
      </c>
      <c r="I170">
        <v>16</v>
      </c>
      <c r="J170">
        <v>1</v>
      </c>
      <c r="K170">
        <v>0</v>
      </c>
      <c r="L170">
        <v>0</v>
      </c>
      <c r="N170" t="s">
        <v>918</v>
      </c>
      <c r="O170" t="s">
        <v>27</v>
      </c>
      <c r="Q170">
        <v>2</v>
      </c>
      <c r="R170" t="b">
        <v>0</v>
      </c>
      <c r="S170" t="s">
        <v>119</v>
      </c>
      <c r="T170">
        <v>0</v>
      </c>
    </row>
    <row r="171" spans="1:20" x14ac:dyDescent="0.25">
      <c r="A171" t="s">
        <v>5258</v>
      </c>
      <c r="B171">
        <v>8</v>
      </c>
      <c r="C171" t="s">
        <v>19</v>
      </c>
      <c r="D171">
        <v>14</v>
      </c>
      <c r="E171">
        <v>215</v>
      </c>
      <c r="F171">
        <v>112</v>
      </c>
      <c r="G171">
        <v>220</v>
      </c>
      <c r="H171" t="s">
        <v>102</v>
      </c>
      <c r="I171">
        <v>12</v>
      </c>
      <c r="J171">
        <v>0</v>
      </c>
      <c r="K171">
        <v>0</v>
      </c>
      <c r="L171">
        <v>0</v>
      </c>
      <c r="N171" t="s">
        <v>918</v>
      </c>
      <c r="O171" t="s">
        <v>25</v>
      </c>
      <c r="Q171">
        <v>3</v>
      </c>
      <c r="R171" t="b">
        <v>1</v>
      </c>
      <c r="S171" t="s">
        <v>119</v>
      </c>
      <c r="T171">
        <v>0</v>
      </c>
    </row>
    <row r="172" spans="1:20" x14ac:dyDescent="0.25">
      <c r="A172" t="s">
        <v>5259</v>
      </c>
      <c r="B172">
        <v>8</v>
      </c>
      <c r="C172" t="s">
        <v>19</v>
      </c>
      <c r="D172">
        <v>113</v>
      </c>
      <c r="E172">
        <v>216</v>
      </c>
      <c r="F172">
        <v>140</v>
      </c>
      <c r="G172">
        <v>219</v>
      </c>
      <c r="H172" t="s">
        <v>20</v>
      </c>
      <c r="I172">
        <v>16</v>
      </c>
      <c r="J172">
        <v>1</v>
      </c>
      <c r="K172">
        <v>0</v>
      </c>
      <c r="L172">
        <v>0</v>
      </c>
      <c r="N172" t="s">
        <v>918</v>
      </c>
      <c r="O172" t="s">
        <v>27</v>
      </c>
      <c r="Q172">
        <v>2</v>
      </c>
      <c r="R172" t="b">
        <v>0</v>
      </c>
      <c r="S172" t="s">
        <v>119</v>
      </c>
      <c r="T172">
        <v>0</v>
      </c>
    </row>
    <row r="173" spans="1:20" x14ac:dyDescent="0.25">
      <c r="A173" t="s">
        <v>5260</v>
      </c>
      <c r="B173">
        <v>8</v>
      </c>
      <c r="C173" t="s">
        <v>19</v>
      </c>
      <c r="D173">
        <v>140</v>
      </c>
      <c r="E173">
        <v>216</v>
      </c>
      <c r="F173">
        <v>169</v>
      </c>
      <c r="G173">
        <v>219</v>
      </c>
      <c r="H173" t="s">
        <v>20</v>
      </c>
      <c r="I173">
        <v>16</v>
      </c>
      <c r="J173">
        <v>1</v>
      </c>
      <c r="K173">
        <v>0</v>
      </c>
      <c r="L173">
        <v>0</v>
      </c>
      <c r="N173" t="s">
        <v>918</v>
      </c>
      <c r="O173" t="s">
        <v>27</v>
      </c>
      <c r="Q173">
        <v>2</v>
      </c>
      <c r="R173" t="b">
        <v>0</v>
      </c>
      <c r="S173" t="s">
        <v>119</v>
      </c>
      <c r="T173">
        <v>0</v>
      </c>
    </row>
    <row r="174" spans="1:20" x14ac:dyDescent="0.25">
      <c r="A174" t="s">
        <v>5261</v>
      </c>
      <c r="B174">
        <v>8</v>
      </c>
      <c r="C174" t="s">
        <v>19</v>
      </c>
      <c r="D174">
        <v>168</v>
      </c>
      <c r="E174">
        <v>216</v>
      </c>
      <c r="F174">
        <v>194</v>
      </c>
      <c r="G174">
        <v>219</v>
      </c>
      <c r="H174" t="s">
        <v>20</v>
      </c>
      <c r="I174">
        <v>16</v>
      </c>
      <c r="J174">
        <v>1</v>
      </c>
      <c r="K174">
        <v>0</v>
      </c>
      <c r="L174">
        <v>0</v>
      </c>
      <c r="N174" t="s">
        <v>918</v>
      </c>
      <c r="O174" t="s">
        <v>27</v>
      </c>
      <c r="Q174">
        <v>2</v>
      </c>
      <c r="R174" t="b">
        <v>0</v>
      </c>
      <c r="S174" t="s">
        <v>119</v>
      </c>
      <c r="T174">
        <v>0</v>
      </c>
    </row>
    <row r="175" spans="1:20" x14ac:dyDescent="0.25">
      <c r="A175" t="s">
        <v>5262</v>
      </c>
      <c r="B175">
        <v>8</v>
      </c>
      <c r="C175" t="s">
        <v>19</v>
      </c>
      <c r="D175">
        <v>14</v>
      </c>
      <c r="E175">
        <v>227</v>
      </c>
      <c r="F175">
        <v>112</v>
      </c>
      <c r="G175">
        <v>232</v>
      </c>
      <c r="H175" t="s">
        <v>102</v>
      </c>
      <c r="I175">
        <v>12</v>
      </c>
      <c r="J175">
        <v>0</v>
      </c>
      <c r="K175">
        <v>0</v>
      </c>
      <c r="L175">
        <v>0</v>
      </c>
      <c r="N175" t="s">
        <v>918</v>
      </c>
      <c r="O175" t="s">
        <v>25</v>
      </c>
      <c r="Q175">
        <v>3</v>
      </c>
      <c r="R175" t="b">
        <v>1</v>
      </c>
      <c r="S175" t="s">
        <v>119</v>
      </c>
      <c r="T175">
        <v>0</v>
      </c>
    </row>
    <row r="176" spans="1:20" x14ac:dyDescent="0.25">
      <c r="A176" t="s">
        <v>5263</v>
      </c>
      <c r="B176">
        <v>8</v>
      </c>
      <c r="C176" t="s">
        <v>19</v>
      </c>
      <c r="D176">
        <v>113</v>
      </c>
      <c r="E176">
        <v>228</v>
      </c>
      <c r="F176">
        <v>140</v>
      </c>
      <c r="G176">
        <v>231</v>
      </c>
      <c r="H176" t="s">
        <v>20</v>
      </c>
      <c r="I176">
        <v>16</v>
      </c>
      <c r="J176">
        <v>1</v>
      </c>
      <c r="K176">
        <v>0</v>
      </c>
      <c r="L176">
        <v>0</v>
      </c>
      <c r="N176" t="s">
        <v>918</v>
      </c>
      <c r="O176" t="s">
        <v>27</v>
      </c>
      <c r="Q176">
        <v>2</v>
      </c>
      <c r="R176" t="b">
        <v>0</v>
      </c>
      <c r="S176" t="s">
        <v>119</v>
      </c>
      <c r="T176">
        <v>0</v>
      </c>
    </row>
    <row r="177" spans="1:20" x14ac:dyDescent="0.25">
      <c r="A177" t="s">
        <v>5264</v>
      </c>
      <c r="B177">
        <v>8</v>
      </c>
      <c r="C177" t="s">
        <v>19</v>
      </c>
      <c r="D177">
        <v>140</v>
      </c>
      <c r="E177">
        <v>228</v>
      </c>
      <c r="F177">
        <v>169</v>
      </c>
      <c r="G177">
        <v>231</v>
      </c>
      <c r="H177" t="s">
        <v>20</v>
      </c>
      <c r="I177">
        <v>16</v>
      </c>
      <c r="J177">
        <v>1</v>
      </c>
      <c r="K177">
        <v>0</v>
      </c>
      <c r="L177">
        <v>0</v>
      </c>
      <c r="N177" t="s">
        <v>918</v>
      </c>
      <c r="O177" t="s">
        <v>27</v>
      </c>
      <c r="Q177">
        <v>2</v>
      </c>
      <c r="R177" t="b">
        <v>0</v>
      </c>
      <c r="S177" t="s">
        <v>119</v>
      </c>
      <c r="T177">
        <v>0</v>
      </c>
    </row>
    <row r="178" spans="1:20" x14ac:dyDescent="0.25">
      <c r="A178" t="s">
        <v>5265</v>
      </c>
      <c r="B178">
        <v>8</v>
      </c>
      <c r="C178" t="s">
        <v>19</v>
      </c>
      <c r="D178">
        <v>168</v>
      </c>
      <c r="E178">
        <v>228</v>
      </c>
      <c r="F178">
        <v>194</v>
      </c>
      <c r="G178">
        <v>231</v>
      </c>
      <c r="H178" t="s">
        <v>20</v>
      </c>
      <c r="I178">
        <v>16</v>
      </c>
      <c r="J178">
        <v>1</v>
      </c>
      <c r="K178">
        <v>0</v>
      </c>
      <c r="L178">
        <v>0</v>
      </c>
      <c r="N178" t="s">
        <v>918</v>
      </c>
      <c r="O178" t="s">
        <v>27</v>
      </c>
      <c r="Q178">
        <v>2</v>
      </c>
      <c r="R178" t="b">
        <v>0</v>
      </c>
      <c r="S178" t="s">
        <v>119</v>
      </c>
      <c r="T178">
        <v>0</v>
      </c>
    </row>
    <row r="179" spans="1:20" x14ac:dyDescent="0.25">
      <c r="A179" t="s">
        <v>5266</v>
      </c>
      <c r="B179">
        <v>8</v>
      </c>
      <c r="C179" t="s">
        <v>19</v>
      </c>
      <c r="D179">
        <v>14</v>
      </c>
      <c r="E179">
        <v>239</v>
      </c>
      <c r="F179">
        <v>112</v>
      </c>
      <c r="G179">
        <v>244</v>
      </c>
      <c r="H179" t="s">
        <v>102</v>
      </c>
      <c r="I179">
        <v>12</v>
      </c>
      <c r="J179">
        <v>0</v>
      </c>
      <c r="K179">
        <v>0</v>
      </c>
      <c r="L179">
        <v>0</v>
      </c>
      <c r="N179" t="s">
        <v>918</v>
      </c>
      <c r="O179" t="s">
        <v>25</v>
      </c>
      <c r="Q179">
        <v>3</v>
      </c>
      <c r="R179" t="b">
        <v>1</v>
      </c>
      <c r="S179" t="s">
        <v>119</v>
      </c>
      <c r="T179">
        <v>0</v>
      </c>
    </row>
    <row r="180" spans="1:20" x14ac:dyDescent="0.25">
      <c r="A180" t="s">
        <v>5267</v>
      </c>
      <c r="B180">
        <v>8</v>
      </c>
      <c r="C180" t="s">
        <v>19</v>
      </c>
      <c r="D180">
        <v>113</v>
      </c>
      <c r="E180">
        <v>240</v>
      </c>
      <c r="F180">
        <v>140</v>
      </c>
      <c r="G180">
        <v>243</v>
      </c>
      <c r="H180" t="s">
        <v>20</v>
      </c>
      <c r="I180">
        <v>16</v>
      </c>
      <c r="J180">
        <v>1</v>
      </c>
      <c r="K180">
        <v>0</v>
      </c>
      <c r="L180">
        <v>0</v>
      </c>
      <c r="N180" t="s">
        <v>918</v>
      </c>
      <c r="O180" t="s">
        <v>27</v>
      </c>
      <c r="Q180">
        <v>2</v>
      </c>
      <c r="R180" t="b">
        <v>0</v>
      </c>
      <c r="S180" t="s">
        <v>119</v>
      </c>
      <c r="T180">
        <v>0</v>
      </c>
    </row>
    <row r="181" spans="1:20" x14ac:dyDescent="0.25">
      <c r="A181" t="s">
        <v>5268</v>
      </c>
      <c r="B181">
        <v>8</v>
      </c>
      <c r="C181" t="s">
        <v>19</v>
      </c>
      <c r="D181">
        <v>140</v>
      </c>
      <c r="E181">
        <v>240</v>
      </c>
      <c r="F181">
        <v>169</v>
      </c>
      <c r="G181">
        <v>243</v>
      </c>
      <c r="H181" t="s">
        <v>20</v>
      </c>
      <c r="I181">
        <v>16</v>
      </c>
      <c r="J181">
        <v>1</v>
      </c>
      <c r="K181">
        <v>0</v>
      </c>
      <c r="L181">
        <v>0</v>
      </c>
      <c r="N181" t="s">
        <v>918</v>
      </c>
      <c r="O181" t="s">
        <v>27</v>
      </c>
      <c r="Q181">
        <v>2</v>
      </c>
      <c r="R181" t="b">
        <v>0</v>
      </c>
      <c r="S181" t="s">
        <v>119</v>
      </c>
      <c r="T181">
        <v>0</v>
      </c>
    </row>
    <row r="182" spans="1:20" x14ac:dyDescent="0.25">
      <c r="A182" t="s">
        <v>5269</v>
      </c>
      <c r="B182">
        <v>8</v>
      </c>
      <c r="C182" t="s">
        <v>19</v>
      </c>
      <c r="D182">
        <v>168</v>
      </c>
      <c r="E182">
        <v>240</v>
      </c>
      <c r="F182">
        <v>194</v>
      </c>
      <c r="G182">
        <v>243</v>
      </c>
      <c r="H182" t="s">
        <v>20</v>
      </c>
      <c r="I182">
        <v>16</v>
      </c>
      <c r="J182">
        <v>1</v>
      </c>
      <c r="K182">
        <v>0</v>
      </c>
      <c r="L182">
        <v>0</v>
      </c>
      <c r="N182" t="s">
        <v>918</v>
      </c>
      <c r="O182" t="s">
        <v>27</v>
      </c>
      <c r="Q182">
        <v>2</v>
      </c>
      <c r="R182" t="b">
        <v>0</v>
      </c>
      <c r="S182" t="s">
        <v>119</v>
      </c>
      <c r="T182">
        <v>0</v>
      </c>
    </row>
    <row r="183" spans="1:20" x14ac:dyDescent="0.25">
      <c r="A183" t="s">
        <v>5270</v>
      </c>
      <c r="B183">
        <v>8</v>
      </c>
      <c r="C183" t="s">
        <v>19</v>
      </c>
      <c r="D183">
        <v>14</v>
      </c>
      <c r="E183">
        <v>251</v>
      </c>
      <c r="F183">
        <v>112</v>
      </c>
      <c r="G183">
        <v>256</v>
      </c>
      <c r="H183" t="s">
        <v>102</v>
      </c>
      <c r="I183">
        <v>12</v>
      </c>
      <c r="J183">
        <v>0</v>
      </c>
      <c r="K183">
        <v>0</v>
      </c>
      <c r="L183">
        <v>0</v>
      </c>
      <c r="N183" t="s">
        <v>918</v>
      </c>
      <c r="O183" t="s">
        <v>25</v>
      </c>
      <c r="Q183">
        <v>3</v>
      </c>
      <c r="R183" t="b">
        <v>1</v>
      </c>
      <c r="S183" t="s">
        <v>119</v>
      </c>
      <c r="T183">
        <v>0</v>
      </c>
    </row>
    <row r="184" spans="1:20" x14ac:dyDescent="0.25">
      <c r="A184" t="s">
        <v>5271</v>
      </c>
      <c r="B184">
        <v>8</v>
      </c>
      <c r="C184" t="s">
        <v>19</v>
      </c>
      <c r="D184">
        <v>113</v>
      </c>
      <c r="E184">
        <v>252</v>
      </c>
      <c r="F184">
        <v>140</v>
      </c>
      <c r="G184">
        <v>255</v>
      </c>
      <c r="H184" t="s">
        <v>20</v>
      </c>
      <c r="I184">
        <v>16</v>
      </c>
      <c r="J184">
        <v>1</v>
      </c>
      <c r="K184">
        <v>0</v>
      </c>
      <c r="L184">
        <v>0</v>
      </c>
      <c r="N184" t="s">
        <v>918</v>
      </c>
      <c r="O184" t="s">
        <v>27</v>
      </c>
      <c r="Q184">
        <v>2</v>
      </c>
      <c r="R184" t="b">
        <v>0</v>
      </c>
      <c r="S184" t="s">
        <v>119</v>
      </c>
      <c r="T184">
        <v>0</v>
      </c>
    </row>
    <row r="185" spans="1:20" x14ac:dyDescent="0.25">
      <c r="A185" t="s">
        <v>5272</v>
      </c>
      <c r="B185">
        <v>8</v>
      </c>
      <c r="C185" t="s">
        <v>19</v>
      </c>
      <c r="D185">
        <v>140</v>
      </c>
      <c r="E185">
        <v>252</v>
      </c>
      <c r="F185">
        <v>169</v>
      </c>
      <c r="G185">
        <v>255</v>
      </c>
      <c r="H185" t="s">
        <v>20</v>
      </c>
      <c r="I185">
        <v>16</v>
      </c>
      <c r="J185">
        <v>1</v>
      </c>
      <c r="K185">
        <v>0</v>
      </c>
      <c r="L185">
        <v>0</v>
      </c>
      <c r="N185" t="s">
        <v>918</v>
      </c>
      <c r="O185" t="s">
        <v>27</v>
      </c>
      <c r="Q185">
        <v>2</v>
      </c>
      <c r="R185" t="b">
        <v>0</v>
      </c>
      <c r="S185" t="s">
        <v>119</v>
      </c>
      <c r="T185">
        <v>0</v>
      </c>
    </row>
    <row r="186" spans="1:20" x14ac:dyDescent="0.25">
      <c r="A186" t="s">
        <v>5273</v>
      </c>
      <c r="B186">
        <v>8</v>
      </c>
      <c r="C186" t="s">
        <v>19</v>
      </c>
      <c r="D186">
        <v>168</v>
      </c>
      <c r="E186">
        <v>252</v>
      </c>
      <c r="F186">
        <v>194</v>
      </c>
      <c r="G186">
        <v>255</v>
      </c>
      <c r="H186" t="s">
        <v>20</v>
      </c>
      <c r="I186">
        <v>16</v>
      </c>
      <c r="J186">
        <v>1</v>
      </c>
      <c r="K186">
        <v>0</v>
      </c>
      <c r="L186">
        <v>0</v>
      </c>
      <c r="N186" t="s">
        <v>918</v>
      </c>
      <c r="O186" t="s">
        <v>27</v>
      </c>
      <c r="Q186">
        <v>2</v>
      </c>
      <c r="R186" t="b">
        <v>0</v>
      </c>
      <c r="S186" t="s">
        <v>119</v>
      </c>
      <c r="T186">
        <v>0</v>
      </c>
    </row>
    <row r="187" spans="1:20" x14ac:dyDescent="0.25">
      <c r="A187" t="s">
        <v>614</v>
      </c>
      <c r="B187">
        <v>9</v>
      </c>
      <c r="C187" t="s">
        <v>19</v>
      </c>
      <c r="D187">
        <v>14</v>
      </c>
      <c r="E187">
        <v>20</v>
      </c>
      <c r="F187">
        <v>196</v>
      </c>
      <c r="G187">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v>214</v>
      </c>
      <c r="I188">
        <v>0</v>
      </c>
      <c r="J188">
        <v>0</v>
      </c>
      <c r="K188">
        <v>0</v>
      </c>
      <c r="L188">
        <v>0</v>
      </c>
      <c r="N188" t="s">
        <v>21</v>
      </c>
      <c r="O188" t="s">
        <v>25</v>
      </c>
      <c r="Q188">
        <v>2</v>
      </c>
      <c r="R188" t="b">
        <v>0</v>
      </c>
      <c r="S188" t="s">
        <v>119</v>
      </c>
      <c r="T188">
        <v>0</v>
      </c>
    </row>
    <row r="189" spans="1:20" x14ac:dyDescent="0.25">
      <c r="A189" t="s">
        <v>5109</v>
      </c>
      <c r="B189">
        <v>9</v>
      </c>
      <c r="C189" t="s">
        <v>19</v>
      </c>
      <c r="D189">
        <v>14</v>
      </c>
      <c r="E189">
        <v>218</v>
      </c>
      <c r="F189">
        <v>196</v>
      </c>
      <c r="G189">
        <v>226</v>
      </c>
      <c r="H189" t="s">
        <v>102</v>
      </c>
      <c r="I189">
        <v>14</v>
      </c>
      <c r="J189">
        <v>0</v>
      </c>
      <c r="K189">
        <v>0</v>
      </c>
      <c r="L189">
        <v>0</v>
      </c>
      <c r="M189" t="s">
        <v>884</v>
      </c>
      <c r="N189" t="s">
        <v>21</v>
      </c>
      <c r="O189" t="s">
        <v>27</v>
      </c>
      <c r="Q189">
        <v>3</v>
      </c>
      <c r="R189" t="b">
        <v>1</v>
      </c>
      <c r="S189" t="s">
        <v>119</v>
      </c>
      <c r="T189">
        <v>0</v>
      </c>
    </row>
    <row r="190" spans="1:20" x14ac:dyDescent="0.25">
      <c r="A190" t="s">
        <v>930</v>
      </c>
      <c r="B190">
        <v>9</v>
      </c>
      <c r="C190" t="s">
        <v>19</v>
      </c>
      <c r="D190">
        <v>14</v>
      </c>
      <c r="E190">
        <v>275</v>
      </c>
      <c r="F190">
        <v>197</v>
      </c>
      <c r="G190">
        <v>280</v>
      </c>
      <c r="H190" t="s">
        <v>102</v>
      </c>
      <c r="I190">
        <v>8</v>
      </c>
      <c r="J190">
        <v>0</v>
      </c>
      <c r="K190">
        <v>0</v>
      </c>
      <c r="L190">
        <v>0</v>
      </c>
      <c r="M190" t="s">
        <v>884</v>
      </c>
      <c r="N190" t="s">
        <v>21</v>
      </c>
      <c r="O190" t="s">
        <v>25</v>
      </c>
      <c r="Q190">
        <v>3</v>
      </c>
      <c r="R190" t="b">
        <v>1</v>
      </c>
      <c r="T190">
        <v>0</v>
      </c>
    </row>
    <row r="191" spans="1:20" ht="15" customHeight="1" x14ac:dyDescent="0.25">
      <c r="A191" t="s">
        <v>826</v>
      </c>
      <c r="B191">
        <v>-999</v>
      </c>
      <c r="C191" t="s">
        <v>19</v>
      </c>
      <c r="D191">
        <v>14</v>
      </c>
      <c r="E191">
        <v>265</v>
      </c>
      <c r="F191">
        <v>208</v>
      </c>
      <c r="G191">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v>257</v>
      </c>
      <c r="H193" t="s">
        <v>102</v>
      </c>
      <c r="I193">
        <v>12</v>
      </c>
      <c r="J193">
        <v>0</v>
      </c>
      <c r="K193">
        <v>0</v>
      </c>
      <c r="L193">
        <v>0</v>
      </c>
      <c r="N193" t="s">
        <v>21</v>
      </c>
      <c r="O193" t="s">
        <v>22</v>
      </c>
      <c r="Q193">
        <v>2</v>
      </c>
      <c r="R193" t="b">
        <v>1</v>
      </c>
      <c r="S193" t="s">
        <v>119</v>
      </c>
      <c r="T193">
        <v>0</v>
      </c>
    </row>
    <row r="194" spans="1:20" x14ac:dyDescent="0.25">
      <c r="A194" t="s">
        <v>823</v>
      </c>
      <c r="B194">
        <v>-999</v>
      </c>
      <c r="C194" t="s">
        <v>26</v>
      </c>
      <c r="D194">
        <v>10</v>
      </c>
      <c r="E194">
        <v>10</v>
      </c>
      <c r="F194">
        <v>101</v>
      </c>
      <c r="G194">
        <v>80</v>
      </c>
      <c r="I194">
        <v>0</v>
      </c>
      <c r="J194">
        <v>0</v>
      </c>
      <c r="K194">
        <v>0</v>
      </c>
      <c r="L194">
        <v>0</v>
      </c>
      <c r="N194" t="s">
        <v>21</v>
      </c>
      <c r="O194" t="s">
        <v>25</v>
      </c>
      <c r="Q194">
        <v>1</v>
      </c>
      <c r="R194" t="b">
        <v>0</v>
      </c>
      <c r="S194" t="s">
        <v>119</v>
      </c>
      <c r="T194">
        <v>0</v>
      </c>
    </row>
    <row r="195" spans="1:20" x14ac:dyDescent="0.25">
      <c r="A195" t="s">
        <v>383</v>
      </c>
      <c r="B195">
        <v>-999</v>
      </c>
      <c r="C195" t="s">
        <v>26</v>
      </c>
      <c r="D195">
        <v>0</v>
      </c>
      <c r="E195">
        <v>0</v>
      </c>
      <c r="F195">
        <v>211</v>
      </c>
      <c r="G195">
        <v>16</v>
      </c>
      <c r="I195">
        <v>0</v>
      </c>
      <c r="J195">
        <v>0</v>
      </c>
      <c r="K195">
        <v>0</v>
      </c>
      <c r="L195">
        <v>0</v>
      </c>
      <c r="M195" t="s">
        <v>803</v>
      </c>
      <c r="N195" t="s">
        <v>803</v>
      </c>
      <c r="O195" t="s">
        <v>25</v>
      </c>
      <c r="Q195">
        <v>0</v>
      </c>
      <c r="R195" t="b">
        <v>0</v>
      </c>
      <c r="S195" t="s">
        <v>119</v>
      </c>
      <c r="T195">
        <v>0</v>
      </c>
    </row>
    <row r="196" spans="1:20" x14ac:dyDescent="0.25">
      <c r="A196" t="s">
        <v>824</v>
      </c>
      <c r="B196">
        <v>11</v>
      </c>
      <c r="C196" t="s">
        <v>19</v>
      </c>
      <c r="D196">
        <v>14</v>
      </c>
      <c r="E196">
        <v>20</v>
      </c>
      <c r="F196">
        <v>196</v>
      </c>
      <c r="G196">
        <v>25</v>
      </c>
      <c r="H196" t="s">
        <v>102</v>
      </c>
      <c r="I196">
        <v>14</v>
      </c>
      <c r="J196">
        <v>1</v>
      </c>
      <c r="K196">
        <v>0</v>
      </c>
      <c r="L196">
        <v>0</v>
      </c>
      <c r="N196" t="s">
        <v>21</v>
      </c>
      <c r="O196" t="s">
        <v>25</v>
      </c>
      <c r="Q196">
        <v>2</v>
      </c>
      <c r="R196" t="b">
        <v>1</v>
      </c>
      <c r="S196" t="s">
        <v>119</v>
      </c>
      <c r="T196">
        <v>0</v>
      </c>
    </row>
    <row r="197" spans="1:20" x14ac:dyDescent="0.25">
      <c r="A197" t="s">
        <v>825</v>
      </c>
      <c r="B197">
        <v>11</v>
      </c>
      <c r="C197" t="s">
        <v>19</v>
      </c>
      <c r="D197">
        <v>14</v>
      </c>
      <c r="E197">
        <v>33</v>
      </c>
      <c r="F197">
        <v>196</v>
      </c>
      <c r="G197">
        <v>38</v>
      </c>
      <c r="H197" t="s">
        <v>102</v>
      </c>
      <c r="I197">
        <v>12</v>
      </c>
      <c r="J197">
        <v>0</v>
      </c>
      <c r="K197">
        <v>0</v>
      </c>
      <c r="L197">
        <v>0</v>
      </c>
      <c r="N197" t="s">
        <v>21</v>
      </c>
      <c r="O197" t="s">
        <v>25</v>
      </c>
      <c r="P197" s="1"/>
      <c r="Q197">
        <v>1</v>
      </c>
      <c r="R197" t="b">
        <v>1</v>
      </c>
      <c r="S197" t="s">
        <v>119</v>
      </c>
      <c r="T197">
        <v>0</v>
      </c>
    </row>
    <row r="198" spans="1:20" x14ac:dyDescent="0.25">
      <c r="A198" t="s">
        <v>890</v>
      </c>
      <c r="B198">
        <v>11</v>
      </c>
      <c r="C198" t="s">
        <v>24</v>
      </c>
      <c r="D198">
        <v>30</v>
      </c>
      <c r="E198">
        <v>115</v>
      </c>
      <c r="F198">
        <v>180</v>
      </c>
      <c r="G198">
        <v>265</v>
      </c>
      <c r="I198">
        <v>0</v>
      </c>
      <c r="J198">
        <v>0</v>
      </c>
      <c r="K198">
        <v>0</v>
      </c>
      <c r="L198">
        <v>0</v>
      </c>
      <c r="N198" t="s">
        <v>21</v>
      </c>
      <c r="O198" t="s">
        <v>25</v>
      </c>
      <c r="Q198">
        <v>0</v>
      </c>
      <c r="R198" t="b">
        <v>0</v>
      </c>
      <c r="S198" t="s">
        <v>119</v>
      </c>
      <c r="T198">
        <v>0</v>
      </c>
    </row>
    <row r="199" spans="1:20" x14ac:dyDescent="0.25">
      <c r="A199" t="s">
        <v>891</v>
      </c>
      <c r="B199">
        <v>11</v>
      </c>
      <c r="C199" t="s">
        <v>19</v>
      </c>
      <c r="D199">
        <v>30</v>
      </c>
      <c r="E199">
        <v>115</v>
      </c>
      <c r="F199">
        <v>130</v>
      </c>
      <c r="G199">
        <v>265</v>
      </c>
      <c r="H199" t="s">
        <v>102</v>
      </c>
      <c r="I199">
        <v>12</v>
      </c>
      <c r="J199">
        <v>0</v>
      </c>
      <c r="K199">
        <v>1</v>
      </c>
      <c r="L199">
        <v>0</v>
      </c>
      <c r="N199" t="s">
        <v>21</v>
      </c>
      <c r="O199" t="s">
        <v>25</v>
      </c>
      <c r="Q199">
        <v>0</v>
      </c>
      <c r="R199" t="b">
        <v>1</v>
      </c>
      <c r="S199" t="s">
        <v>119</v>
      </c>
      <c r="T199">
        <v>0</v>
      </c>
    </row>
    <row r="200" spans="1:20" x14ac:dyDescent="0.25">
      <c r="A200" t="s">
        <v>892</v>
      </c>
      <c r="B200">
        <v>11</v>
      </c>
      <c r="C200" t="s">
        <v>19</v>
      </c>
      <c r="D200">
        <v>30</v>
      </c>
      <c r="E200">
        <v>265</v>
      </c>
      <c r="F200">
        <v>180</v>
      </c>
      <c r="G200">
        <v>268</v>
      </c>
      <c r="H200" t="s">
        <v>102</v>
      </c>
      <c r="I200">
        <v>8</v>
      </c>
      <c r="J200">
        <v>0</v>
      </c>
      <c r="K200">
        <v>1</v>
      </c>
      <c r="L200">
        <v>0</v>
      </c>
      <c r="M200" t="s">
        <v>884</v>
      </c>
      <c r="N200" t="s">
        <v>21</v>
      </c>
      <c r="O200" t="s">
        <v>22</v>
      </c>
      <c r="Q200">
        <v>0</v>
      </c>
      <c r="R200" t="b">
        <v>1</v>
      </c>
      <c r="S200" t="s">
        <v>119</v>
      </c>
      <c r="T200">
        <v>0</v>
      </c>
    </row>
    <row r="201" spans="1:20" x14ac:dyDescent="0.25">
      <c r="A201" t="s">
        <v>88</v>
      </c>
      <c r="B201">
        <v>12</v>
      </c>
      <c r="C201" t="s">
        <v>19</v>
      </c>
      <c r="D201">
        <v>14</v>
      </c>
      <c r="E201">
        <v>20</v>
      </c>
      <c r="F201">
        <v>180</v>
      </c>
      <c r="G201">
        <v>25</v>
      </c>
      <c r="H201" t="s">
        <v>102</v>
      </c>
      <c r="I201">
        <v>12</v>
      </c>
      <c r="J201">
        <v>1</v>
      </c>
      <c r="K201">
        <v>0</v>
      </c>
      <c r="L201">
        <v>0</v>
      </c>
      <c r="N201" t="s">
        <v>21</v>
      </c>
      <c r="O201" t="s">
        <v>25</v>
      </c>
      <c r="Q201">
        <v>3</v>
      </c>
      <c r="R201" t="b">
        <v>0</v>
      </c>
      <c r="S201" t="s">
        <v>119</v>
      </c>
      <c r="T201">
        <v>0</v>
      </c>
    </row>
    <row r="202" spans="1:20" x14ac:dyDescent="0.25">
      <c r="A202" t="s">
        <v>949</v>
      </c>
      <c r="B202">
        <v>12</v>
      </c>
      <c r="C202" t="s">
        <v>19</v>
      </c>
      <c r="D202">
        <v>29</v>
      </c>
      <c r="E202">
        <v>33</v>
      </c>
      <c r="F202">
        <v>196</v>
      </c>
      <c r="G202">
        <v>38</v>
      </c>
      <c r="H202" t="s">
        <v>102</v>
      </c>
      <c r="I202">
        <v>10</v>
      </c>
      <c r="J202">
        <v>1</v>
      </c>
      <c r="K202">
        <v>0</v>
      </c>
      <c r="L202">
        <v>0</v>
      </c>
      <c r="N202" t="s">
        <v>21</v>
      </c>
      <c r="O202" t="s">
        <v>25</v>
      </c>
      <c r="P202" s="1"/>
      <c r="Q202">
        <v>1</v>
      </c>
      <c r="R202" t="b">
        <v>0</v>
      </c>
      <c r="S202" t="s">
        <v>119</v>
      </c>
      <c r="T202">
        <v>0</v>
      </c>
    </row>
    <row r="203" spans="1:20" x14ac:dyDescent="0.25">
      <c r="A203" t="s">
        <v>830</v>
      </c>
      <c r="B203">
        <v>12</v>
      </c>
      <c r="C203" t="s">
        <v>24</v>
      </c>
      <c r="D203">
        <v>40</v>
      </c>
      <c r="E203">
        <v>40</v>
      </c>
      <c r="F203">
        <v>104</v>
      </c>
      <c r="G203">
        <v>81</v>
      </c>
      <c r="I203">
        <v>1</v>
      </c>
      <c r="J203">
        <v>0</v>
      </c>
      <c r="K203">
        <v>0</v>
      </c>
      <c r="L203">
        <v>0</v>
      </c>
      <c r="M203" t="s">
        <v>935</v>
      </c>
      <c r="N203" t="s">
        <v>21</v>
      </c>
      <c r="O203" t="s">
        <v>25</v>
      </c>
      <c r="P203" t="s">
        <v>948</v>
      </c>
      <c r="Q203">
        <v>2</v>
      </c>
      <c r="R203" t="b">
        <v>0</v>
      </c>
      <c r="S203" t="s">
        <v>119</v>
      </c>
      <c r="T203">
        <v>0</v>
      </c>
    </row>
    <row r="204" spans="1:20" x14ac:dyDescent="0.25">
      <c r="A204" s="25" t="s">
        <v>954</v>
      </c>
      <c r="B204">
        <v>12</v>
      </c>
      <c r="C204" t="s">
        <v>19</v>
      </c>
      <c r="D204">
        <v>14</v>
      </c>
      <c r="E204">
        <v>38</v>
      </c>
      <c r="F204">
        <v>40</v>
      </c>
      <c r="G204">
        <v>43</v>
      </c>
      <c r="H204" t="s">
        <v>102</v>
      </c>
      <c r="I204">
        <v>10</v>
      </c>
      <c r="J204">
        <v>0</v>
      </c>
      <c r="K204">
        <v>0</v>
      </c>
      <c r="L204">
        <v>0</v>
      </c>
      <c r="N204" t="s">
        <v>21</v>
      </c>
      <c r="O204" t="s">
        <v>22</v>
      </c>
      <c r="P204" s="26"/>
      <c r="Q204">
        <v>3</v>
      </c>
      <c r="R204" t="b">
        <v>0</v>
      </c>
      <c r="S204" t="s">
        <v>119</v>
      </c>
      <c r="T204">
        <v>0</v>
      </c>
    </row>
    <row r="205" spans="1:20" x14ac:dyDescent="0.25">
      <c r="A205" t="s">
        <v>955</v>
      </c>
      <c r="B205">
        <v>12</v>
      </c>
      <c r="C205" t="s">
        <v>19</v>
      </c>
      <c r="D205">
        <v>14</v>
      </c>
      <c r="E205">
        <v>46</v>
      </c>
      <c r="F205">
        <v>40</v>
      </c>
      <c r="G205">
        <v>51</v>
      </c>
      <c r="H205" t="s">
        <v>102</v>
      </c>
      <c r="I205">
        <v>10</v>
      </c>
      <c r="J205">
        <v>0</v>
      </c>
      <c r="K205">
        <v>0</v>
      </c>
      <c r="L205">
        <v>0</v>
      </c>
      <c r="N205" t="s">
        <v>21</v>
      </c>
      <c r="O205" t="s">
        <v>22</v>
      </c>
      <c r="P205" s="26"/>
      <c r="Q205">
        <v>3</v>
      </c>
      <c r="R205" t="b">
        <v>0</v>
      </c>
      <c r="S205" t="s">
        <v>119</v>
      </c>
      <c r="T205">
        <v>0</v>
      </c>
    </row>
    <row r="206" spans="1:20" x14ac:dyDescent="0.25">
      <c r="A206" t="s">
        <v>956</v>
      </c>
      <c r="B206">
        <v>12</v>
      </c>
      <c r="C206" t="s">
        <v>19</v>
      </c>
      <c r="D206">
        <v>14</v>
      </c>
      <c r="E206">
        <v>54</v>
      </c>
      <c r="F206">
        <v>40</v>
      </c>
      <c r="G206">
        <v>59</v>
      </c>
      <c r="H206" t="s">
        <v>102</v>
      </c>
      <c r="I206">
        <v>10</v>
      </c>
      <c r="J206">
        <v>0</v>
      </c>
      <c r="K206">
        <v>0</v>
      </c>
      <c r="L206">
        <v>0</v>
      </c>
      <c r="N206" t="s">
        <v>21</v>
      </c>
      <c r="O206" t="s">
        <v>22</v>
      </c>
      <c r="P206" s="26"/>
      <c r="Q206">
        <v>3</v>
      </c>
      <c r="R206" t="b">
        <v>0</v>
      </c>
      <c r="S206" t="s">
        <v>119</v>
      </c>
      <c r="T206">
        <v>0</v>
      </c>
    </row>
    <row r="207" spans="1:20" x14ac:dyDescent="0.25">
      <c r="A207" t="s">
        <v>957</v>
      </c>
      <c r="B207">
        <v>12</v>
      </c>
      <c r="C207" t="s">
        <v>19</v>
      </c>
      <c r="D207">
        <v>14</v>
      </c>
      <c r="E207">
        <v>62</v>
      </c>
      <c r="F207">
        <v>40</v>
      </c>
      <c r="G207">
        <v>67</v>
      </c>
      <c r="H207" t="s">
        <v>102</v>
      </c>
      <c r="I207">
        <v>10</v>
      </c>
      <c r="J207">
        <v>0</v>
      </c>
      <c r="K207">
        <v>0</v>
      </c>
      <c r="L207">
        <v>0</v>
      </c>
      <c r="N207" t="s">
        <v>21</v>
      </c>
      <c r="O207" t="s">
        <v>22</v>
      </c>
      <c r="P207" s="26"/>
      <c r="Q207">
        <v>3</v>
      </c>
      <c r="R207" t="b">
        <v>0</v>
      </c>
      <c r="S207" t="s">
        <v>119</v>
      </c>
      <c r="T207">
        <v>0</v>
      </c>
    </row>
    <row r="208" spans="1:20" x14ac:dyDescent="0.25">
      <c r="A208" t="s">
        <v>958</v>
      </c>
      <c r="B208">
        <v>12</v>
      </c>
      <c r="C208" t="s">
        <v>19</v>
      </c>
      <c r="D208">
        <v>14</v>
      </c>
      <c r="E208">
        <v>70</v>
      </c>
      <c r="F208">
        <v>40</v>
      </c>
      <c r="G208">
        <v>75</v>
      </c>
      <c r="H208" t="s">
        <v>102</v>
      </c>
      <c r="I208">
        <v>10</v>
      </c>
      <c r="J208">
        <v>0</v>
      </c>
      <c r="K208">
        <v>0</v>
      </c>
      <c r="L208">
        <v>0</v>
      </c>
      <c r="N208" t="s">
        <v>21</v>
      </c>
      <c r="O208" t="s">
        <v>22</v>
      </c>
      <c r="P208" s="26"/>
      <c r="Q208">
        <v>3</v>
      </c>
      <c r="R208" t="b">
        <v>0</v>
      </c>
      <c r="S208" t="s">
        <v>119</v>
      </c>
      <c r="T208">
        <v>0</v>
      </c>
    </row>
    <row r="209" spans="1:20" x14ac:dyDescent="0.25">
      <c r="A209" t="s">
        <v>959</v>
      </c>
      <c r="B209">
        <v>12</v>
      </c>
      <c r="C209" t="s">
        <v>19</v>
      </c>
      <c r="D209">
        <v>14</v>
      </c>
      <c r="E209">
        <v>78</v>
      </c>
      <c r="F209">
        <v>40</v>
      </c>
      <c r="G209">
        <v>83</v>
      </c>
      <c r="H209" t="s">
        <v>102</v>
      </c>
      <c r="I209">
        <v>10</v>
      </c>
      <c r="J209">
        <v>0</v>
      </c>
      <c r="K209">
        <v>0</v>
      </c>
      <c r="L209">
        <v>0</v>
      </c>
      <c r="N209" t="s">
        <v>21</v>
      </c>
      <c r="O209" t="s">
        <v>22</v>
      </c>
      <c r="P209" s="26"/>
      <c r="Q209">
        <v>3</v>
      </c>
      <c r="R209" t="b">
        <v>0</v>
      </c>
      <c r="S209" t="s">
        <v>119</v>
      </c>
      <c r="T209">
        <v>0</v>
      </c>
    </row>
    <row r="210" spans="1:20" x14ac:dyDescent="0.25">
      <c r="A210" t="s">
        <v>926</v>
      </c>
      <c r="B210">
        <v>12</v>
      </c>
      <c r="C210" t="s">
        <v>19</v>
      </c>
      <c r="D210">
        <v>109</v>
      </c>
      <c r="E210">
        <v>45</v>
      </c>
      <c r="F210">
        <v>196</v>
      </c>
      <c r="G210">
        <v>48</v>
      </c>
      <c r="H210" t="s">
        <v>102</v>
      </c>
      <c r="I210">
        <v>8</v>
      </c>
      <c r="J210">
        <v>0</v>
      </c>
      <c r="K210">
        <v>0</v>
      </c>
      <c r="L210">
        <v>0</v>
      </c>
      <c r="M210" t="s">
        <v>884</v>
      </c>
      <c r="O210" t="s">
        <v>25</v>
      </c>
      <c r="P210" t="s">
        <v>927</v>
      </c>
      <c r="Q210">
        <v>3</v>
      </c>
      <c r="R210" t="b">
        <v>1</v>
      </c>
      <c r="S210" t="s">
        <v>119</v>
      </c>
      <c r="T210">
        <v>0</v>
      </c>
    </row>
    <row r="211" spans="1:20" x14ac:dyDescent="0.25">
      <c r="A211" t="s">
        <v>951</v>
      </c>
      <c r="B211">
        <v>12</v>
      </c>
      <c r="C211" t="s">
        <v>19</v>
      </c>
      <c r="D211">
        <v>56</v>
      </c>
      <c r="E211">
        <v>82</v>
      </c>
      <c r="F211">
        <v>196</v>
      </c>
      <c r="G211">
        <v>90</v>
      </c>
      <c r="H211" t="s">
        <v>102</v>
      </c>
      <c r="I211">
        <v>12</v>
      </c>
      <c r="J211">
        <v>0</v>
      </c>
      <c r="K211">
        <v>0</v>
      </c>
      <c r="L211">
        <v>0</v>
      </c>
      <c r="M211" t="s">
        <v>884</v>
      </c>
      <c r="N211" t="s">
        <v>21</v>
      </c>
      <c r="O211" t="s">
        <v>25</v>
      </c>
      <c r="Q211">
        <v>3</v>
      </c>
      <c r="R211" t="b">
        <v>1</v>
      </c>
      <c r="S211" t="s">
        <v>119</v>
      </c>
      <c r="T211">
        <v>0</v>
      </c>
    </row>
    <row r="212" spans="1:20" x14ac:dyDescent="0.25">
      <c r="A212" t="s">
        <v>29</v>
      </c>
      <c r="B212">
        <v>12</v>
      </c>
      <c r="C212" t="s">
        <v>25</v>
      </c>
      <c r="D212">
        <v>30</v>
      </c>
      <c r="E212">
        <v>100</v>
      </c>
      <c r="F212">
        <v>170</v>
      </c>
      <c r="G212">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v>285</v>
      </c>
      <c r="I213">
        <v>0</v>
      </c>
      <c r="J213">
        <v>0</v>
      </c>
      <c r="K213">
        <v>0</v>
      </c>
      <c r="L213">
        <v>0</v>
      </c>
      <c r="N213" t="s">
        <v>21</v>
      </c>
      <c r="O213" t="s">
        <v>25</v>
      </c>
      <c r="Q213">
        <v>2</v>
      </c>
      <c r="R213" t="b">
        <v>0</v>
      </c>
      <c r="S213" t="s">
        <v>119</v>
      </c>
      <c r="T213">
        <v>0</v>
      </c>
    </row>
    <row r="214" spans="1:20" x14ac:dyDescent="0.25">
      <c r="A214" t="s">
        <v>271</v>
      </c>
      <c r="B214">
        <v>12</v>
      </c>
      <c r="C214" t="s">
        <v>19</v>
      </c>
      <c r="D214">
        <v>14</v>
      </c>
      <c r="E214">
        <v>110</v>
      </c>
      <c r="F214">
        <v>196</v>
      </c>
      <c r="G214">
        <v>118</v>
      </c>
      <c r="H214" t="s">
        <v>102</v>
      </c>
      <c r="I214">
        <v>14</v>
      </c>
      <c r="J214">
        <v>0</v>
      </c>
      <c r="K214">
        <v>0</v>
      </c>
      <c r="L214">
        <v>0</v>
      </c>
      <c r="M214" t="s">
        <v>884</v>
      </c>
      <c r="N214" t="s">
        <v>21</v>
      </c>
      <c r="O214" t="s">
        <v>27</v>
      </c>
      <c r="Q214">
        <v>3</v>
      </c>
      <c r="R214" t="b">
        <v>1</v>
      </c>
      <c r="S214" t="s">
        <v>119</v>
      </c>
      <c r="T214">
        <v>0</v>
      </c>
    </row>
    <row r="215" spans="1:20" x14ac:dyDescent="0.25">
      <c r="A215" t="s">
        <v>89</v>
      </c>
      <c r="B215">
        <v>13</v>
      </c>
      <c r="C215" t="s">
        <v>19</v>
      </c>
      <c r="D215">
        <v>14</v>
      </c>
      <c r="E215">
        <v>20</v>
      </c>
      <c r="F215">
        <v>180</v>
      </c>
      <c r="G215">
        <v>25</v>
      </c>
      <c r="H215" t="s">
        <v>102</v>
      </c>
      <c r="I215">
        <v>12</v>
      </c>
      <c r="J215">
        <v>1</v>
      </c>
      <c r="K215">
        <v>0</v>
      </c>
      <c r="L215">
        <v>0</v>
      </c>
      <c r="N215" t="s">
        <v>21</v>
      </c>
      <c r="O215" t="s">
        <v>25</v>
      </c>
      <c r="Q215">
        <v>3</v>
      </c>
      <c r="R215" t="b">
        <v>0</v>
      </c>
      <c r="S215" t="s">
        <v>119</v>
      </c>
      <c r="T215">
        <v>0</v>
      </c>
    </row>
    <row r="216" spans="1:20" x14ac:dyDescent="0.25">
      <c r="A216" t="s">
        <v>949</v>
      </c>
      <c r="B216">
        <v>13</v>
      </c>
      <c r="C216" t="s">
        <v>19</v>
      </c>
      <c r="D216">
        <v>29</v>
      </c>
      <c r="E216">
        <v>33</v>
      </c>
      <c r="F216">
        <v>196</v>
      </c>
      <c r="G216">
        <v>38</v>
      </c>
      <c r="H216" t="s">
        <v>102</v>
      </c>
      <c r="I216">
        <v>10</v>
      </c>
      <c r="J216">
        <v>1</v>
      </c>
      <c r="K216">
        <v>0</v>
      </c>
      <c r="L216">
        <v>0</v>
      </c>
      <c r="N216" t="s">
        <v>21</v>
      </c>
      <c r="O216" t="s">
        <v>25</v>
      </c>
      <c r="P216" s="1"/>
      <c r="Q216">
        <v>1</v>
      </c>
      <c r="R216" t="b">
        <v>0</v>
      </c>
      <c r="S216" t="s">
        <v>119</v>
      </c>
      <c r="T216">
        <v>0</v>
      </c>
    </row>
    <row r="217" spans="1:20" x14ac:dyDescent="0.25">
      <c r="A217" t="s">
        <v>830</v>
      </c>
      <c r="B217">
        <v>13</v>
      </c>
      <c r="C217" t="s">
        <v>24</v>
      </c>
      <c r="D217">
        <v>40</v>
      </c>
      <c r="E217">
        <v>40</v>
      </c>
      <c r="F217">
        <v>104</v>
      </c>
      <c r="G217">
        <v>81</v>
      </c>
      <c r="I217">
        <v>1</v>
      </c>
      <c r="J217">
        <v>0</v>
      </c>
      <c r="K217">
        <v>0</v>
      </c>
      <c r="L217">
        <v>0</v>
      </c>
      <c r="M217" t="s">
        <v>935</v>
      </c>
      <c r="N217" t="s">
        <v>21</v>
      </c>
      <c r="O217" t="s">
        <v>25</v>
      </c>
      <c r="P217" t="s">
        <v>960</v>
      </c>
      <c r="Q217">
        <v>2</v>
      </c>
      <c r="R217" t="b">
        <v>0</v>
      </c>
      <c r="S217" t="s">
        <v>119</v>
      </c>
      <c r="T217">
        <v>0</v>
      </c>
    </row>
    <row r="218" spans="1:20" x14ac:dyDescent="0.25">
      <c r="A218" s="25" t="s">
        <v>954</v>
      </c>
      <c r="B218">
        <v>13</v>
      </c>
      <c r="C218" t="s">
        <v>19</v>
      </c>
      <c r="D218">
        <v>14</v>
      </c>
      <c r="E218">
        <v>38</v>
      </c>
      <c r="F218">
        <v>40</v>
      </c>
      <c r="G218">
        <v>43</v>
      </c>
      <c r="H218" t="s">
        <v>102</v>
      </c>
      <c r="I218">
        <v>10</v>
      </c>
      <c r="J218">
        <v>0</v>
      </c>
      <c r="K218">
        <v>0</v>
      </c>
      <c r="L218">
        <v>0</v>
      </c>
      <c r="N218" t="s">
        <v>21</v>
      </c>
      <c r="O218" t="s">
        <v>22</v>
      </c>
      <c r="P218" s="26"/>
      <c r="Q218">
        <v>3</v>
      </c>
      <c r="R218" t="b">
        <v>0</v>
      </c>
      <c r="S218" t="s">
        <v>119</v>
      </c>
      <c r="T218">
        <v>0</v>
      </c>
    </row>
    <row r="219" spans="1:20" x14ac:dyDescent="0.25">
      <c r="A219" t="s">
        <v>955</v>
      </c>
      <c r="B219">
        <v>13</v>
      </c>
      <c r="C219" t="s">
        <v>19</v>
      </c>
      <c r="D219">
        <v>14</v>
      </c>
      <c r="E219">
        <v>46</v>
      </c>
      <c r="F219">
        <v>40</v>
      </c>
      <c r="G219">
        <v>51</v>
      </c>
      <c r="H219" t="s">
        <v>102</v>
      </c>
      <c r="I219">
        <v>10</v>
      </c>
      <c r="J219">
        <v>0</v>
      </c>
      <c r="K219">
        <v>0</v>
      </c>
      <c r="L219">
        <v>0</v>
      </c>
      <c r="N219" t="s">
        <v>21</v>
      </c>
      <c r="O219" t="s">
        <v>22</v>
      </c>
      <c r="P219" s="26"/>
      <c r="Q219">
        <v>3</v>
      </c>
      <c r="R219" t="b">
        <v>0</v>
      </c>
      <c r="S219" t="s">
        <v>119</v>
      </c>
      <c r="T219">
        <v>0</v>
      </c>
    </row>
    <row r="220" spans="1:20" x14ac:dyDescent="0.25">
      <c r="A220" t="s">
        <v>956</v>
      </c>
      <c r="B220">
        <v>13</v>
      </c>
      <c r="C220" t="s">
        <v>19</v>
      </c>
      <c r="D220">
        <v>14</v>
      </c>
      <c r="E220">
        <v>54</v>
      </c>
      <c r="F220">
        <v>40</v>
      </c>
      <c r="G220">
        <v>59</v>
      </c>
      <c r="H220" t="s">
        <v>102</v>
      </c>
      <c r="I220">
        <v>10</v>
      </c>
      <c r="J220">
        <v>0</v>
      </c>
      <c r="K220">
        <v>0</v>
      </c>
      <c r="L220">
        <v>0</v>
      </c>
      <c r="N220" t="s">
        <v>21</v>
      </c>
      <c r="O220" t="s">
        <v>22</v>
      </c>
      <c r="P220" s="26"/>
      <c r="Q220">
        <v>3</v>
      </c>
      <c r="R220" t="b">
        <v>0</v>
      </c>
      <c r="S220" t="s">
        <v>119</v>
      </c>
      <c r="T220">
        <v>0</v>
      </c>
    </row>
    <row r="221" spans="1:20" x14ac:dyDescent="0.25">
      <c r="A221" t="s">
        <v>957</v>
      </c>
      <c r="B221">
        <v>13</v>
      </c>
      <c r="C221" t="s">
        <v>19</v>
      </c>
      <c r="D221">
        <v>14</v>
      </c>
      <c r="E221">
        <v>62</v>
      </c>
      <c r="F221">
        <v>40</v>
      </c>
      <c r="G221">
        <v>67</v>
      </c>
      <c r="H221" t="s">
        <v>102</v>
      </c>
      <c r="I221">
        <v>10</v>
      </c>
      <c r="J221">
        <v>0</v>
      </c>
      <c r="K221">
        <v>0</v>
      </c>
      <c r="L221">
        <v>0</v>
      </c>
      <c r="N221" t="s">
        <v>21</v>
      </c>
      <c r="O221" t="s">
        <v>22</v>
      </c>
      <c r="P221" s="26"/>
      <c r="Q221">
        <v>3</v>
      </c>
      <c r="R221" t="b">
        <v>0</v>
      </c>
      <c r="S221" t="s">
        <v>119</v>
      </c>
      <c r="T221">
        <v>0</v>
      </c>
    </row>
    <row r="222" spans="1:20" x14ac:dyDescent="0.25">
      <c r="A222" t="s">
        <v>958</v>
      </c>
      <c r="B222">
        <v>13</v>
      </c>
      <c r="C222" t="s">
        <v>19</v>
      </c>
      <c r="D222">
        <v>14</v>
      </c>
      <c r="E222">
        <v>70</v>
      </c>
      <c r="F222">
        <v>40</v>
      </c>
      <c r="G222">
        <v>75</v>
      </c>
      <c r="H222" t="s">
        <v>102</v>
      </c>
      <c r="I222">
        <v>10</v>
      </c>
      <c r="J222">
        <v>0</v>
      </c>
      <c r="K222">
        <v>0</v>
      </c>
      <c r="L222">
        <v>0</v>
      </c>
      <c r="N222" t="s">
        <v>21</v>
      </c>
      <c r="O222" t="s">
        <v>22</v>
      </c>
      <c r="P222" s="26"/>
      <c r="Q222">
        <v>3</v>
      </c>
      <c r="R222" t="b">
        <v>0</v>
      </c>
      <c r="S222" t="s">
        <v>119</v>
      </c>
      <c r="T222">
        <v>0</v>
      </c>
    </row>
    <row r="223" spans="1:20" x14ac:dyDescent="0.25">
      <c r="A223" t="s">
        <v>959</v>
      </c>
      <c r="B223">
        <v>13</v>
      </c>
      <c r="C223" t="s">
        <v>19</v>
      </c>
      <c r="D223">
        <v>14</v>
      </c>
      <c r="E223">
        <v>78</v>
      </c>
      <c r="F223">
        <v>40</v>
      </c>
      <c r="G223">
        <v>83</v>
      </c>
      <c r="H223" t="s">
        <v>102</v>
      </c>
      <c r="I223">
        <v>10</v>
      </c>
      <c r="J223">
        <v>0</v>
      </c>
      <c r="K223">
        <v>0</v>
      </c>
      <c r="L223">
        <v>0</v>
      </c>
      <c r="N223" t="s">
        <v>21</v>
      </c>
      <c r="O223" t="s">
        <v>22</v>
      </c>
      <c r="P223" s="26"/>
      <c r="Q223">
        <v>3</v>
      </c>
      <c r="R223" t="b">
        <v>0</v>
      </c>
      <c r="S223" t="s">
        <v>119</v>
      </c>
      <c r="T223">
        <v>0</v>
      </c>
    </row>
    <row r="224" spans="1:20" x14ac:dyDescent="0.25">
      <c r="A224" t="s">
        <v>926</v>
      </c>
      <c r="B224">
        <v>13</v>
      </c>
      <c r="C224" t="s">
        <v>19</v>
      </c>
      <c r="D224">
        <v>109</v>
      </c>
      <c r="E224">
        <v>45</v>
      </c>
      <c r="F224">
        <v>196</v>
      </c>
      <c r="G224">
        <v>48</v>
      </c>
      <c r="H224" t="s">
        <v>102</v>
      </c>
      <c r="I224">
        <v>8</v>
      </c>
      <c r="J224">
        <v>0</v>
      </c>
      <c r="K224">
        <v>0</v>
      </c>
      <c r="L224">
        <v>0</v>
      </c>
      <c r="M224" t="s">
        <v>884</v>
      </c>
      <c r="O224" t="s">
        <v>25</v>
      </c>
      <c r="P224" t="s">
        <v>927</v>
      </c>
      <c r="Q224">
        <v>3</v>
      </c>
      <c r="R224" t="b">
        <v>1</v>
      </c>
      <c r="S224" t="s">
        <v>119</v>
      </c>
      <c r="T224">
        <v>0</v>
      </c>
    </row>
    <row r="225" spans="1:20" x14ac:dyDescent="0.25">
      <c r="A225" t="s">
        <v>953</v>
      </c>
      <c r="B225">
        <v>13</v>
      </c>
      <c r="C225" t="s">
        <v>19</v>
      </c>
      <c r="D225">
        <v>56</v>
      </c>
      <c r="E225">
        <v>82</v>
      </c>
      <c r="F225">
        <v>196</v>
      </c>
      <c r="G225">
        <v>90</v>
      </c>
      <c r="H225" t="s">
        <v>102</v>
      </c>
      <c r="I225">
        <v>12</v>
      </c>
      <c r="J225">
        <v>0</v>
      </c>
      <c r="K225">
        <v>0</v>
      </c>
      <c r="L225">
        <v>0</v>
      </c>
      <c r="M225" t="s">
        <v>1025</v>
      </c>
      <c r="N225" t="s">
        <v>21</v>
      </c>
      <c r="O225" t="s">
        <v>25</v>
      </c>
      <c r="Q225">
        <v>3</v>
      </c>
      <c r="R225" t="b">
        <v>1</v>
      </c>
      <c r="S225" t="s">
        <v>119</v>
      </c>
      <c r="T225">
        <v>0</v>
      </c>
    </row>
    <row r="226" spans="1:20" x14ac:dyDescent="0.25">
      <c r="A226" t="s">
        <v>29</v>
      </c>
      <c r="B226">
        <v>13</v>
      </c>
      <c r="C226" t="s">
        <v>25</v>
      </c>
      <c r="D226">
        <v>30</v>
      </c>
      <c r="E226">
        <v>100</v>
      </c>
      <c r="F226">
        <v>170</v>
      </c>
      <c r="G226">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v>285</v>
      </c>
      <c r="I227">
        <v>0</v>
      </c>
      <c r="J227">
        <v>0</v>
      </c>
      <c r="K227">
        <v>0</v>
      </c>
      <c r="L227">
        <v>0</v>
      </c>
      <c r="N227" t="s">
        <v>21</v>
      </c>
      <c r="O227" t="s">
        <v>25</v>
      </c>
      <c r="Q227">
        <v>2</v>
      </c>
      <c r="R227" t="b">
        <v>0</v>
      </c>
      <c r="S227" t="s">
        <v>119</v>
      </c>
      <c r="T227">
        <v>0</v>
      </c>
    </row>
    <row r="228" spans="1:20" x14ac:dyDescent="0.25">
      <c r="A228" t="s">
        <v>272</v>
      </c>
      <c r="B228">
        <v>13</v>
      </c>
      <c r="C228" t="s">
        <v>19</v>
      </c>
      <c r="D228">
        <v>14</v>
      </c>
      <c r="E228">
        <v>110</v>
      </c>
      <c r="F228">
        <v>196</v>
      </c>
      <c r="G228">
        <v>118</v>
      </c>
      <c r="H228" t="s">
        <v>102</v>
      </c>
      <c r="I228">
        <v>14</v>
      </c>
      <c r="J228">
        <v>0</v>
      </c>
      <c r="K228">
        <v>0</v>
      </c>
      <c r="L228">
        <v>0</v>
      </c>
      <c r="M228" t="s">
        <v>884</v>
      </c>
      <c r="N228" t="s">
        <v>21</v>
      </c>
      <c r="O228" t="s">
        <v>27</v>
      </c>
      <c r="Q228">
        <v>3</v>
      </c>
      <c r="R228" t="b">
        <v>1</v>
      </c>
      <c r="S228" t="s">
        <v>119</v>
      </c>
      <c r="T228">
        <v>0</v>
      </c>
    </row>
    <row r="229" spans="1:20" x14ac:dyDescent="0.25">
      <c r="A229" t="s">
        <v>38</v>
      </c>
      <c r="B229">
        <v>14</v>
      </c>
      <c r="C229" t="s">
        <v>19</v>
      </c>
      <c r="D229">
        <v>14</v>
      </c>
      <c r="E229">
        <v>20</v>
      </c>
      <c r="F229">
        <v>196</v>
      </c>
      <c r="G229">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v>14</v>
      </c>
      <c r="E230">
        <v>33</v>
      </c>
      <c r="F230">
        <v>196</v>
      </c>
      <c r="G230">
        <v>38</v>
      </c>
      <c r="H230" t="s">
        <v>102</v>
      </c>
      <c r="I230">
        <v>12</v>
      </c>
      <c r="J230">
        <v>0</v>
      </c>
      <c r="K230">
        <v>0</v>
      </c>
      <c r="L230">
        <v>0</v>
      </c>
      <c r="M230" s="23"/>
      <c r="N230" t="s">
        <v>21</v>
      </c>
      <c r="O230" t="s">
        <v>25</v>
      </c>
      <c r="P230" s="1"/>
      <c r="Q230">
        <v>2</v>
      </c>
      <c r="R230" t="b">
        <v>1</v>
      </c>
      <c r="S230" t="s">
        <v>119</v>
      </c>
      <c r="T230">
        <v>0</v>
      </c>
    </row>
    <row r="231" spans="1:20" x14ac:dyDescent="0.25">
      <c r="A231" t="s">
        <v>772</v>
      </c>
      <c r="B231">
        <v>14</v>
      </c>
      <c r="C231" t="s">
        <v>26</v>
      </c>
      <c r="D231">
        <v>0</v>
      </c>
      <c r="E231">
        <v>120</v>
      </c>
      <c r="F231">
        <v>210</v>
      </c>
      <c r="G231">
        <v>204</v>
      </c>
      <c r="I231">
        <v>0</v>
      </c>
      <c r="J231">
        <v>1</v>
      </c>
      <c r="K231">
        <v>0</v>
      </c>
      <c r="L231">
        <v>0</v>
      </c>
      <c r="M231" t="s">
        <v>918</v>
      </c>
      <c r="N231" t="s">
        <v>918</v>
      </c>
      <c r="O231" t="s">
        <v>25</v>
      </c>
      <c r="Q231">
        <v>1</v>
      </c>
      <c r="R231" t="b">
        <v>0</v>
      </c>
      <c r="S231" t="s">
        <v>119</v>
      </c>
      <c r="T231">
        <v>0</v>
      </c>
    </row>
    <row r="232" spans="1:20" x14ac:dyDescent="0.25">
      <c r="A232" t="s">
        <v>773</v>
      </c>
      <c r="B232">
        <v>-999</v>
      </c>
      <c r="C232" t="s">
        <v>19</v>
      </c>
      <c r="D232">
        <v>14</v>
      </c>
      <c r="E232">
        <v>125</v>
      </c>
      <c r="F232">
        <v>196</v>
      </c>
      <c r="G232">
        <v>128</v>
      </c>
      <c r="H232" t="s">
        <v>102</v>
      </c>
      <c r="I232">
        <v>12</v>
      </c>
      <c r="J232">
        <v>1</v>
      </c>
      <c r="K232">
        <v>0</v>
      </c>
      <c r="L232">
        <v>0</v>
      </c>
      <c r="N232" t="s">
        <v>918</v>
      </c>
      <c r="O232" t="s">
        <v>25</v>
      </c>
      <c r="Q232">
        <v>3</v>
      </c>
      <c r="R232" t="b">
        <v>0</v>
      </c>
      <c r="S232" t="s">
        <v>119</v>
      </c>
      <c r="T232">
        <v>0</v>
      </c>
    </row>
    <row r="233" spans="1:20" x14ac:dyDescent="0.25">
      <c r="A233" t="s">
        <v>774</v>
      </c>
      <c r="B233">
        <v>14</v>
      </c>
      <c r="C233" t="s">
        <v>19</v>
      </c>
      <c r="D233">
        <v>113</v>
      </c>
      <c r="E233">
        <v>122</v>
      </c>
      <c r="F233">
        <v>140</v>
      </c>
      <c r="G233">
        <v>127</v>
      </c>
      <c r="H233" t="s">
        <v>102</v>
      </c>
      <c r="I233">
        <v>10</v>
      </c>
      <c r="J233">
        <v>1</v>
      </c>
      <c r="K233">
        <v>0</v>
      </c>
      <c r="L233">
        <v>0</v>
      </c>
      <c r="N233" t="s">
        <v>918</v>
      </c>
      <c r="O233" t="s">
        <v>27</v>
      </c>
      <c r="Q233">
        <v>3</v>
      </c>
      <c r="R233" t="b">
        <v>1</v>
      </c>
      <c r="S233" t="s">
        <v>119</v>
      </c>
      <c r="T233">
        <v>0</v>
      </c>
    </row>
    <row r="234" spans="1:20" x14ac:dyDescent="0.25">
      <c r="A234" t="s">
        <v>775</v>
      </c>
      <c r="B234">
        <v>14</v>
      </c>
      <c r="C234" t="s">
        <v>19</v>
      </c>
      <c r="D234">
        <v>140</v>
      </c>
      <c r="E234">
        <v>122</v>
      </c>
      <c r="F234">
        <v>169</v>
      </c>
      <c r="G234">
        <v>127</v>
      </c>
      <c r="H234" t="s">
        <v>102</v>
      </c>
      <c r="I234">
        <v>10</v>
      </c>
      <c r="J234">
        <v>1</v>
      </c>
      <c r="K234">
        <v>0</v>
      </c>
      <c r="L234">
        <v>0</v>
      </c>
      <c r="N234" t="s">
        <v>918</v>
      </c>
      <c r="O234" t="s">
        <v>27</v>
      </c>
      <c r="Q234">
        <v>3</v>
      </c>
      <c r="R234" t="b">
        <v>1</v>
      </c>
      <c r="S234" t="s">
        <v>119</v>
      </c>
      <c r="T234">
        <v>0</v>
      </c>
    </row>
    <row r="235" spans="1:20" x14ac:dyDescent="0.25">
      <c r="A235" t="s">
        <v>776</v>
      </c>
      <c r="B235">
        <v>14</v>
      </c>
      <c r="C235" t="s">
        <v>19</v>
      </c>
      <c r="D235">
        <v>168</v>
      </c>
      <c r="E235">
        <v>122</v>
      </c>
      <c r="F235">
        <v>194</v>
      </c>
      <c r="G235">
        <v>127</v>
      </c>
      <c r="H235" t="s">
        <v>102</v>
      </c>
      <c r="I235">
        <v>10</v>
      </c>
      <c r="J235">
        <v>1</v>
      </c>
      <c r="K235">
        <v>0</v>
      </c>
      <c r="L235">
        <v>0</v>
      </c>
      <c r="N235" t="s">
        <v>918</v>
      </c>
      <c r="O235" t="s">
        <v>27</v>
      </c>
      <c r="Q235">
        <v>3</v>
      </c>
      <c r="R235" t="b">
        <v>1</v>
      </c>
      <c r="S235" t="s">
        <v>119</v>
      </c>
      <c r="T235">
        <v>0</v>
      </c>
    </row>
    <row r="236" spans="1:20" x14ac:dyDescent="0.25">
      <c r="A236" t="s">
        <v>44</v>
      </c>
      <c r="B236">
        <v>14</v>
      </c>
      <c r="C236" t="s">
        <v>25</v>
      </c>
      <c r="D236">
        <v>114</v>
      </c>
      <c r="E236">
        <v>120</v>
      </c>
      <c r="F236">
        <v>114</v>
      </c>
      <c r="G236">
        <v>204</v>
      </c>
      <c r="I236">
        <v>0.5</v>
      </c>
      <c r="J236">
        <v>0</v>
      </c>
      <c r="K236">
        <v>0</v>
      </c>
      <c r="L236">
        <v>0</v>
      </c>
      <c r="M236" t="s">
        <v>21</v>
      </c>
      <c r="N236" t="s">
        <v>918</v>
      </c>
      <c r="O236" t="s">
        <v>25</v>
      </c>
      <c r="Q236">
        <v>4</v>
      </c>
      <c r="R236" t="b">
        <v>0</v>
      </c>
      <c r="S236" t="s">
        <v>119</v>
      </c>
      <c r="T236">
        <v>0</v>
      </c>
    </row>
    <row r="237" spans="1:20" x14ac:dyDescent="0.25">
      <c r="A237" t="s">
        <v>45</v>
      </c>
      <c r="B237">
        <v>14</v>
      </c>
      <c r="C237" t="s">
        <v>25</v>
      </c>
      <c r="D237">
        <v>141</v>
      </c>
      <c r="E237">
        <v>120</v>
      </c>
      <c r="F237">
        <v>141</v>
      </c>
      <c r="G237">
        <v>204</v>
      </c>
      <c r="I237">
        <v>0.5</v>
      </c>
      <c r="J237">
        <v>0</v>
      </c>
      <c r="K237">
        <v>0</v>
      </c>
      <c r="L237">
        <v>0</v>
      </c>
      <c r="M237" t="s">
        <v>21</v>
      </c>
      <c r="N237" t="s">
        <v>918</v>
      </c>
      <c r="O237" t="s">
        <v>25</v>
      </c>
      <c r="Q237">
        <v>4</v>
      </c>
      <c r="R237" t="b">
        <v>0</v>
      </c>
      <c r="S237" t="s">
        <v>119</v>
      </c>
      <c r="T237">
        <v>0</v>
      </c>
    </row>
    <row r="238" spans="1:20" x14ac:dyDescent="0.25">
      <c r="A238" t="s">
        <v>46</v>
      </c>
      <c r="B238">
        <v>14</v>
      </c>
      <c r="C238" t="s">
        <v>25</v>
      </c>
      <c r="D238">
        <v>168</v>
      </c>
      <c r="E238">
        <v>120</v>
      </c>
      <c r="F238">
        <v>168</v>
      </c>
      <c r="G238">
        <v>204</v>
      </c>
      <c r="I238">
        <v>0.5</v>
      </c>
      <c r="J238">
        <v>0</v>
      </c>
      <c r="K238">
        <v>0</v>
      </c>
      <c r="L238">
        <v>0</v>
      </c>
      <c r="M238" t="s">
        <v>21</v>
      </c>
      <c r="N238" t="s">
        <v>918</v>
      </c>
      <c r="O238" t="s">
        <v>25</v>
      </c>
      <c r="Q238">
        <v>4</v>
      </c>
      <c r="R238" t="b">
        <v>0</v>
      </c>
      <c r="S238" t="s">
        <v>119</v>
      </c>
      <c r="T238">
        <v>0</v>
      </c>
    </row>
    <row r="239" spans="1:20" x14ac:dyDescent="0.25">
      <c r="A239" t="s">
        <v>55</v>
      </c>
      <c r="B239">
        <v>14</v>
      </c>
      <c r="C239" t="s">
        <v>25</v>
      </c>
      <c r="D239">
        <v>14</v>
      </c>
      <c r="E239">
        <v>147</v>
      </c>
      <c r="F239">
        <v>196</v>
      </c>
      <c r="G239">
        <v>147</v>
      </c>
      <c r="I239">
        <v>0.5</v>
      </c>
      <c r="J239">
        <v>0</v>
      </c>
      <c r="K239">
        <v>0</v>
      </c>
      <c r="L239">
        <v>0</v>
      </c>
      <c r="M239" t="s">
        <v>21</v>
      </c>
      <c r="N239" t="s">
        <v>918</v>
      </c>
      <c r="O239" t="s">
        <v>25</v>
      </c>
      <c r="Q239">
        <v>4</v>
      </c>
      <c r="R239" t="b">
        <v>0</v>
      </c>
      <c r="S239" t="s">
        <v>119</v>
      </c>
      <c r="T239">
        <v>0</v>
      </c>
    </row>
    <row r="240" spans="1:20" x14ac:dyDescent="0.25">
      <c r="A240" t="s">
        <v>920</v>
      </c>
      <c r="B240">
        <v>14</v>
      </c>
      <c r="C240" t="s">
        <v>19</v>
      </c>
      <c r="D240">
        <v>14</v>
      </c>
      <c r="E240">
        <v>206</v>
      </c>
      <c r="F240">
        <v>196</v>
      </c>
      <c r="G240">
        <v>210</v>
      </c>
      <c r="H240" t="s">
        <v>102</v>
      </c>
      <c r="I240">
        <v>10</v>
      </c>
      <c r="J240">
        <v>0</v>
      </c>
      <c r="K240">
        <v>0</v>
      </c>
      <c r="L240">
        <v>0</v>
      </c>
      <c r="N240" t="s">
        <v>21</v>
      </c>
      <c r="O240" t="s">
        <v>22</v>
      </c>
      <c r="Q240">
        <v>2</v>
      </c>
      <c r="R240" t="b">
        <v>0</v>
      </c>
      <c r="S240" t="s">
        <v>119</v>
      </c>
      <c r="T240">
        <v>0</v>
      </c>
    </row>
    <row r="241" spans="1:20" ht="15.75" customHeight="1" x14ac:dyDescent="0.25">
      <c r="A241" t="s">
        <v>765</v>
      </c>
      <c r="B241">
        <v>14</v>
      </c>
      <c r="C241" t="s">
        <v>19</v>
      </c>
      <c r="D241">
        <v>14</v>
      </c>
      <c r="E241">
        <v>149</v>
      </c>
      <c r="F241">
        <v>112</v>
      </c>
      <c r="G241">
        <v>154</v>
      </c>
      <c r="H241" t="s">
        <v>102</v>
      </c>
      <c r="I241">
        <v>12</v>
      </c>
      <c r="J241">
        <v>0</v>
      </c>
      <c r="K241">
        <v>0</v>
      </c>
      <c r="L241">
        <v>0</v>
      </c>
      <c r="N241" t="s">
        <v>918</v>
      </c>
      <c r="O241" t="s">
        <v>25</v>
      </c>
      <c r="Q241">
        <v>3</v>
      </c>
      <c r="R241" t="b">
        <v>1</v>
      </c>
      <c r="S241" t="s">
        <v>119</v>
      </c>
      <c r="T241">
        <v>0</v>
      </c>
    </row>
    <row r="242" spans="1:20" x14ac:dyDescent="0.25">
      <c r="A242" t="s">
        <v>766</v>
      </c>
      <c r="B242">
        <v>14</v>
      </c>
      <c r="C242" t="s">
        <v>19</v>
      </c>
      <c r="D242">
        <v>113</v>
      </c>
      <c r="E242">
        <v>150</v>
      </c>
      <c r="F242">
        <v>140</v>
      </c>
      <c r="G242">
        <v>153</v>
      </c>
      <c r="H242" t="s">
        <v>20</v>
      </c>
      <c r="I242">
        <v>16</v>
      </c>
      <c r="J242">
        <v>1</v>
      </c>
      <c r="K242">
        <v>0</v>
      </c>
      <c r="L242">
        <v>0</v>
      </c>
      <c r="N242" t="s">
        <v>918</v>
      </c>
      <c r="O242" t="s">
        <v>27</v>
      </c>
      <c r="Q242">
        <v>2</v>
      </c>
      <c r="R242" t="b">
        <v>0</v>
      </c>
      <c r="S242" t="s">
        <v>119</v>
      </c>
      <c r="T242">
        <v>0</v>
      </c>
    </row>
    <row r="243" spans="1:20" x14ac:dyDescent="0.25">
      <c r="A243" t="s">
        <v>767</v>
      </c>
      <c r="B243">
        <v>14</v>
      </c>
      <c r="C243" t="s">
        <v>19</v>
      </c>
      <c r="D243">
        <v>140</v>
      </c>
      <c r="E243">
        <v>150</v>
      </c>
      <c r="F243">
        <v>169</v>
      </c>
      <c r="G243">
        <v>153</v>
      </c>
      <c r="H243" t="s">
        <v>20</v>
      </c>
      <c r="I243">
        <v>16</v>
      </c>
      <c r="J243">
        <v>1</v>
      </c>
      <c r="K243">
        <v>0</v>
      </c>
      <c r="L243">
        <v>0</v>
      </c>
      <c r="N243" t="s">
        <v>918</v>
      </c>
      <c r="O243" t="s">
        <v>27</v>
      </c>
      <c r="Q243">
        <v>2</v>
      </c>
      <c r="R243" t="b">
        <v>0</v>
      </c>
      <c r="S243" t="s">
        <v>119</v>
      </c>
      <c r="T243">
        <v>0</v>
      </c>
    </row>
    <row r="244" spans="1:20" x14ac:dyDescent="0.25">
      <c r="A244" t="s">
        <v>768</v>
      </c>
      <c r="B244">
        <v>14</v>
      </c>
      <c r="C244" t="s">
        <v>19</v>
      </c>
      <c r="D244">
        <v>168</v>
      </c>
      <c r="E244">
        <v>150</v>
      </c>
      <c r="F244">
        <v>194</v>
      </c>
      <c r="G244">
        <v>153</v>
      </c>
      <c r="H244" t="s">
        <v>20</v>
      </c>
      <c r="I244">
        <v>16</v>
      </c>
      <c r="J244">
        <v>1</v>
      </c>
      <c r="K244">
        <v>0</v>
      </c>
      <c r="L244">
        <v>0</v>
      </c>
      <c r="N244" t="s">
        <v>918</v>
      </c>
      <c r="O244" t="s">
        <v>27</v>
      </c>
      <c r="Q244">
        <v>2</v>
      </c>
      <c r="R244" t="b">
        <v>0</v>
      </c>
      <c r="S244" t="s">
        <v>119</v>
      </c>
      <c r="T244">
        <v>0</v>
      </c>
    </row>
    <row r="245" spans="1:20" ht="15.75" customHeight="1" x14ac:dyDescent="0.25">
      <c r="A245" t="s">
        <v>833</v>
      </c>
      <c r="B245">
        <v>14</v>
      </c>
      <c r="C245" t="s">
        <v>19</v>
      </c>
      <c r="D245">
        <v>14</v>
      </c>
      <c r="E245">
        <v>167</v>
      </c>
      <c r="F245">
        <v>112</v>
      </c>
      <c r="G245">
        <v>172</v>
      </c>
      <c r="H245" t="s">
        <v>102</v>
      </c>
      <c r="I245">
        <v>12</v>
      </c>
      <c r="J245">
        <v>0</v>
      </c>
      <c r="K245">
        <v>0</v>
      </c>
      <c r="L245">
        <v>0</v>
      </c>
      <c r="N245" t="s">
        <v>918</v>
      </c>
      <c r="O245" t="s">
        <v>25</v>
      </c>
      <c r="Q245">
        <v>3</v>
      </c>
      <c r="R245" t="b">
        <v>1</v>
      </c>
      <c r="S245" t="s">
        <v>119</v>
      </c>
      <c r="T245">
        <v>0</v>
      </c>
    </row>
    <row r="246" spans="1:20" x14ac:dyDescent="0.25">
      <c r="A246" t="s">
        <v>834</v>
      </c>
      <c r="B246">
        <v>14</v>
      </c>
      <c r="C246" t="s">
        <v>19</v>
      </c>
      <c r="D246">
        <v>113</v>
      </c>
      <c r="E246">
        <v>168</v>
      </c>
      <c r="F246">
        <v>140</v>
      </c>
      <c r="G246">
        <v>171</v>
      </c>
      <c r="H246" t="s">
        <v>20</v>
      </c>
      <c r="I246">
        <v>16</v>
      </c>
      <c r="J246">
        <v>1</v>
      </c>
      <c r="K246">
        <v>0</v>
      </c>
      <c r="L246">
        <v>0</v>
      </c>
      <c r="N246" t="s">
        <v>918</v>
      </c>
      <c r="O246" t="s">
        <v>27</v>
      </c>
      <c r="Q246">
        <v>2</v>
      </c>
      <c r="R246" t="b">
        <v>0</v>
      </c>
      <c r="S246" t="s">
        <v>119</v>
      </c>
      <c r="T246">
        <v>0</v>
      </c>
    </row>
    <row r="247" spans="1:20" x14ac:dyDescent="0.25">
      <c r="A247" t="s">
        <v>835</v>
      </c>
      <c r="B247">
        <v>14</v>
      </c>
      <c r="C247" t="s">
        <v>19</v>
      </c>
      <c r="D247">
        <v>140</v>
      </c>
      <c r="E247">
        <v>168</v>
      </c>
      <c r="F247">
        <v>169</v>
      </c>
      <c r="G247">
        <v>171</v>
      </c>
      <c r="H247" t="s">
        <v>20</v>
      </c>
      <c r="I247">
        <v>16</v>
      </c>
      <c r="J247">
        <v>1</v>
      </c>
      <c r="K247">
        <v>0</v>
      </c>
      <c r="L247">
        <v>0</v>
      </c>
      <c r="N247" t="s">
        <v>918</v>
      </c>
      <c r="O247" t="s">
        <v>27</v>
      </c>
      <c r="Q247">
        <v>2</v>
      </c>
      <c r="R247" t="b">
        <v>0</v>
      </c>
      <c r="S247" t="s">
        <v>119</v>
      </c>
      <c r="T247">
        <v>0</v>
      </c>
    </row>
    <row r="248" spans="1:20" x14ac:dyDescent="0.25">
      <c r="A248" t="s">
        <v>836</v>
      </c>
      <c r="B248">
        <v>14</v>
      </c>
      <c r="C248" t="s">
        <v>19</v>
      </c>
      <c r="D248">
        <v>168</v>
      </c>
      <c r="E248">
        <v>168</v>
      </c>
      <c r="F248">
        <v>194</v>
      </c>
      <c r="G248">
        <v>171</v>
      </c>
      <c r="H248" t="s">
        <v>20</v>
      </c>
      <c r="I248">
        <v>16</v>
      </c>
      <c r="J248">
        <v>1</v>
      </c>
      <c r="K248">
        <v>0</v>
      </c>
      <c r="L248">
        <v>0</v>
      </c>
      <c r="N248" t="s">
        <v>918</v>
      </c>
      <c r="O248" t="s">
        <v>27</v>
      </c>
      <c r="Q248">
        <v>2</v>
      </c>
      <c r="R248" t="b">
        <v>0</v>
      </c>
      <c r="S248" t="s">
        <v>119</v>
      </c>
      <c r="T248">
        <v>0</v>
      </c>
    </row>
    <row r="249" spans="1:20" ht="15.75" customHeight="1" x14ac:dyDescent="0.25">
      <c r="A249" t="s">
        <v>837</v>
      </c>
      <c r="B249">
        <v>14</v>
      </c>
      <c r="C249" t="s">
        <v>19</v>
      </c>
      <c r="D249">
        <v>14</v>
      </c>
      <c r="E249">
        <v>185</v>
      </c>
      <c r="F249">
        <v>112</v>
      </c>
      <c r="G249">
        <v>190</v>
      </c>
      <c r="H249" t="s">
        <v>102</v>
      </c>
      <c r="I249">
        <v>12</v>
      </c>
      <c r="J249">
        <v>0</v>
      </c>
      <c r="K249">
        <v>0</v>
      </c>
      <c r="L249">
        <v>0</v>
      </c>
      <c r="N249" t="s">
        <v>918</v>
      </c>
      <c r="O249" t="s">
        <v>25</v>
      </c>
      <c r="Q249">
        <v>3</v>
      </c>
      <c r="R249" t="b">
        <v>1</v>
      </c>
      <c r="S249" t="s">
        <v>119</v>
      </c>
      <c r="T249">
        <v>0</v>
      </c>
    </row>
    <row r="250" spans="1:20" x14ac:dyDescent="0.25">
      <c r="A250" t="s">
        <v>838</v>
      </c>
      <c r="B250">
        <v>14</v>
      </c>
      <c r="C250" t="s">
        <v>19</v>
      </c>
      <c r="D250">
        <v>113</v>
      </c>
      <c r="E250">
        <v>186</v>
      </c>
      <c r="F250">
        <v>140</v>
      </c>
      <c r="G250">
        <v>189</v>
      </c>
      <c r="H250" t="s">
        <v>20</v>
      </c>
      <c r="I250">
        <v>16</v>
      </c>
      <c r="J250">
        <v>1</v>
      </c>
      <c r="K250">
        <v>0</v>
      </c>
      <c r="L250">
        <v>0</v>
      </c>
      <c r="N250" t="s">
        <v>918</v>
      </c>
      <c r="O250" t="s">
        <v>27</v>
      </c>
      <c r="Q250">
        <v>2</v>
      </c>
      <c r="R250" t="b">
        <v>0</v>
      </c>
      <c r="S250" t="s">
        <v>119</v>
      </c>
      <c r="T250">
        <v>0</v>
      </c>
    </row>
    <row r="251" spans="1:20" x14ac:dyDescent="0.25">
      <c r="A251" t="s">
        <v>839</v>
      </c>
      <c r="B251">
        <v>14</v>
      </c>
      <c r="C251" t="s">
        <v>19</v>
      </c>
      <c r="D251">
        <v>140</v>
      </c>
      <c r="E251">
        <v>186</v>
      </c>
      <c r="F251">
        <v>169</v>
      </c>
      <c r="G251">
        <v>189</v>
      </c>
      <c r="H251" t="s">
        <v>20</v>
      </c>
      <c r="I251">
        <v>16</v>
      </c>
      <c r="J251">
        <v>1</v>
      </c>
      <c r="K251">
        <v>0</v>
      </c>
      <c r="L251">
        <v>0</v>
      </c>
      <c r="N251" t="s">
        <v>918</v>
      </c>
      <c r="O251" t="s">
        <v>27</v>
      </c>
      <c r="Q251">
        <v>2</v>
      </c>
      <c r="R251" t="b">
        <v>0</v>
      </c>
      <c r="S251" t="s">
        <v>119</v>
      </c>
      <c r="T251">
        <v>0</v>
      </c>
    </row>
    <row r="252" spans="1:20" x14ac:dyDescent="0.25">
      <c r="A252" t="s">
        <v>840</v>
      </c>
      <c r="B252">
        <v>14</v>
      </c>
      <c r="C252" t="s">
        <v>19</v>
      </c>
      <c r="D252">
        <v>168</v>
      </c>
      <c r="E252">
        <v>186</v>
      </c>
      <c r="F252">
        <v>194</v>
      </c>
      <c r="G252">
        <v>189</v>
      </c>
      <c r="H252" t="s">
        <v>20</v>
      </c>
      <c r="I252">
        <v>16</v>
      </c>
      <c r="J252">
        <v>1</v>
      </c>
      <c r="K252">
        <v>0</v>
      </c>
      <c r="L252">
        <v>0</v>
      </c>
      <c r="N252" t="s">
        <v>918</v>
      </c>
      <c r="O252" t="s">
        <v>27</v>
      </c>
      <c r="Q252">
        <v>2</v>
      </c>
      <c r="R252" t="b">
        <v>0</v>
      </c>
      <c r="S252" t="s">
        <v>119</v>
      </c>
      <c r="T252">
        <v>0</v>
      </c>
    </row>
    <row r="253" spans="1:20" x14ac:dyDescent="0.25">
      <c r="A253" t="s">
        <v>64</v>
      </c>
      <c r="B253">
        <v>15</v>
      </c>
      <c r="C253" t="s">
        <v>24</v>
      </c>
      <c r="D253">
        <v>14</v>
      </c>
      <c r="E253">
        <v>60</v>
      </c>
      <c r="F253">
        <v>196</v>
      </c>
      <c r="G253">
        <v>225</v>
      </c>
      <c r="I253">
        <v>0</v>
      </c>
      <c r="J253">
        <v>0</v>
      </c>
      <c r="K253">
        <v>0</v>
      </c>
      <c r="L253">
        <v>0</v>
      </c>
      <c r="N253" t="s">
        <v>21</v>
      </c>
      <c r="O253" t="s">
        <v>25</v>
      </c>
      <c r="Q253">
        <v>2</v>
      </c>
      <c r="R253" t="b">
        <v>0</v>
      </c>
      <c r="S253" t="s">
        <v>119</v>
      </c>
      <c r="T253">
        <v>0</v>
      </c>
    </row>
    <row r="254" spans="1:20" x14ac:dyDescent="0.25">
      <c r="A254" t="s">
        <v>857</v>
      </c>
      <c r="B254">
        <v>15</v>
      </c>
      <c r="C254" t="s">
        <v>19</v>
      </c>
      <c r="D254">
        <v>30</v>
      </c>
      <c r="E254">
        <v>233</v>
      </c>
      <c r="F254">
        <v>180</v>
      </c>
      <c r="G254">
        <v>241</v>
      </c>
      <c r="H254" t="s">
        <v>102</v>
      </c>
      <c r="I254">
        <v>16</v>
      </c>
      <c r="J254">
        <v>0</v>
      </c>
      <c r="K254">
        <v>0</v>
      </c>
      <c r="L254">
        <v>0</v>
      </c>
      <c r="M254" t="s">
        <v>884</v>
      </c>
      <c r="N254" t="s">
        <v>21</v>
      </c>
      <c r="O254" t="s">
        <v>27</v>
      </c>
      <c r="Q254">
        <v>2</v>
      </c>
      <c r="R254" t="b">
        <v>1</v>
      </c>
      <c r="S254" t="s">
        <v>119</v>
      </c>
      <c r="T254">
        <v>0</v>
      </c>
    </row>
    <row r="255" spans="1:20" x14ac:dyDescent="0.25">
      <c r="A255" t="s">
        <v>39</v>
      </c>
      <c r="B255">
        <v>16</v>
      </c>
      <c r="C255" t="s">
        <v>19</v>
      </c>
      <c r="D255">
        <v>14</v>
      </c>
      <c r="E255">
        <v>20</v>
      </c>
      <c r="F255">
        <v>196</v>
      </c>
      <c r="G255">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v>14</v>
      </c>
      <c r="E256">
        <v>31</v>
      </c>
      <c r="F256">
        <v>196</v>
      </c>
      <c r="G256">
        <v>36</v>
      </c>
      <c r="H256" t="s">
        <v>102</v>
      </c>
      <c r="I256">
        <v>12</v>
      </c>
      <c r="J256">
        <v>0</v>
      </c>
      <c r="K256">
        <v>0</v>
      </c>
      <c r="L256">
        <v>0</v>
      </c>
      <c r="N256" t="s">
        <v>21</v>
      </c>
      <c r="O256" t="s">
        <v>25</v>
      </c>
      <c r="P256" s="1"/>
      <c r="Q256">
        <v>2</v>
      </c>
      <c r="R256" t="b">
        <v>1</v>
      </c>
      <c r="S256" t="s">
        <v>119</v>
      </c>
      <c r="T256">
        <v>0</v>
      </c>
    </row>
    <row r="257" spans="1:20" x14ac:dyDescent="0.25">
      <c r="A257" t="s">
        <v>841</v>
      </c>
      <c r="B257">
        <v>16</v>
      </c>
      <c r="C257" t="s">
        <v>26</v>
      </c>
      <c r="D257">
        <v>0</v>
      </c>
      <c r="E257">
        <v>120</v>
      </c>
      <c r="F257">
        <v>210</v>
      </c>
      <c r="G257">
        <v>168</v>
      </c>
      <c r="I257">
        <v>0</v>
      </c>
      <c r="J257">
        <v>1</v>
      </c>
      <c r="K257">
        <v>0</v>
      </c>
      <c r="L257">
        <v>0</v>
      </c>
      <c r="M257" t="s">
        <v>918</v>
      </c>
      <c r="N257" t="s">
        <v>918</v>
      </c>
      <c r="O257" t="s">
        <v>25</v>
      </c>
      <c r="Q257">
        <v>1</v>
      </c>
      <c r="R257" t="b">
        <v>0</v>
      </c>
      <c r="S257" t="s">
        <v>119</v>
      </c>
      <c r="T257">
        <v>0</v>
      </c>
    </row>
    <row r="258" spans="1:20" x14ac:dyDescent="0.25">
      <c r="A258" t="s">
        <v>842</v>
      </c>
      <c r="B258">
        <v>-999</v>
      </c>
      <c r="C258" t="s">
        <v>19</v>
      </c>
      <c r="D258">
        <v>14</v>
      </c>
      <c r="E258">
        <v>125</v>
      </c>
      <c r="F258">
        <v>196</v>
      </c>
      <c r="G258">
        <v>128</v>
      </c>
      <c r="H258" t="s">
        <v>102</v>
      </c>
      <c r="I258">
        <v>12</v>
      </c>
      <c r="J258">
        <v>1</v>
      </c>
      <c r="K258">
        <v>0</v>
      </c>
      <c r="L258">
        <v>0</v>
      </c>
      <c r="N258" t="s">
        <v>918</v>
      </c>
      <c r="O258" t="s">
        <v>25</v>
      </c>
      <c r="Q258">
        <v>3</v>
      </c>
      <c r="R258" t="b">
        <v>0</v>
      </c>
      <c r="S258" t="s">
        <v>119</v>
      </c>
      <c r="T258">
        <v>0</v>
      </c>
    </row>
    <row r="259" spans="1:20" x14ac:dyDescent="0.25">
      <c r="A259" t="s">
        <v>774</v>
      </c>
      <c r="B259">
        <v>16</v>
      </c>
      <c r="C259" t="s">
        <v>19</v>
      </c>
      <c r="D259">
        <v>113</v>
      </c>
      <c r="E259">
        <v>122</v>
      </c>
      <c r="F259">
        <v>140</v>
      </c>
      <c r="G259">
        <v>127</v>
      </c>
      <c r="H259" t="s">
        <v>102</v>
      </c>
      <c r="I259">
        <v>10</v>
      </c>
      <c r="J259">
        <v>1</v>
      </c>
      <c r="K259">
        <v>0</v>
      </c>
      <c r="L259">
        <v>0</v>
      </c>
      <c r="N259" t="s">
        <v>918</v>
      </c>
      <c r="O259" t="s">
        <v>27</v>
      </c>
      <c r="Q259">
        <v>3</v>
      </c>
      <c r="R259" t="b">
        <v>1</v>
      </c>
      <c r="S259" t="s">
        <v>119</v>
      </c>
      <c r="T259">
        <v>0</v>
      </c>
    </row>
    <row r="260" spans="1:20" x14ac:dyDescent="0.25">
      <c r="A260" t="s">
        <v>775</v>
      </c>
      <c r="B260">
        <v>16</v>
      </c>
      <c r="C260" t="s">
        <v>19</v>
      </c>
      <c r="D260">
        <v>140</v>
      </c>
      <c r="E260">
        <v>122</v>
      </c>
      <c r="F260">
        <v>169</v>
      </c>
      <c r="G260">
        <v>127</v>
      </c>
      <c r="H260" t="s">
        <v>102</v>
      </c>
      <c r="I260">
        <v>10</v>
      </c>
      <c r="J260">
        <v>1</v>
      </c>
      <c r="K260">
        <v>0</v>
      </c>
      <c r="L260">
        <v>0</v>
      </c>
      <c r="N260" t="s">
        <v>918</v>
      </c>
      <c r="O260" t="s">
        <v>27</v>
      </c>
      <c r="Q260">
        <v>3</v>
      </c>
      <c r="R260" t="b">
        <v>1</v>
      </c>
      <c r="S260" t="s">
        <v>119</v>
      </c>
      <c r="T260">
        <v>0</v>
      </c>
    </row>
    <row r="261" spans="1:20" x14ac:dyDescent="0.25">
      <c r="A261" t="s">
        <v>776</v>
      </c>
      <c r="B261">
        <v>16</v>
      </c>
      <c r="C261" t="s">
        <v>19</v>
      </c>
      <c r="D261">
        <v>168</v>
      </c>
      <c r="E261">
        <v>122</v>
      </c>
      <c r="F261">
        <v>194</v>
      </c>
      <c r="G261">
        <v>127</v>
      </c>
      <c r="H261" t="s">
        <v>102</v>
      </c>
      <c r="I261">
        <v>10</v>
      </c>
      <c r="J261">
        <v>1</v>
      </c>
      <c r="K261">
        <v>0</v>
      </c>
      <c r="L261">
        <v>0</v>
      </c>
      <c r="N261" t="s">
        <v>918</v>
      </c>
      <c r="O261" t="s">
        <v>27</v>
      </c>
      <c r="Q261">
        <v>3</v>
      </c>
      <c r="R261" t="b">
        <v>1</v>
      </c>
      <c r="S261" t="s">
        <v>119</v>
      </c>
      <c r="T261">
        <v>0</v>
      </c>
    </row>
    <row r="262" spans="1:20" x14ac:dyDescent="0.25">
      <c r="A262" t="s">
        <v>44</v>
      </c>
      <c r="B262">
        <v>16</v>
      </c>
      <c r="C262" t="s">
        <v>25</v>
      </c>
      <c r="D262">
        <v>114</v>
      </c>
      <c r="E262">
        <v>120</v>
      </c>
      <c r="F262">
        <v>114</v>
      </c>
      <c r="G262">
        <v>168</v>
      </c>
      <c r="I262">
        <v>0.5</v>
      </c>
      <c r="J262">
        <v>0</v>
      </c>
      <c r="K262">
        <v>0</v>
      </c>
      <c r="L262">
        <v>0</v>
      </c>
      <c r="M262" t="s">
        <v>21</v>
      </c>
      <c r="N262" t="s">
        <v>918</v>
      </c>
      <c r="O262" t="s">
        <v>25</v>
      </c>
      <c r="Q262">
        <v>4</v>
      </c>
      <c r="R262" t="b">
        <v>0</v>
      </c>
      <c r="S262" t="s">
        <v>119</v>
      </c>
      <c r="T262">
        <v>0</v>
      </c>
    </row>
    <row r="263" spans="1:20" x14ac:dyDescent="0.25">
      <c r="A263" t="s">
        <v>45</v>
      </c>
      <c r="B263">
        <v>16</v>
      </c>
      <c r="C263" t="s">
        <v>25</v>
      </c>
      <c r="D263">
        <v>141</v>
      </c>
      <c r="E263">
        <v>120</v>
      </c>
      <c r="F263">
        <v>141</v>
      </c>
      <c r="G263">
        <v>168</v>
      </c>
      <c r="I263">
        <v>0.5</v>
      </c>
      <c r="J263">
        <v>0</v>
      </c>
      <c r="K263">
        <v>0</v>
      </c>
      <c r="L263">
        <v>0</v>
      </c>
      <c r="M263" t="s">
        <v>21</v>
      </c>
      <c r="N263" t="s">
        <v>918</v>
      </c>
      <c r="O263" t="s">
        <v>25</v>
      </c>
      <c r="Q263">
        <v>4</v>
      </c>
      <c r="R263" t="b">
        <v>0</v>
      </c>
      <c r="S263" t="s">
        <v>119</v>
      </c>
      <c r="T263">
        <v>0</v>
      </c>
    </row>
    <row r="264" spans="1:20" x14ac:dyDescent="0.25">
      <c r="A264" t="s">
        <v>46</v>
      </c>
      <c r="B264">
        <v>16</v>
      </c>
      <c r="C264" t="s">
        <v>25</v>
      </c>
      <c r="D264">
        <v>168</v>
      </c>
      <c r="E264">
        <v>120</v>
      </c>
      <c r="F264">
        <v>168</v>
      </c>
      <c r="G264">
        <v>168</v>
      </c>
      <c r="I264">
        <v>0.5</v>
      </c>
      <c r="J264">
        <v>0</v>
      </c>
      <c r="K264">
        <v>0</v>
      </c>
      <c r="L264">
        <v>0</v>
      </c>
      <c r="M264" t="s">
        <v>21</v>
      </c>
      <c r="N264" t="s">
        <v>918</v>
      </c>
      <c r="O264" t="s">
        <v>25</v>
      </c>
      <c r="Q264">
        <v>4</v>
      </c>
      <c r="R264" t="b">
        <v>0</v>
      </c>
      <c r="S264" t="s">
        <v>119</v>
      </c>
      <c r="T264">
        <v>0</v>
      </c>
    </row>
    <row r="265" spans="1:20" x14ac:dyDescent="0.25">
      <c r="A265" t="s">
        <v>55</v>
      </c>
      <c r="B265">
        <v>16</v>
      </c>
      <c r="C265" t="s">
        <v>25</v>
      </c>
      <c r="D265">
        <v>14</v>
      </c>
      <c r="E265">
        <v>147</v>
      </c>
      <c r="F265">
        <v>196</v>
      </c>
      <c r="G265">
        <v>147</v>
      </c>
      <c r="I265">
        <v>0.5</v>
      </c>
      <c r="J265">
        <v>0</v>
      </c>
      <c r="K265">
        <v>0</v>
      </c>
      <c r="L265">
        <v>0</v>
      </c>
      <c r="M265" t="s">
        <v>21</v>
      </c>
      <c r="N265" t="s">
        <v>918</v>
      </c>
      <c r="O265" t="s">
        <v>25</v>
      </c>
      <c r="Q265">
        <v>4</v>
      </c>
      <c r="R265" t="b">
        <v>0</v>
      </c>
      <c r="S265" t="s">
        <v>119</v>
      </c>
      <c r="T265">
        <v>0</v>
      </c>
    </row>
    <row r="266" spans="1:20" x14ac:dyDescent="0.25">
      <c r="A266" t="s">
        <v>920</v>
      </c>
      <c r="B266">
        <v>16</v>
      </c>
      <c r="C266" t="s">
        <v>19</v>
      </c>
      <c r="D266">
        <v>14</v>
      </c>
      <c r="E266">
        <v>170</v>
      </c>
      <c r="F266">
        <v>196</v>
      </c>
      <c r="G266">
        <v>174</v>
      </c>
      <c r="H266" t="s">
        <v>102</v>
      </c>
      <c r="I266">
        <v>10</v>
      </c>
      <c r="J266">
        <v>0</v>
      </c>
      <c r="K266">
        <v>0</v>
      </c>
      <c r="L266">
        <v>0</v>
      </c>
      <c r="N266" t="s">
        <v>21</v>
      </c>
      <c r="O266" t="s">
        <v>22</v>
      </c>
      <c r="Q266">
        <v>2</v>
      </c>
      <c r="R266" t="b">
        <v>0</v>
      </c>
      <c r="S266" t="s">
        <v>119</v>
      </c>
      <c r="T266">
        <v>0</v>
      </c>
    </row>
    <row r="267" spans="1:20" ht="15.75" customHeight="1" x14ac:dyDescent="0.25">
      <c r="A267" t="s">
        <v>843</v>
      </c>
      <c r="B267">
        <v>16</v>
      </c>
      <c r="C267" t="s">
        <v>19</v>
      </c>
      <c r="D267">
        <v>14</v>
      </c>
      <c r="E267">
        <v>149</v>
      </c>
      <c r="F267">
        <v>112</v>
      </c>
      <c r="G267">
        <v>154</v>
      </c>
      <c r="H267" t="s">
        <v>102</v>
      </c>
      <c r="I267">
        <v>12</v>
      </c>
      <c r="J267">
        <v>0</v>
      </c>
      <c r="K267">
        <v>0</v>
      </c>
      <c r="L267">
        <v>0</v>
      </c>
      <c r="N267" t="s">
        <v>918</v>
      </c>
      <c r="O267" t="s">
        <v>25</v>
      </c>
      <c r="Q267">
        <v>3</v>
      </c>
      <c r="R267" t="b">
        <v>1</v>
      </c>
      <c r="S267" t="s">
        <v>119</v>
      </c>
      <c r="T267">
        <v>0</v>
      </c>
    </row>
    <row r="268" spans="1:20" x14ac:dyDescent="0.25">
      <c r="A268" t="s">
        <v>844</v>
      </c>
      <c r="B268">
        <v>16</v>
      </c>
      <c r="C268" t="s">
        <v>19</v>
      </c>
      <c r="D268">
        <v>113</v>
      </c>
      <c r="E268">
        <v>150</v>
      </c>
      <c r="F268">
        <v>140</v>
      </c>
      <c r="G268">
        <v>153</v>
      </c>
      <c r="H268" t="s">
        <v>20</v>
      </c>
      <c r="I268">
        <v>16</v>
      </c>
      <c r="J268">
        <v>1</v>
      </c>
      <c r="K268">
        <v>0</v>
      </c>
      <c r="L268">
        <v>0</v>
      </c>
      <c r="N268" t="s">
        <v>918</v>
      </c>
      <c r="O268" t="s">
        <v>27</v>
      </c>
      <c r="Q268">
        <v>2</v>
      </c>
      <c r="R268" t="b">
        <v>0</v>
      </c>
      <c r="S268" t="s">
        <v>119</v>
      </c>
      <c r="T268">
        <v>0</v>
      </c>
    </row>
    <row r="269" spans="1:20" x14ac:dyDescent="0.25">
      <c r="A269" t="s">
        <v>845</v>
      </c>
      <c r="B269">
        <v>16</v>
      </c>
      <c r="C269" t="s">
        <v>19</v>
      </c>
      <c r="D269">
        <v>140</v>
      </c>
      <c r="E269">
        <v>150</v>
      </c>
      <c r="F269">
        <v>169</v>
      </c>
      <c r="G269">
        <v>153</v>
      </c>
      <c r="H269" t="s">
        <v>20</v>
      </c>
      <c r="I269">
        <v>16</v>
      </c>
      <c r="J269">
        <v>1</v>
      </c>
      <c r="K269">
        <v>0</v>
      </c>
      <c r="L269">
        <v>0</v>
      </c>
      <c r="N269" t="s">
        <v>918</v>
      </c>
      <c r="O269" t="s">
        <v>27</v>
      </c>
      <c r="Q269">
        <v>2</v>
      </c>
      <c r="R269" t="b">
        <v>0</v>
      </c>
      <c r="S269" t="s">
        <v>119</v>
      </c>
      <c r="T269">
        <v>0</v>
      </c>
    </row>
    <row r="270" spans="1:20" x14ac:dyDescent="0.25">
      <c r="A270" t="s">
        <v>846</v>
      </c>
      <c r="B270">
        <v>16</v>
      </c>
      <c r="C270" t="s">
        <v>19</v>
      </c>
      <c r="D270">
        <v>168</v>
      </c>
      <c r="E270">
        <v>150</v>
      </c>
      <c r="F270">
        <v>194</v>
      </c>
      <c r="G270">
        <v>153</v>
      </c>
      <c r="H270" t="s">
        <v>20</v>
      </c>
      <c r="I270">
        <v>16</v>
      </c>
      <c r="J270">
        <v>1</v>
      </c>
      <c r="K270">
        <v>0</v>
      </c>
      <c r="L270">
        <v>0</v>
      </c>
      <c r="N270" t="s">
        <v>918</v>
      </c>
      <c r="O270" t="s">
        <v>27</v>
      </c>
      <c r="Q270">
        <v>2</v>
      </c>
      <c r="R270" t="b">
        <v>0</v>
      </c>
      <c r="S270" t="s">
        <v>119</v>
      </c>
      <c r="T270">
        <v>0</v>
      </c>
    </row>
    <row r="271" spans="1:20" x14ac:dyDescent="0.25">
      <c r="A271" t="s">
        <v>40</v>
      </c>
      <c r="B271">
        <v>17</v>
      </c>
      <c r="C271" t="s">
        <v>24</v>
      </c>
      <c r="D271">
        <v>14</v>
      </c>
      <c r="E271">
        <v>60</v>
      </c>
      <c r="F271">
        <v>196</v>
      </c>
      <c r="G271">
        <v>225</v>
      </c>
      <c r="I271">
        <v>0</v>
      </c>
      <c r="J271">
        <v>0</v>
      </c>
      <c r="K271">
        <v>0</v>
      </c>
      <c r="L271">
        <v>0</v>
      </c>
      <c r="N271" t="s">
        <v>21</v>
      </c>
      <c r="O271" t="s">
        <v>25</v>
      </c>
      <c r="Q271">
        <v>2</v>
      </c>
      <c r="R271" t="b">
        <v>0</v>
      </c>
      <c r="S271" t="s">
        <v>119</v>
      </c>
      <c r="T271">
        <v>0</v>
      </c>
    </row>
    <row r="272" spans="1:20" x14ac:dyDescent="0.25">
      <c r="A272" t="s">
        <v>858</v>
      </c>
      <c r="B272">
        <v>17</v>
      </c>
      <c r="C272" t="s">
        <v>19</v>
      </c>
      <c r="D272">
        <v>30</v>
      </c>
      <c r="E272">
        <v>233</v>
      </c>
      <c r="F272">
        <v>180</v>
      </c>
      <c r="G272">
        <v>241</v>
      </c>
      <c r="H272" t="s">
        <v>102</v>
      </c>
      <c r="I272">
        <v>16</v>
      </c>
      <c r="J272">
        <v>0</v>
      </c>
      <c r="K272">
        <v>0</v>
      </c>
      <c r="L272">
        <v>0</v>
      </c>
      <c r="M272" t="s">
        <v>884</v>
      </c>
      <c r="N272" t="s">
        <v>21</v>
      </c>
      <c r="O272" t="s">
        <v>27</v>
      </c>
      <c r="Q272">
        <v>2</v>
      </c>
      <c r="R272" t="b">
        <v>1</v>
      </c>
      <c r="S272" t="s">
        <v>119</v>
      </c>
      <c r="T272">
        <v>0</v>
      </c>
    </row>
    <row r="273" spans="1:20" x14ac:dyDescent="0.25">
      <c r="A273" t="s">
        <v>888</v>
      </c>
      <c r="B273">
        <v>18</v>
      </c>
      <c r="C273" t="s">
        <v>19</v>
      </c>
      <c r="D273">
        <v>14</v>
      </c>
      <c r="E273">
        <v>20</v>
      </c>
      <c r="F273">
        <v>196</v>
      </c>
      <c r="G273">
        <v>25</v>
      </c>
      <c r="H273" t="s">
        <v>102</v>
      </c>
      <c r="I273">
        <v>14</v>
      </c>
      <c r="J273">
        <v>1</v>
      </c>
      <c r="K273">
        <v>0</v>
      </c>
      <c r="L273">
        <v>0</v>
      </c>
      <c r="N273" t="s">
        <v>21</v>
      </c>
      <c r="O273" t="s">
        <v>25</v>
      </c>
      <c r="Q273">
        <v>2</v>
      </c>
      <c r="R273" t="b">
        <v>1</v>
      </c>
      <c r="S273" t="s">
        <v>119</v>
      </c>
      <c r="T273">
        <v>0</v>
      </c>
    </row>
    <row r="274" spans="1:20" x14ac:dyDescent="0.25">
      <c r="A274" t="s">
        <v>878</v>
      </c>
      <c r="B274">
        <v>18</v>
      </c>
      <c r="C274" t="s">
        <v>19</v>
      </c>
      <c r="D274">
        <v>14</v>
      </c>
      <c r="E274">
        <v>33</v>
      </c>
      <c r="F274">
        <v>196</v>
      </c>
      <c r="G274">
        <v>38</v>
      </c>
      <c r="H274" t="s">
        <v>102</v>
      </c>
      <c r="I274">
        <v>12</v>
      </c>
      <c r="J274">
        <v>0</v>
      </c>
      <c r="K274">
        <v>0</v>
      </c>
      <c r="L274">
        <v>0</v>
      </c>
      <c r="N274" t="s">
        <v>21</v>
      </c>
      <c r="O274" t="s">
        <v>25</v>
      </c>
      <c r="Q274">
        <v>2</v>
      </c>
      <c r="R274" t="b">
        <v>1</v>
      </c>
      <c r="T274">
        <v>0</v>
      </c>
    </row>
    <row r="275" spans="1:20" x14ac:dyDescent="0.25">
      <c r="A275" t="s">
        <v>847</v>
      </c>
      <c r="B275">
        <v>18</v>
      </c>
      <c r="C275" t="s">
        <v>26</v>
      </c>
      <c r="D275">
        <v>0</v>
      </c>
      <c r="E275">
        <v>120</v>
      </c>
      <c r="F275">
        <v>210</v>
      </c>
      <c r="G275">
        <v>213</v>
      </c>
      <c r="I275">
        <v>0</v>
      </c>
      <c r="J275">
        <v>1</v>
      </c>
      <c r="K275">
        <v>0</v>
      </c>
      <c r="L275">
        <v>0</v>
      </c>
      <c r="M275" t="s">
        <v>918</v>
      </c>
      <c r="N275" t="s">
        <v>918</v>
      </c>
      <c r="O275" t="s">
        <v>25</v>
      </c>
      <c r="Q275">
        <v>1</v>
      </c>
      <c r="R275" t="b">
        <v>0</v>
      </c>
      <c r="S275" t="s">
        <v>119</v>
      </c>
      <c r="T275">
        <v>0</v>
      </c>
    </row>
    <row r="276" spans="1:20" x14ac:dyDescent="0.25">
      <c r="A276" t="s">
        <v>848</v>
      </c>
      <c r="B276">
        <v>18</v>
      </c>
      <c r="C276" t="s">
        <v>19</v>
      </c>
      <c r="D276">
        <v>14</v>
      </c>
      <c r="E276">
        <v>125</v>
      </c>
      <c r="F276">
        <v>196</v>
      </c>
      <c r="G276">
        <v>128</v>
      </c>
      <c r="H276" t="s">
        <v>102</v>
      </c>
      <c r="I276">
        <v>12</v>
      </c>
      <c r="J276">
        <v>1</v>
      </c>
      <c r="K276">
        <v>0</v>
      </c>
      <c r="L276">
        <v>0</v>
      </c>
      <c r="N276" t="s">
        <v>918</v>
      </c>
      <c r="O276" t="s">
        <v>25</v>
      </c>
      <c r="Q276">
        <v>3</v>
      </c>
      <c r="R276" t="b">
        <v>0</v>
      </c>
      <c r="S276" t="s">
        <v>119</v>
      </c>
      <c r="T276">
        <v>0</v>
      </c>
    </row>
    <row r="277" spans="1:20" x14ac:dyDescent="0.25">
      <c r="A277" t="s">
        <v>774</v>
      </c>
      <c r="B277">
        <v>18</v>
      </c>
      <c r="C277" t="s">
        <v>19</v>
      </c>
      <c r="D277">
        <v>113</v>
      </c>
      <c r="E277">
        <v>122</v>
      </c>
      <c r="F277">
        <v>140</v>
      </c>
      <c r="G277">
        <v>127</v>
      </c>
      <c r="H277" t="s">
        <v>102</v>
      </c>
      <c r="I277">
        <v>10</v>
      </c>
      <c r="J277">
        <v>1</v>
      </c>
      <c r="K277">
        <v>0</v>
      </c>
      <c r="L277">
        <v>0</v>
      </c>
      <c r="N277" t="s">
        <v>918</v>
      </c>
      <c r="O277" t="s">
        <v>27</v>
      </c>
      <c r="Q277">
        <v>3</v>
      </c>
      <c r="R277" t="b">
        <v>1</v>
      </c>
      <c r="S277" t="s">
        <v>119</v>
      </c>
      <c r="T277">
        <v>0</v>
      </c>
    </row>
    <row r="278" spans="1:20" x14ac:dyDescent="0.25">
      <c r="A278" t="s">
        <v>775</v>
      </c>
      <c r="B278">
        <v>18</v>
      </c>
      <c r="C278" t="s">
        <v>19</v>
      </c>
      <c r="D278">
        <v>140</v>
      </c>
      <c r="E278">
        <v>122</v>
      </c>
      <c r="F278">
        <v>169</v>
      </c>
      <c r="G278">
        <v>127</v>
      </c>
      <c r="H278" t="s">
        <v>102</v>
      </c>
      <c r="I278">
        <v>10</v>
      </c>
      <c r="J278">
        <v>1</v>
      </c>
      <c r="K278">
        <v>0</v>
      </c>
      <c r="L278">
        <v>0</v>
      </c>
      <c r="N278" t="s">
        <v>918</v>
      </c>
      <c r="O278" t="s">
        <v>27</v>
      </c>
      <c r="Q278">
        <v>3</v>
      </c>
      <c r="R278" t="b">
        <v>1</v>
      </c>
      <c r="S278" t="s">
        <v>119</v>
      </c>
      <c r="T278">
        <v>0</v>
      </c>
    </row>
    <row r="279" spans="1:20" x14ac:dyDescent="0.25">
      <c r="A279" t="s">
        <v>776</v>
      </c>
      <c r="B279">
        <v>18</v>
      </c>
      <c r="C279" t="s">
        <v>19</v>
      </c>
      <c r="D279">
        <v>168</v>
      </c>
      <c r="E279">
        <v>122</v>
      </c>
      <c r="F279">
        <v>194</v>
      </c>
      <c r="G279">
        <v>127</v>
      </c>
      <c r="H279" t="s">
        <v>102</v>
      </c>
      <c r="I279">
        <v>10</v>
      </c>
      <c r="J279">
        <v>1</v>
      </c>
      <c r="K279">
        <v>0</v>
      </c>
      <c r="L279">
        <v>0</v>
      </c>
      <c r="N279" t="s">
        <v>918</v>
      </c>
      <c r="O279" t="s">
        <v>27</v>
      </c>
      <c r="Q279">
        <v>3</v>
      </c>
      <c r="R279" t="b">
        <v>1</v>
      </c>
      <c r="S279" t="s">
        <v>119</v>
      </c>
      <c r="T279">
        <v>0</v>
      </c>
    </row>
    <row r="280" spans="1:20" x14ac:dyDescent="0.25">
      <c r="A280" t="s">
        <v>44</v>
      </c>
      <c r="B280">
        <v>18</v>
      </c>
      <c r="C280" t="s">
        <v>25</v>
      </c>
      <c r="D280">
        <v>114</v>
      </c>
      <c r="E280">
        <v>120</v>
      </c>
      <c r="F280">
        <v>114</v>
      </c>
      <c r="G280">
        <v>213</v>
      </c>
      <c r="I280">
        <v>0.5</v>
      </c>
      <c r="J280">
        <v>0</v>
      </c>
      <c r="K280">
        <v>0</v>
      </c>
      <c r="L280">
        <v>0</v>
      </c>
      <c r="M280" t="s">
        <v>21</v>
      </c>
      <c r="N280" t="s">
        <v>918</v>
      </c>
      <c r="O280" t="s">
        <v>25</v>
      </c>
      <c r="Q280">
        <v>4</v>
      </c>
      <c r="R280" t="b">
        <v>0</v>
      </c>
      <c r="S280" t="s">
        <v>119</v>
      </c>
      <c r="T280">
        <v>0</v>
      </c>
    </row>
    <row r="281" spans="1:20" x14ac:dyDescent="0.25">
      <c r="A281" t="s">
        <v>45</v>
      </c>
      <c r="B281">
        <v>18</v>
      </c>
      <c r="C281" t="s">
        <v>25</v>
      </c>
      <c r="D281">
        <v>141</v>
      </c>
      <c r="E281">
        <v>120</v>
      </c>
      <c r="F281">
        <v>141</v>
      </c>
      <c r="G281">
        <v>213</v>
      </c>
      <c r="I281">
        <v>0.5</v>
      </c>
      <c r="J281">
        <v>0</v>
      </c>
      <c r="K281">
        <v>0</v>
      </c>
      <c r="L281">
        <v>0</v>
      </c>
      <c r="M281" t="s">
        <v>21</v>
      </c>
      <c r="N281" t="s">
        <v>918</v>
      </c>
      <c r="O281" t="s">
        <v>25</v>
      </c>
      <c r="Q281">
        <v>4</v>
      </c>
      <c r="R281" t="b">
        <v>0</v>
      </c>
      <c r="S281" t="s">
        <v>119</v>
      </c>
      <c r="T281">
        <v>0</v>
      </c>
    </row>
    <row r="282" spans="1:20" x14ac:dyDescent="0.25">
      <c r="A282" t="s">
        <v>46</v>
      </c>
      <c r="B282">
        <v>18</v>
      </c>
      <c r="C282" t="s">
        <v>25</v>
      </c>
      <c r="D282">
        <v>168</v>
      </c>
      <c r="E282">
        <v>120</v>
      </c>
      <c r="F282">
        <v>168</v>
      </c>
      <c r="G282">
        <v>213</v>
      </c>
      <c r="I282">
        <v>0.5</v>
      </c>
      <c r="J282">
        <v>0</v>
      </c>
      <c r="K282">
        <v>0</v>
      </c>
      <c r="L282">
        <v>0</v>
      </c>
      <c r="M282" t="s">
        <v>21</v>
      </c>
      <c r="N282" t="s">
        <v>918</v>
      </c>
      <c r="O282" t="s">
        <v>25</v>
      </c>
      <c r="Q282">
        <v>4</v>
      </c>
      <c r="R282" t="b">
        <v>0</v>
      </c>
      <c r="S282" t="s">
        <v>119</v>
      </c>
      <c r="T282">
        <v>0</v>
      </c>
    </row>
    <row r="283" spans="1:20" x14ac:dyDescent="0.25">
      <c r="A283" t="s">
        <v>55</v>
      </c>
      <c r="B283">
        <v>18</v>
      </c>
      <c r="C283" t="s">
        <v>25</v>
      </c>
      <c r="D283">
        <v>14</v>
      </c>
      <c r="E283">
        <v>147</v>
      </c>
      <c r="F283">
        <v>196</v>
      </c>
      <c r="G283">
        <v>147</v>
      </c>
      <c r="I283">
        <v>0.5</v>
      </c>
      <c r="J283">
        <v>0</v>
      </c>
      <c r="K283">
        <v>0</v>
      </c>
      <c r="L283">
        <v>0</v>
      </c>
      <c r="M283" t="s">
        <v>21</v>
      </c>
      <c r="N283" t="s">
        <v>918</v>
      </c>
      <c r="O283" t="s">
        <v>25</v>
      </c>
      <c r="Q283">
        <v>4</v>
      </c>
      <c r="R283" t="b">
        <v>0</v>
      </c>
      <c r="S283" t="s">
        <v>119</v>
      </c>
      <c r="T283">
        <v>0</v>
      </c>
    </row>
    <row r="284" spans="1:20" x14ac:dyDescent="0.25">
      <c r="A284" t="s">
        <v>920</v>
      </c>
      <c r="B284">
        <v>18</v>
      </c>
      <c r="C284" t="s">
        <v>19</v>
      </c>
      <c r="D284">
        <v>14</v>
      </c>
      <c r="E284">
        <v>215</v>
      </c>
      <c r="F284">
        <v>196</v>
      </c>
      <c r="G284">
        <v>219</v>
      </c>
      <c r="H284" t="s">
        <v>102</v>
      </c>
      <c r="I284">
        <v>10</v>
      </c>
      <c r="J284">
        <v>0</v>
      </c>
      <c r="K284">
        <v>0</v>
      </c>
      <c r="L284">
        <v>0</v>
      </c>
      <c r="N284" t="s">
        <v>21</v>
      </c>
      <c r="O284" t="s">
        <v>22</v>
      </c>
      <c r="Q284">
        <v>2</v>
      </c>
      <c r="R284" t="b">
        <v>0</v>
      </c>
      <c r="S284" t="s">
        <v>119</v>
      </c>
      <c r="T284">
        <v>0</v>
      </c>
    </row>
    <row r="285" spans="1:20" x14ac:dyDescent="0.25">
      <c r="A285" t="s">
        <v>849</v>
      </c>
      <c r="B285">
        <v>18</v>
      </c>
      <c r="C285" t="s">
        <v>19</v>
      </c>
      <c r="D285">
        <v>16</v>
      </c>
      <c r="E285">
        <v>149</v>
      </c>
      <c r="F285">
        <v>112</v>
      </c>
      <c r="G285">
        <v>154</v>
      </c>
      <c r="H285" t="s">
        <v>102</v>
      </c>
      <c r="I285">
        <v>12</v>
      </c>
      <c r="J285">
        <v>0</v>
      </c>
      <c r="K285">
        <v>0</v>
      </c>
      <c r="L285">
        <v>0</v>
      </c>
      <c r="N285" t="s">
        <v>918</v>
      </c>
      <c r="O285" t="s">
        <v>25</v>
      </c>
      <c r="Q285">
        <v>3</v>
      </c>
      <c r="R285" t="b">
        <v>1</v>
      </c>
      <c r="S285" t="s">
        <v>119</v>
      </c>
      <c r="T285">
        <v>0</v>
      </c>
    </row>
    <row r="286" spans="1:20" x14ac:dyDescent="0.25">
      <c r="A286" t="s">
        <v>850</v>
      </c>
      <c r="B286">
        <v>18</v>
      </c>
      <c r="C286" t="s">
        <v>19</v>
      </c>
      <c r="D286">
        <v>113</v>
      </c>
      <c r="E286">
        <v>150</v>
      </c>
      <c r="F286">
        <v>140</v>
      </c>
      <c r="G286">
        <v>153</v>
      </c>
      <c r="H286" t="s">
        <v>20</v>
      </c>
      <c r="I286">
        <v>16</v>
      </c>
      <c r="J286">
        <v>1</v>
      </c>
      <c r="K286">
        <v>0</v>
      </c>
      <c r="L286">
        <v>0</v>
      </c>
      <c r="N286" t="s">
        <v>918</v>
      </c>
      <c r="O286" t="s">
        <v>27</v>
      </c>
      <c r="Q286">
        <v>2</v>
      </c>
      <c r="R286" t="b">
        <v>0</v>
      </c>
      <c r="S286" t="s">
        <v>119</v>
      </c>
      <c r="T286">
        <v>0</v>
      </c>
    </row>
    <row r="287" spans="1:20" x14ac:dyDescent="0.25">
      <c r="A287" t="s">
        <v>851</v>
      </c>
      <c r="B287">
        <v>18</v>
      </c>
      <c r="C287" t="s">
        <v>19</v>
      </c>
      <c r="D287">
        <v>140</v>
      </c>
      <c r="E287">
        <v>150</v>
      </c>
      <c r="F287">
        <v>169</v>
      </c>
      <c r="G287">
        <v>153</v>
      </c>
      <c r="H287" t="s">
        <v>20</v>
      </c>
      <c r="I287">
        <v>16</v>
      </c>
      <c r="J287">
        <v>1</v>
      </c>
      <c r="K287">
        <v>0</v>
      </c>
      <c r="L287">
        <v>0</v>
      </c>
      <c r="N287" t="s">
        <v>918</v>
      </c>
      <c r="O287" t="s">
        <v>27</v>
      </c>
      <c r="Q287">
        <v>2</v>
      </c>
      <c r="R287" t="b">
        <v>0</v>
      </c>
      <c r="S287" t="s">
        <v>119</v>
      </c>
      <c r="T287">
        <v>0</v>
      </c>
    </row>
    <row r="288" spans="1:20" x14ac:dyDescent="0.25">
      <c r="A288" t="s">
        <v>852</v>
      </c>
      <c r="B288">
        <v>18</v>
      </c>
      <c r="C288" t="s">
        <v>19</v>
      </c>
      <c r="D288">
        <v>168</v>
      </c>
      <c r="E288">
        <v>150</v>
      </c>
      <c r="F288">
        <v>194</v>
      </c>
      <c r="G288">
        <v>153</v>
      </c>
      <c r="H288" t="s">
        <v>20</v>
      </c>
      <c r="I288">
        <v>16</v>
      </c>
      <c r="J288">
        <v>1</v>
      </c>
      <c r="K288">
        <v>0</v>
      </c>
      <c r="L288">
        <v>0</v>
      </c>
      <c r="N288" t="s">
        <v>918</v>
      </c>
      <c r="O288" t="s">
        <v>27</v>
      </c>
      <c r="Q288">
        <v>2</v>
      </c>
      <c r="R288" t="b">
        <v>0</v>
      </c>
      <c r="S288" t="s">
        <v>119</v>
      </c>
      <c r="T288">
        <v>0</v>
      </c>
    </row>
    <row r="289" spans="1:20" x14ac:dyDescent="0.25">
      <c r="A289" t="s">
        <v>853</v>
      </c>
      <c r="B289">
        <v>18</v>
      </c>
      <c r="C289" t="s">
        <v>19</v>
      </c>
      <c r="D289">
        <v>16</v>
      </c>
      <c r="E289">
        <v>164</v>
      </c>
      <c r="F289">
        <v>112</v>
      </c>
      <c r="G289">
        <v>169</v>
      </c>
      <c r="H289" t="s">
        <v>102</v>
      </c>
      <c r="I289">
        <v>12</v>
      </c>
      <c r="J289">
        <v>0</v>
      </c>
      <c r="K289">
        <v>0</v>
      </c>
      <c r="L289">
        <v>0</v>
      </c>
      <c r="N289" t="s">
        <v>918</v>
      </c>
      <c r="O289" t="s">
        <v>25</v>
      </c>
      <c r="Q289">
        <v>3</v>
      </c>
      <c r="R289" t="b">
        <v>1</v>
      </c>
      <c r="S289" t="s">
        <v>119</v>
      </c>
      <c r="T289">
        <v>0</v>
      </c>
    </row>
    <row r="290" spans="1:20" x14ac:dyDescent="0.25">
      <c r="A290" t="s">
        <v>854</v>
      </c>
      <c r="B290">
        <v>18</v>
      </c>
      <c r="C290" t="s">
        <v>19</v>
      </c>
      <c r="D290">
        <v>113</v>
      </c>
      <c r="E290">
        <v>165</v>
      </c>
      <c r="F290">
        <v>140</v>
      </c>
      <c r="G290">
        <v>168</v>
      </c>
      <c r="H290" t="s">
        <v>20</v>
      </c>
      <c r="I290">
        <v>16</v>
      </c>
      <c r="J290">
        <v>1</v>
      </c>
      <c r="K290">
        <v>0</v>
      </c>
      <c r="L290">
        <v>0</v>
      </c>
      <c r="N290" t="s">
        <v>918</v>
      </c>
      <c r="O290" t="s">
        <v>27</v>
      </c>
      <c r="Q290">
        <v>2</v>
      </c>
      <c r="R290" t="b">
        <v>0</v>
      </c>
      <c r="S290" t="s">
        <v>119</v>
      </c>
      <c r="T290">
        <v>0</v>
      </c>
    </row>
    <row r="291" spans="1:20" x14ac:dyDescent="0.25">
      <c r="A291" t="s">
        <v>855</v>
      </c>
      <c r="B291">
        <v>18</v>
      </c>
      <c r="C291" t="s">
        <v>19</v>
      </c>
      <c r="D291">
        <v>140</v>
      </c>
      <c r="E291">
        <v>165</v>
      </c>
      <c r="F291">
        <v>169</v>
      </c>
      <c r="G291">
        <v>168</v>
      </c>
      <c r="H291" t="s">
        <v>20</v>
      </c>
      <c r="I291">
        <v>16</v>
      </c>
      <c r="J291">
        <v>1</v>
      </c>
      <c r="K291">
        <v>0</v>
      </c>
      <c r="L291">
        <v>0</v>
      </c>
      <c r="N291" t="s">
        <v>918</v>
      </c>
      <c r="O291" t="s">
        <v>27</v>
      </c>
      <c r="Q291">
        <v>2</v>
      </c>
      <c r="R291" t="b">
        <v>0</v>
      </c>
      <c r="S291" t="s">
        <v>119</v>
      </c>
      <c r="T291">
        <v>0</v>
      </c>
    </row>
    <row r="292" spans="1:20" x14ac:dyDescent="0.25">
      <c r="A292" t="s">
        <v>856</v>
      </c>
      <c r="B292">
        <v>18</v>
      </c>
      <c r="C292" t="s">
        <v>19</v>
      </c>
      <c r="D292">
        <v>168</v>
      </c>
      <c r="E292">
        <v>165</v>
      </c>
      <c r="F292">
        <v>194</v>
      </c>
      <c r="G292">
        <v>168</v>
      </c>
      <c r="H292" t="s">
        <v>20</v>
      </c>
      <c r="I292">
        <v>16</v>
      </c>
      <c r="J292">
        <v>1</v>
      </c>
      <c r="K292">
        <v>0</v>
      </c>
      <c r="L292">
        <v>0</v>
      </c>
      <c r="N292" t="s">
        <v>918</v>
      </c>
      <c r="O292" t="s">
        <v>27</v>
      </c>
      <c r="Q292">
        <v>2</v>
      </c>
      <c r="R292" t="b">
        <v>0</v>
      </c>
      <c r="S292" t="s">
        <v>119</v>
      </c>
      <c r="T292">
        <v>0</v>
      </c>
    </row>
    <row r="293" spans="1:20" x14ac:dyDescent="0.25">
      <c r="A293" t="s">
        <v>880</v>
      </c>
      <c r="B293">
        <v>18</v>
      </c>
      <c r="C293" t="s">
        <v>19</v>
      </c>
      <c r="D293">
        <v>16</v>
      </c>
      <c r="E293">
        <v>179</v>
      </c>
      <c r="F293">
        <v>112</v>
      </c>
      <c r="G293">
        <v>184</v>
      </c>
      <c r="H293" t="s">
        <v>102</v>
      </c>
      <c r="I293">
        <v>12</v>
      </c>
      <c r="J293">
        <v>0</v>
      </c>
      <c r="K293">
        <v>0</v>
      </c>
      <c r="L293">
        <v>0</v>
      </c>
      <c r="N293" t="s">
        <v>918</v>
      </c>
      <c r="O293" t="s">
        <v>25</v>
      </c>
      <c r="Q293">
        <v>3</v>
      </c>
      <c r="R293" t="b">
        <v>1</v>
      </c>
      <c r="S293" t="s">
        <v>119</v>
      </c>
      <c r="T293">
        <v>0</v>
      </c>
    </row>
    <row r="294" spans="1:20" x14ac:dyDescent="0.25">
      <c r="A294" t="s">
        <v>881</v>
      </c>
      <c r="B294">
        <v>18</v>
      </c>
      <c r="C294" t="s">
        <v>19</v>
      </c>
      <c r="D294">
        <v>113</v>
      </c>
      <c r="E294">
        <v>180</v>
      </c>
      <c r="F294">
        <v>140</v>
      </c>
      <c r="G294">
        <v>183</v>
      </c>
      <c r="H294" t="s">
        <v>20</v>
      </c>
      <c r="I294">
        <v>16</v>
      </c>
      <c r="J294">
        <v>1</v>
      </c>
      <c r="K294">
        <v>0</v>
      </c>
      <c r="L294">
        <v>0</v>
      </c>
      <c r="N294" t="s">
        <v>918</v>
      </c>
      <c r="O294" t="s">
        <v>27</v>
      </c>
      <c r="Q294">
        <v>2</v>
      </c>
      <c r="R294" t="b">
        <v>0</v>
      </c>
      <c r="S294" t="s">
        <v>119</v>
      </c>
      <c r="T294">
        <v>0</v>
      </c>
    </row>
    <row r="295" spans="1:20" x14ac:dyDescent="0.25">
      <c r="A295" t="s">
        <v>882</v>
      </c>
      <c r="B295">
        <v>18</v>
      </c>
      <c r="C295" t="s">
        <v>19</v>
      </c>
      <c r="D295">
        <v>140</v>
      </c>
      <c r="E295">
        <v>180</v>
      </c>
      <c r="F295">
        <v>169</v>
      </c>
      <c r="G295">
        <v>183</v>
      </c>
      <c r="H295" t="s">
        <v>20</v>
      </c>
      <c r="I295">
        <v>16</v>
      </c>
      <c r="J295">
        <v>1</v>
      </c>
      <c r="K295">
        <v>0</v>
      </c>
      <c r="L295">
        <v>0</v>
      </c>
      <c r="N295" t="s">
        <v>918</v>
      </c>
      <c r="O295" t="s">
        <v>27</v>
      </c>
      <c r="Q295">
        <v>2</v>
      </c>
      <c r="R295" t="b">
        <v>0</v>
      </c>
      <c r="S295" t="s">
        <v>119</v>
      </c>
      <c r="T295">
        <v>0</v>
      </c>
    </row>
    <row r="296" spans="1:20" x14ac:dyDescent="0.25">
      <c r="A296" t="s">
        <v>883</v>
      </c>
      <c r="B296">
        <v>18</v>
      </c>
      <c r="C296" t="s">
        <v>19</v>
      </c>
      <c r="D296">
        <v>168</v>
      </c>
      <c r="E296">
        <v>180</v>
      </c>
      <c r="F296">
        <v>194</v>
      </c>
      <c r="G296">
        <v>183</v>
      </c>
      <c r="H296" t="s">
        <v>20</v>
      </c>
      <c r="I296">
        <v>16</v>
      </c>
      <c r="J296">
        <v>1</v>
      </c>
      <c r="K296">
        <v>0</v>
      </c>
      <c r="L296">
        <v>0</v>
      </c>
      <c r="N296" t="s">
        <v>918</v>
      </c>
      <c r="O296" t="s">
        <v>27</v>
      </c>
      <c r="Q296">
        <v>2</v>
      </c>
      <c r="R296" t="b">
        <v>0</v>
      </c>
      <c r="S296" t="s">
        <v>119</v>
      </c>
      <c r="T296">
        <v>0</v>
      </c>
    </row>
    <row r="297" spans="1:20" x14ac:dyDescent="0.25">
      <c r="A297" t="s">
        <v>5204</v>
      </c>
      <c r="B297">
        <v>18</v>
      </c>
      <c r="C297" t="s">
        <v>19</v>
      </c>
      <c r="D297">
        <v>16</v>
      </c>
      <c r="E297">
        <v>194</v>
      </c>
      <c r="F297">
        <v>112</v>
      </c>
      <c r="G297">
        <v>199</v>
      </c>
      <c r="H297" t="s">
        <v>102</v>
      </c>
      <c r="I297">
        <v>12</v>
      </c>
      <c r="J297">
        <v>0</v>
      </c>
      <c r="K297">
        <v>0</v>
      </c>
      <c r="L297">
        <v>0</v>
      </c>
      <c r="N297" t="s">
        <v>918</v>
      </c>
      <c r="O297" t="s">
        <v>25</v>
      </c>
      <c r="Q297">
        <v>3</v>
      </c>
      <c r="R297" t="b">
        <v>1</v>
      </c>
      <c r="S297" t="s">
        <v>119</v>
      </c>
      <c r="T297">
        <v>0</v>
      </c>
    </row>
    <row r="298" spans="1:20" x14ac:dyDescent="0.25">
      <c r="A298" t="s">
        <v>5205</v>
      </c>
      <c r="B298">
        <v>18</v>
      </c>
      <c r="C298" t="s">
        <v>19</v>
      </c>
      <c r="D298">
        <v>113</v>
      </c>
      <c r="E298">
        <v>195</v>
      </c>
      <c r="F298">
        <v>140</v>
      </c>
      <c r="G298">
        <v>198</v>
      </c>
      <c r="H298" t="s">
        <v>20</v>
      </c>
      <c r="I298">
        <v>16</v>
      </c>
      <c r="J298">
        <v>1</v>
      </c>
      <c r="K298">
        <v>0</v>
      </c>
      <c r="L298">
        <v>0</v>
      </c>
      <c r="N298" t="s">
        <v>918</v>
      </c>
      <c r="O298" t="s">
        <v>27</v>
      </c>
      <c r="Q298">
        <v>2</v>
      </c>
      <c r="R298" t="b">
        <v>0</v>
      </c>
      <c r="S298" t="s">
        <v>119</v>
      </c>
      <c r="T298">
        <v>0</v>
      </c>
    </row>
    <row r="299" spans="1:20" x14ac:dyDescent="0.25">
      <c r="A299" t="s">
        <v>5206</v>
      </c>
      <c r="B299">
        <v>18</v>
      </c>
      <c r="C299" t="s">
        <v>19</v>
      </c>
      <c r="D299">
        <v>140</v>
      </c>
      <c r="E299">
        <v>195</v>
      </c>
      <c r="F299">
        <v>169</v>
      </c>
      <c r="G299">
        <v>198</v>
      </c>
      <c r="H299" t="s">
        <v>20</v>
      </c>
      <c r="I299">
        <v>16</v>
      </c>
      <c r="J299">
        <v>1</v>
      </c>
      <c r="K299">
        <v>0</v>
      </c>
      <c r="L299">
        <v>0</v>
      </c>
      <c r="N299" t="s">
        <v>918</v>
      </c>
      <c r="O299" t="s">
        <v>27</v>
      </c>
      <c r="Q299">
        <v>2</v>
      </c>
      <c r="R299" t="b">
        <v>0</v>
      </c>
      <c r="S299" t="s">
        <v>119</v>
      </c>
      <c r="T299">
        <v>0</v>
      </c>
    </row>
    <row r="300" spans="1:20" x14ac:dyDescent="0.25">
      <c r="A300" t="s">
        <v>5207</v>
      </c>
      <c r="B300">
        <v>18</v>
      </c>
      <c r="C300" t="s">
        <v>19</v>
      </c>
      <c r="D300">
        <v>168</v>
      </c>
      <c r="E300">
        <v>195</v>
      </c>
      <c r="F300">
        <v>194</v>
      </c>
      <c r="G300">
        <v>198</v>
      </c>
      <c r="H300" t="s">
        <v>20</v>
      </c>
      <c r="I300">
        <v>16</v>
      </c>
      <c r="J300">
        <v>1</v>
      </c>
      <c r="K300">
        <v>0</v>
      </c>
      <c r="L300">
        <v>0</v>
      </c>
      <c r="N300" t="s">
        <v>918</v>
      </c>
      <c r="O300" t="s">
        <v>27</v>
      </c>
      <c r="Q300">
        <v>2</v>
      </c>
      <c r="R300" t="b">
        <v>0</v>
      </c>
      <c r="S300" t="s">
        <v>119</v>
      </c>
      <c r="T300">
        <v>0</v>
      </c>
    </row>
    <row r="301" spans="1:20" x14ac:dyDescent="0.25">
      <c r="A301" t="s">
        <v>895</v>
      </c>
      <c r="B301">
        <v>19</v>
      </c>
      <c r="C301" t="s">
        <v>19</v>
      </c>
      <c r="D301">
        <v>14</v>
      </c>
      <c r="E301">
        <v>20</v>
      </c>
      <c r="F301">
        <v>196</v>
      </c>
      <c r="G301">
        <v>25</v>
      </c>
      <c r="H301" t="s">
        <v>102</v>
      </c>
      <c r="I301">
        <v>14</v>
      </c>
      <c r="J301">
        <v>1</v>
      </c>
      <c r="K301">
        <v>0</v>
      </c>
      <c r="L301">
        <v>0</v>
      </c>
      <c r="N301" t="s">
        <v>21</v>
      </c>
      <c r="O301" t="s">
        <v>25</v>
      </c>
      <c r="Q301">
        <v>2</v>
      </c>
      <c r="R301" t="b">
        <v>1</v>
      </c>
      <c r="S301" t="s">
        <v>119</v>
      </c>
      <c r="T301">
        <v>0</v>
      </c>
    </row>
    <row r="302" spans="1:20" x14ac:dyDescent="0.25">
      <c r="A302" t="s">
        <v>896</v>
      </c>
      <c r="B302">
        <v>19</v>
      </c>
      <c r="C302" t="s">
        <v>19</v>
      </c>
      <c r="D302">
        <v>14</v>
      </c>
      <c r="E302">
        <v>33</v>
      </c>
      <c r="F302">
        <v>196</v>
      </c>
      <c r="G302">
        <v>38</v>
      </c>
      <c r="H302" t="s">
        <v>102</v>
      </c>
      <c r="I302">
        <v>12</v>
      </c>
      <c r="J302">
        <v>0</v>
      </c>
      <c r="K302">
        <v>0</v>
      </c>
      <c r="L302">
        <v>0</v>
      </c>
      <c r="N302" t="s">
        <v>21</v>
      </c>
      <c r="O302" t="s">
        <v>25</v>
      </c>
      <c r="Q302">
        <v>2</v>
      </c>
      <c r="R302" t="b">
        <v>1</v>
      </c>
      <c r="T302">
        <v>0</v>
      </c>
    </row>
    <row r="303" spans="1:20" x14ac:dyDescent="0.25">
      <c r="A303" t="s">
        <v>5213</v>
      </c>
      <c r="B303">
        <v>19</v>
      </c>
      <c r="C303" t="s">
        <v>26</v>
      </c>
      <c r="D303">
        <v>0</v>
      </c>
      <c r="E303">
        <v>75</v>
      </c>
      <c r="F303">
        <v>210</v>
      </c>
      <c r="G303">
        <v>123</v>
      </c>
      <c r="I303">
        <v>0</v>
      </c>
      <c r="J303">
        <v>1</v>
      </c>
      <c r="K303">
        <v>0</v>
      </c>
      <c r="L303">
        <v>0</v>
      </c>
      <c r="M303" t="s">
        <v>918</v>
      </c>
      <c r="N303" t="s">
        <v>918</v>
      </c>
      <c r="O303" t="s">
        <v>25</v>
      </c>
      <c r="Q303">
        <v>1</v>
      </c>
      <c r="R303" t="b">
        <v>0</v>
      </c>
      <c r="S303" t="s">
        <v>119</v>
      </c>
      <c r="T303">
        <v>0</v>
      </c>
    </row>
    <row r="304" spans="1:20" x14ac:dyDescent="0.25">
      <c r="A304" t="s">
        <v>5208</v>
      </c>
      <c r="B304">
        <v>19</v>
      </c>
      <c r="C304" t="s">
        <v>19</v>
      </c>
      <c r="D304">
        <v>14</v>
      </c>
      <c r="E304">
        <v>80</v>
      </c>
      <c r="F304">
        <v>196</v>
      </c>
      <c r="G304">
        <v>83</v>
      </c>
      <c r="H304" t="s">
        <v>102</v>
      </c>
      <c r="I304">
        <v>12</v>
      </c>
      <c r="J304">
        <v>1</v>
      </c>
      <c r="K304">
        <v>0</v>
      </c>
      <c r="L304">
        <v>0</v>
      </c>
      <c r="N304" t="s">
        <v>918</v>
      </c>
      <c r="O304" t="s">
        <v>25</v>
      </c>
      <c r="Q304">
        <v>3</v>
      </c>
      <c r="R304" t="b">
        <v>0</v>
      </c>
      <c r="S304" t="s">
        <v>119</v>
      </c>
      <c r="T304">
        <v>0</v>
      </c>
    </row>
    <row r="305" spans="1:20" x14ac:dyDescent="0.25">
      <c r="A305" t="s">
        <v>774</v>
      </c>
      <c r="B305">
        <v>19</v>
      </c>
      <c r="C305" t="s">
        <v>19</v>
      </c>
      <c r="D305">
        <v>113</v>
      </c>
      <c r="E305">
        <v>77</v>
      </c>
      <c r="F305">
        <v>140</v>
      </c>
      <c r="G305">
        <v>82</v>
      </c>
      <c r="H305" t="s">
        <v>102</v>
      </c>
      <c r="I305">
        <v>10</v>
      </c>
      <c r="J305">
        <v>1</v>
      </c>
      <c r="K305">
        <v>0</v>
      </c>
      <c r="L305">
        <v>0</v>
      </c>
      <c r="N305" t="s">
        <v>918</v>
      </c>
      <c r="O305" t="s">
        <v>27</v>
      </c>
      <c r="Q305">
        <v>3</v>
      </c>
      <c r="R305" t="b">
        <v>1</v>
      </c>
      <c r="S305" t="s">
        <v>119</v>
      </c>
      <c r="T305">
        <v>0</v>
      </c>
    </row>
    <row r="306" spans="1:20" x14ac:dyDescent="0.25">
      <c r="A306" t="s">
        <v>775</v>
      </c>
      <c r="B306">
        <v>19</v>
      </c>
      <c r="C306" t="s">
        <v>19</v>
      </c>
      <c r="D306">
        <v>140</v>
      </c>
      <c r="E306">
        <v>77</v>
      </c>
      <c r="F306">
        <v>169</v>
      </c>
      <c r="G306">
        <v>82</v>
      </c>
      <c r="H306" t="s">
        <v>102</v>
      </c>
      <c r="I306">
        <v>10</v>
      </c>
      <c r="J306">
        <v>1</v>
      </c>
      <c r="K306">
        <v>0</v>
      </c>
      <c r="L306">
        <v>0</v>
      </c>
      <c r="N306" t="s">
        <v>918</v>
      </c>
      <c r="O306" t="s">
        <v>27</v>
      </c>
      <c r="Q306">
        <v>3</v>
      </c>
      <c r="R306" t="b">
        <v>1</v>
      </c>
      <c r="S306" t="s">
        <v>119</v>
      </c>
      <c r="T306">
        <v>0</v>
      </c>
    </row>
    <row r="307" spans="1:20" x14ac:dyDescent="0.25">
      <c r="A307" t="s">
        <v>776</v>
      </c>
      <c r="B307">
        <v>19</v>
      </c>
      <c r="C307" t="s">
        <v>19</v>
      </c>
      <c r="D307">
        <v>168</v>
      </c>
      <c r="E307">
        <v>77</v>
      </c>
      <c r="F307">
        <v>194</v>
      </c>
      <c r="G307">
        <v>82</v>
      </c>
      <c r="H307" t="s">
        <v>102</v>
      </c>
      <c r="I307">
        <v>10</v>
      </c>
      <c r="J307">
        <v>1</v>
      </c>
      <c r="K307">
        <v>0</v>
      </c>
      <c r="L307">
        <v>0</v>
      </c>
      <c r="N307" t="s">
        <v>918</v>
      </c>
      <c r="O307" t="s">
        <v>27</v>
      </c>
      <c r="Q307">
        <v>3</v>
      </c>
      <c r="R307" t="b">
        <v>1</v>
      </c>
      <c r="S307" t="s">
        <v>119</v>
      </c>
      <c r="T307">
        <v>0</v>
      </c>
    </row>
    <row r="308" spans="1:20" x14ac:dyDescent="0.25">
      <c r="A308" t="s">
        <v>44</v>
      </c>
      <c r="B308">
        <v>19</v>
      </c>
      <c r="C308" t="s">
        <v>25</v>
      </c>
      <c r="D308">
        <v>114</v>
      </c>
      <c r="E308">
        <v>75</v>
      </c>
      <c r="F308">
        <v>114</v>
      </c>
      <c r="G308">
        <v>123</v>
      </c>
      <c r="I308">
        <v>0.5</v>
      </c>
      <c r="J308">
        <v>0</v>
      </c>
      <c r="K308">
        <v>0</v>
      </c>
      <c r="L308">
        <v>0</v>
      </c>
      <c r="M308" t="s">
        <v>21</v>
      </c>
      <c r="N308" t="s">
        <v>918</v>
      </c>
      <c r="O308" t="s">
        <v>25</v>
      </c>
      <c r="Q308">
        <v>4</v>
      </c>
      <c r="R308" t="b">
        <v>0</v>
      </c>
      <c r="S308" t="s">
        <v>119</v>
      </c>
      <c r="T308">
        <v>0</v>
      </c>
    </row>
    <row r="309" spans="1:20" x14ac:dyDescent="0.25">
      <c r="A309" t="s">
        <v>45</v>
      </c>
      <c r="B309">
        <v>19</v>
      </c>
      <c r="C309" t="s">
        <v>25</v>
      </c>
      <c r="D309">
        <v>141</v>
      </c>
      <c r="E309">
        <v>75</v>
      </c>
      <c r="F309">
        <v>141</v>
      </c>
      <c r="G309">
        <v>123</v>
      </c>
      <c r="I309">
        <v>0.5</v>
      </c>
      <c r="J309">
        <v>0</v>
      </c>
      <c r="K309">
        <v>0</v>
      </c>
      <c r="L309">
        <v>0</v>
      </c>
      <c r="M309" t="s">
        <v>21</v>
      </c>
      <c r="N309" t="s">
        <v>918</v>
      </c>
      <c r="O309" t="s">
        <v>25</v>
      </c>
      <c r="Q309">
        <v>4</v>
      </c>
      <c r="R309" t="b">
        <v>0</v>
      </c>
      <c r="S309" t="s">
        <v>119</v>
      </c>
      <c r="T309">
        <v>0</v>
      </c>
    </row>
    <row r="310" spans="1:20" x14ac:dyDescent="0.25">
      <c r="A310" t="s">
        <v>46</v>
      </c>
      <c r="B310">
        <v>19</v>
      </c>
      <c r="C310" t="s">
        <v>25</v>
      </c>
      <c r="D310">
        <v>168</v>
      </c>
      <c r="E310">
        <v>75</v>
      </c>
      <c r="F310">
        <v>168</v>
      </c>
      <c r="G310">
        <v>123</v>
      </c>
      <c r="I310">
        <v>0.5</v>
      </c>
      <c r="J310">
        <v>0</v>
      </c>
      <c r="K310">
        <v>0</v>
      </c>
      <c r="L310">
        <v>0</v>
      </c>
      <c r="M310" t="s">
        <v>21</v>
      </c>
      <c r="N310" t="s">
        <v>918</v>
      </c>
      <c r="O310" t="s">
        <v>25</v>
      </c>
      <c r="Q310">
        <v>4</v>
      </c>
      <c r="R310" t="b">
        <v>0</v>
      </c>
      <c r="S310" t="s">
        <v>119</v>
      </c>
      <c r="T310">
        <v>0</v>
      </c>
    </row>
    <row r="311" spans="1:20" x14ac:dyDescent="0.25">
      <c r="A311" t="s">
        <v>55</v>
      </c>
      <c r="B311">
        <v>19</v>
      </c>
      <c r="C311" t="s">
        <v>25</v>
      </c>
      <c r="D311">
        <v>14</v>
      </c>
      <c r="E311">
        <v>102</v>
      </c>
      <c r="F311">
        <v>196</v>
      </c>
      <c r="G311">
        <v>102</v>
      </c>
      <c r="I311">
        <v>0.5</v>
      </c>
      <c r="J311">
        <v>0</v>
      </c>
      <c r="K311">
        <v>0</v>
      </c>
      <c r="L311">
        <v>0</v>
      </c>
      <c r="M311" t="s">
        <v>21</v>
      </c>
      <c r="N311" t="s">
        <v>918</v>
      </c>
      <c r="O311" t="s">
        <v>25</v>
      </c>
      <c r="Q311">
        <v>4</v>
      </c>
      <c r="R311" t="b">
        <v>0</v>
      </c>
      <c r="S311" t="s">
        <v>119</v>
      </c>
      <c r="T311">
        <v>0</v>
      </c>
    </row>
    <row r="312" spans="1:20" x14ac:dyDescent="0.25">
      <c r="A312" t="s">
        <v>920</v>
      </c>
      <c r="B312">
        <v>19</v>
      </c>
      <c r="C312" t="s">
        <v>19</v>
      </c>
      <c r="D312">
        <v>14</v>
      </c>
      <c r="E312">
        <v>125</v>
      </c>
      <c r="F312">
        <v>196</v>
      </c>
      <c r="G312">
        <v>129</v>
      </c>
      <c r="H312" t="s">
        <v>102</v>
      </c>
      <c r="I312">
        <v>10</v>
      </c>
      <c r="J312">
        <v>0</v>
      </c>
      <c r="K312">
        <v>0</v>
      </c>
      <c r="L312">
        <v>0</v>
      </c>
      <c r="N312" t="s">
        <v>21</v>
      </c>
      <c r="O312" t="s">
        <v>22</v>
      </c>
      <c r="Q312">
        <v>2</v>
      </c>
      <c r="R312" t="b">
        <v>0</v>
      </c>
      <c r="S312" t="s">
        <v>119</v>
      </c>
      <c r="T312">
        <v>0</v>
      </c>
    </row>
    <row r="313" spans="1:20" x14ac:dyDescent="0.25">
      <c r="A313" t="s">
        <v>5209</v>
      </c>
      <c r="B313">
        <v>19</v>
      </c>
      <c r="C313" t="s">
        <v>19</v>
      </c>
      <c r="D313">
        <v>14</v>
      </c>
      <c r="E313">
        <v>104</v>
      </c>
      <c r="F313">
        <v>112</v>
      </c>
      <c r="G313">
        <v>109</v>
      </c>
      <c r="H313" t="s">
        <v>102</v>
      </c>
      <c r="I313">
        <v>12</v>
      </c>
      <c r="J313">
        <v>0</v>
      </c>
      <c r="K313">
        <v>0</v>
      </c>
      <c r="L313">
        <v>0</v>
      </c>
      <c r="N313" t="s">
        <v>918</v>
      </c>
      <c r="O313" t="s">
        <v>25</v>
      </c>
      <c r="Q313">
        <v>3</v>
      </c>
      <c r="R313" t="b">
        <v>1</v>
      </c>
      <c r="S313" t="s">
        <v>119</v>
      </c>
      <c r="T313">
        <v>0</v>
      </c>
    </row>
    <row r="314" spans="1:20" x14ac:dyDescent="0.25">
      <c r="A314" t="s">
        <v>5210</v>
      </c>
      <c r="B314">
        <v>19</v>
      </c>
      <c r="C314" t="s">
        <v>19</v>
      </c>
      <c r="D314">
        <v>113</v>
      </c>
      <c r="E314">
        <v>105</v>
      </c>
      <c r="F314">
        <v>140</v>
      </c>
      <c r="G314">
        <v>108</v>
      </c>
      <c r="H314" t="s">
        <v>20</v>
      </c>
      <c r="I314">
        <v>16</v>
      </c>
      <c r="J314">
        <v>1</v>
      </c>
      <c r="K314">
        <v>0</v>
      </c>
      <c r="L314">
        <v>0</v>
      </c>
      <c r="N314" t="s">
        <v>918</v>
      </c>
      <c r="O314" t="s">
        <v>27</v>
      </c>
      <c r="Q314">
        <v>2</v>
      </c>
      <c r="R314" t="b">
        <v>0</v>
      </c>
      <c r="S314" t="s">
        <v>119</v>
      </c>
      <c r="T314">
        <v>0</v>
      </c>
    </row>
    <row r="315" spans="1:20" x14ac:dyDescent="0.25">
      <c r="A315" t="s">
        <v>5211</v>
      </c>
      <c r="B315">
        <v>19</v>
      </c>
      <c r="C315" t="s">
        <v>19</v>
      </c>
      <c r="D315">
        <v>140</v>
      </c>
      <c r="E315">
        <v>105</v>
      </c>
      <c r="F315">
        <v>169</v>
      </c>
      <c r="G315">
        <v>108</v>
      </c>
      <c r="H315" t="s">
        <v>20</v>
      </c>
      <c r="I315">
        <v>16</v>
      </c>
      <c r="J315">
        <v>1</v>
      </c>
      <c r="K315">
        <v>0</v>
      </c>
      <c r="L315">
        <v>0</v>
      </c>
      <c r="N315" t="s">
        <v>918</v>
      </c>
      <c r="O315" t="s">
        <v>27</v>
      </c>
      <c r="Q315">
        <v>2</v>
      </c>
      <c r="R315" t="b">
        <v>0</v>
      </c>
      <c r="S315" t="s">
        <v>119</v>
      </c>
      <c r="T315">
        <v>0</v>
      </c>
    </row>
    <row r="316" spans="1:20" x14ac:dyDescent="0.25">
      <c r="A316" t="s">
        <v>5212</v>
      </c>
      <c r="B316">
        <v>19</v>
      </c>
      <c r="C316" t="s">
        <v>19</v>
      </c>
      <c r="D316">
        <v>168</v>
      </c>
      <c r="E316">
        <v>105</v>
      </c>
      <c r="F316">
        <v>194</v>
      </c>
      <c r="G316">
        <v>108</v>
      </c>
      <c r="H316" t="s">
        <v>20</v>
      </c>
      <c r="I316">
        <v>16</v>
      </c>
      <c r="J316">
        <v>1</v>
      </c>
      <c r="K316">
        <v>0</v>
      </c>
      <c r="L316">
        <v>0</v>
      </c>
      <c r="N316" t="s">
        <v>918</v>
      </c>
      <c r="O316" t="s">
        <v>27</v>
      </c>
      <c r="Q316">
        <v>2</v>
      </c>
      <c r="R316" t="b">
        <v>0</v>
      </c>
      <c r="S316" t="s">
        <v>119</v>
      </c>
      <c r="T316">
        <v>0</v>
      </c>
    </row>
    <row r="317" spans="1:20" x14ac:dyDescent="0.25">
      <c r="A317" t="s">
        <v>1027</v>
      </c>
      <c r="B317">
        <v>19</v>
      </c>
      <c r="C317" t="s">
        <v>24</v>
      </c>
      <c r="D317">
        <v>30</v>
      </c>
      <c r="E317">
        <v>130</v>
      </c>
      <c r="F317">
        <v>180</v>
      </c>
      <c r="G317">
        <v>280</v>
      </c>
      <c r="I317">
        <v>0</v>
      </c>
      <c r="J317">
        <v>0</v>
      </c>
      <c r="K317">
        <v>0</v>
      </c>
      <c r="L317">
        <v>0</v>
      </c>
      <c r="N317" t="s">
        <v>21</v>
      </c>
      <c r="O317" t="s">
        <v>25</v>
      </c>
      <c r="Q317">
        <v>0</v>
      </c>
      <c r="R317" t="b">
        <v>0</v>
      </c>
      <c r="S317" t="s">
        <v>119</v>
      </c>
      <c r="T317">
        <v>0</v>
      </c>
    </row>
    <row r="318" spans="1:20" x14ac:dyDescent="0.25">
      <c r="A318" t="s">
        <v>1028</v>
      </c>
      <c r="B318">
        <v>19</v>
      </c>
      <c r="C318" t="s">
        <v>19</v>
      </c>
      <c r="D318">
        <v>30</v>
      </c>
      <c r="E318">
        <v>130</v>
      </c>
      <c r="F318">
        <v>130</v>
      </c>
      <c r="G318">
        <v>280</v>
      </c>
      <c r="H318" t="s">
        <v>102</v>
      </c>
      <c r="I318">
        <v>12</v>
      </c>
      <c r="J318">
        <v>0</v>
      </c>
      <c r="K318">
        <v>1</v>
      </c>
      <c r="L318">
        <v>0</v>
      </c>
      <c r="N318" t="s">
        <v>21</v>
      </c>
      <c r="O318" t="s">
        <v>25</v>
      </c>
      <c r="Q318">
        <v>0</v>
      </c>
      <c r="R318" t="b">
        <v>1</v>
      </c>
      <c r="S318" t="s">
        <v>119</v>
      </c>
      <c r="T318">
        <v>0</v>
      </c>
    </row>
    <row r="319" spans="1:20" x14ac:dyDescent="0.25">
      <c r="A319" t="s">
        <v>1029</v>
      </c>
      <c r="B319">
        <v>19</v>
      </c>
      <c r="C319" t="s">
        <v>19</v>
      </c>
      <c r="D319">
        <v>30</v>
      </c>
      <c r="E319">
        <v>280</v>
      </c>
      <c r="F319">
        <v>180</v>
      </c>
      <c r="G319">
        <v>283</v>
      </c>
      <c r="H319" t="s">
        <v>102</v>
      </c>
      <c r="I319">
        <v>8</v>
      </c>
      <c r="J319">
        <v>0</v>
      </c>
      <c r="K319">
        <v>1</v>
      </c>
      <c r="L319">
        <v>0</v>
      </c>
      <c r="M319" t="s">
        <v>884</v>
      </c>
      <c r="N319" t="s">
        <v>21</v>
      </c>
      <c r="O319" t="s">
        <v>22</v>
      </c>
      <c r="Q319">
        <v>0</v>
      </c>
      <c r="R319" t="b">
        <v>1</v>
      </c>
      <c r="S319" t="s">
        <v>119</v>
      </c>
      <c r="T319">
        <v>0</v>
      </c>
    </row>
    <row r="320" spans="1:20" x14ac:dyDescent="0.25">
      <c r="A320" t="s">
        <v>127</v>
      </c>
      <c r="B320">
        <v>20</v>
      </c>
      <c r="C320" t="s">
        <v>19</v>
      </c>
      <c r="D320">
        <v>14</v>
      </c>
      <c r="E320">
        <v>20</v>
      </c>
      <c r="F320">
        <v>196</v>
      </c>
      <c r="G320">
        <v>25</v>
      </c>
      <c r="H320" t="s">
        <v>102</v>
      </c>
      <c r="I320">
        <v>14</v>
      </c>
      <c r="J320">
        <v>1</v>
      </c>
      <c r="K320">
        <v>0</v>
      </c>
      <c r="L320">
        <v>0</v>
      </c>
      <c r="N320" t="s">
        <v>21</v>
      </c>
      <c r="O320" t="s">
        <v>25</v>
      </c>
      <c r="Q320">
        <v>2</v>
      </c>
      <c r="R320" t="b">
        <v>1</v>
      </c>
      <c r="S320" t="s">
        <v>119</v>
      </c>
      <c r="T320">
        <v>0</v>
      </c>
    </row>
    <row r="321" spans="1:20" x14ac:dyDescent="0.25">
      <c r="A321" t="s">
        <v>5025</v>
      </c>
      <c r="B321">
        <v>20</v>
      </c>
      <c r="C321" t="s">
        <v>19</v>
      </c>
      <c r="D321">
        <v>14</v>
      </c>
      <c r="E321">
        <v>33</v>
      </c>
      <c r="F321">
        <v>196</v>
      </c>
      <c r="G321">
        <v>38</v>
      </c>
      <c r="H321" t="s">
        <v>102</v>
      </c>
      <c r="I321">
        <v>12</v>
      </c>
      <c r="J321">
        <v>0</v>
      </c>
      <c r="K321">
        <v>0</v>
      </c>
      <c r="L321">
        <v>0</v>
      </c>
      <c r="N321" t="s">
        <v>21</v>
      </c>
      <c r="O321" t="s">
        <v>25</v>
      </c>
      <c r="Q321">
        <v>2</v>
      </c>
      <c r="R321" t="b">
        <v>1</v>
      </c>
      <c r="T321">
        <v>0</v>
      </c>
    </row>
    <row r="322" spans="1:20" x14ac:dyDescent="0.25">
      <c r="A322" t="s">
        <v>29</v>
      </c>
      <c r="B322">
        <v>20</v>
      </c>
      <c r="C322" t="s">
        <v>25</v>
      </c>
      <c r="D322">
        <v>14</v>
      </c>
      <c r="E322">
        <v>200</v>
      </c>
      <c r="F322">
        <v>196</v>
      </c>
      <c r="G322">
        <v>200</v>
      </c>
      <c r="I322">
        <v>0</v>
      </c>
      <c r="J322">
        <v>0</v>
      </c>
      <c r="K322">
        <v>0</v>
      </c>
      <c r="L322">
        <v>0</v>
      </c>
      <c r="N322" t="s">
        <v>21</v>
      </c>
      <c r="O322" t="s">
        <v>25</v>
      </c>
      <c r="Q322">
        <v>2</v>
      </c>
      <c r="R322" t="b">
        <v>0</v>
      </c>
      <c r="S322" t="s">
        <v>119</v>
      </c>
      <c r="T322">
        <v>0</v>
      </c>
    </row>
    <row r="323" spans="1:20" x14ac:dyDescent="0.25">
      <c r="A323" t="s">
        <v>334</v>
      </c>
      <c r="B323">
        <v>20</v>
      </c>
      <c r="C323" t="s">
        <v>19</v>
      </c>
      <c r="D323">
        <v>14</v>
      </c>
      <c r="E323">
        <v>208</v>
      </c>
      <c r="F323">
        <v>196</v>
      </c>
      <c r="G323">
        <v>212</v>
      </c>
      <c r="H323" t="s">
        <v>102</v>
      </c>
      <c r="I323">
        <v>12</v>
      </c>
      <c r="J323">
        <v>1</v>
      </c>
      <c r="K323">
        <v>0</v>
      </c>
      <c r="L323">
        <v>0</v>
      </c>
      <c r="N323" t="s">
        <v>21</v>
      </c>
      <c r="O323" t="s">
        <v>25</v>
      </c>
      <c r="P323" s="1"/>
      <c r="Q323">
        <v>2</v>
      </c>
      <c r="R323" t="b">
        <v>1</v>
      </c>
      <c r="S323" t="s">
        <v>119</v>
      </c>
      <c r="T323">
        <v>0</v>
      </c>
    </row>
    <row r="324" spans="1:20" x14ac:dyDescent="0.25">
      <c r="A324" t="s">
        <v>666</v>
      </c>
      <c r="B324">
        <v>20</v>
      </c>
      <c r="C324" t="s">
        <v>19</v>
      </c>
      <c r="D324">
        <v>14</v>
      </c>
      <c r="E324">
        <v>214</v>
      </c>
      <c r="F324">
        <v>196</v>
      </c>
      <c r="G324">
        <v>218</v>
      </c>
      <c r="H324" t="s">
        <v>102</v>
      </c>
      <c r="I324">
        <v>10</v>
      </c>
      <c r="J324">
        <v>0</v>
      </c>
      <c r="K324">
        <v>0</v>
      </c>
      <c r="L324">
        <v>0</v>
      </c>
      <c r="N324" t="s">
        <v>21</v>
      </c>
      <c r="O324" t="s">
        <v>25</v>
      </c>
      <c r="P324" s="1"/>
      <c r="Q324">
        <v>2</v>
      </c>
      <c r="R324" t="b">
        <v>1</v>
      </c>
      <c r="S324" t="s">
        <v>119</v>
      </c>
      <c r="T324">
        <v>0</v>
      </c>
    </row>
    <row r="325" spans="1:20" ht="15" customHeight="1" x14ac:dyDescent="0.25">
      <c r="A325" t="s">
        <v>934</v>
      </c>
      <c r="B325">
        <v>20</v>
      </c>
      <c r="C325" t="s">
        <v>24</v>
      </c>
      <c r="D325">
        <v>14</v>
      </c>
      <c r="E325">
        <v>248</v>
      </c>
      <c r="F325">
        <v>24</v>
      </c>
      <c r="G325">
        <v>258</v>
      </c>
      <c r="I325">
        <v>12</v>
      </c>
      <c r="J325">
        <v>0</v>
      </c>
      <c r="K325">
        <v>0</v>
      </c>
      <c r="L325">
        <v>0</v>
      </c>
      <c r="M325" t="s">
        <v>935</v>
      </c>
      <c r="N325" t="s">
        <v>936</v>
      </c>
      <c r="O325" t="s">
        <v>25</v>
      </c>
      <c r="P325" s="5" t="s">
        <v>5274</v>
      </c>
      <c r="Q325">
        <v>2</v>
      </c>
      <c r="R325" t="b">
        <v>1</v>
      </c>
      <c r="T325">
        <v>0</v>
      </c>
    </row>
    <row r="326" spans="1:20" ht="15" customHeight="1" x14ac:dyDescent="0.25">
      <c r="A326" t="s">
        <v>937</v>
      </c>
      <c r="B326">
        <v>20</v>
      </c>
      <c r="C326" t="s">
        <v>24</v>
      </c>
      <c r="D326">
        <v>26</v>
      </c>
      <c r="E326">
        <v>248</v>
      </c>
      <c r="F326">
        <v>36</v>
      </c>
      <c r="G326">
        <v>258</v>
      </c>
      <c r="I326">
        <v>12</v>
      </c>
      <c r="J326">
        <v>0</v>
      </c>
      <c r="K326">
        <v>0</v>
      </c>
      <c r="L326">
        <v>0</v>
      </c>
      <c r="M326" t="s">
        <v>935</v>
      </c>
      <c r="N326" t="s">
        <v>936</v>
      </c>
      <c r="O326" t="s">
        <v>25</v>
      </c>
      <c r="P326" s="5" t="s">
        <v>5275</v>
      </c>
      <c r="Q326">
        <v>2</v>
      </c>
      <c r="R326" t="b">
        <v>1</v>
      </c>
      <c r="T326">
        <v>0</v>
      </c>
    </row>
    <row r="327" spans="1:20" ht="15" customHeight="1" x14ac:dyDescent="0.25">
      <c r="A327" t="s">
        <v>938</v>
      </c>
      <c r="B327">
        <v>20</v>
      </c>
      <c r="C327" t="s">
        <v>24</v>
      </c>
      <c r="D327">
        <v>38</v>
      </c>
      <c r="E327">
        <v>248</v>
      </c>
      <c r="F327">
        <v>48</v>
      </c>
      <c r="G327">
        <v>258</v>
      </c>
      <c r="I327">
        <v>12</v>
      </c>
      <c r="J327">
        <v>0</v>
      </c>
      <c r="K327">
        <v>0</v>
      </c>
      <c r="L327">
        <v>0</v>
      </c>
      <c r="M327" t="s">
        <v>935</v>
      </c>
      <c r="N327" t="s">
        <v>936</v>
      </c>
      <c r="O327" t="s">
        <v>25</v>
      </c>
      <c r="P327" s="5" t="s">
        <v>5276</v>
      </c>
      <c r="Q327">
        <v>2</v>
      </c>
      <c r="R327" t="b">
        <v>1</v>
      </c>
      <c r="T327">
        <v>0</v>
      </c>
    </row>
    <row r="328" spans="1:20" ht="18" customHeight="1" x14ac:dyDescent="0.25">
      <c r="A328" t="s">
        <v>115</v>
      </c>
      <c r="B328">
        <v>20</v>
      </c>
      <c r="C328" t="s">
        <v>116</v>
      </c>
      <c r="D328">
        <v>14</v>
      </c>
      <c r="E328">
        <v>263</v>
      </c>
      <c r="F328">
        <v>196</v>
      </c>
      <c r="G328">
        <v>266</v>
      </c>
      <c r="H328" t="s">
        <v>102</v>
      </c>
      <c r="I328">
        <v>10</v>
      </c>
      <c r="J328">
        <v>0</v>
      </c>
      <c r="K328">
        <v>0</v>
      </c>
      <c r="L328">
        <v>0</v>
      </c>
      <c r="N328" t="s">
        <v>21</v>
      </c>
      <c r="O328" t="s">
        <v>25</v>
      </c>
      <c r="P328" s="5" t="s">
        <v>939</v>
      </c>
      <c r="Q328">
        <v>2</v>
      </c>
      <c r="R328" t="b">
        <v>1</v>
      </c>
      <c r="S328" t="s">
        <v>118</v>
      </c>
      <c r="T328">
        <v>0</v>
      </c>
    </row>
    <row r="329" spans="1:20" x14ac:dyDescent="0.25">
      <c r="A329" t="s">
        <v>29</v>
      </c>
      <c r="B329">
        <v>20</v>
      </c>
      <c r="C329" t="s">
        <v>25</v>
      </c>
      <c r="D329">
        <v>14</v>
      </c>
      <c r="E329">
        <v>274</v>
      </c>
      <c r="F329">
        <v>196</v>
      </c>
      <c r="G329">
        <v>274</v>
      </c>
      <c r="I329">
        <v>0</v>
      </c>
      <c r="J329">
        <v>0</v>
      </c>
      <c r="K329">
        <v>0</v>
      </c>
      <c r="L329">
        <v>0</v>
      </c>
      <c r="N329" t="s">
        <v>21</v>
      </c>
      <c r="O329" t="s">
        <v>25</v>
      </c>
      <c r="Q329">
        <v>2</v>
      </c>
      <c r="R329" t="b">
        <v>0</v>
      </c>
      <c r="S329" t="s">
        <v>119</v>
      </c>
      <c r="T329">
        <v>0</v>
      </c>
    </row>
  </sheetData>
  <autoFilter ref="A1:T1" xr:uid="{00000000-0001-0000-0000-000000000000}"/>
  <phoneticPr fontId="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ED209-18EA-43FD-841F-C491018348BF}">
  <dimension ref="A1:T122"/>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20</v>
      </c>
      <c r="F21">
        <v>196</v>
      </c>
      <c r="G21">
        <v>25</v>
      </c>
      <c r="H21" t="s">
        <v>102</v>
      </c>
      <c r="I21">
        <v>10</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127</v>
      </c>
      <c r="B113">
        <v>12</v>
      </c>
      <c r="C113" t="s">
        <v>19</v>
      </c>
      <c r="D113">
        <v>14</v>
      </c>
      <c r="E113">
        <v>20</v>
      </c>
      <c r="F113">
        <v>196</v>
      </c>
      <c r="G113">
        <v>25</v>
      </c>
      <c r="H113" t="s">
        <v>102</v>
      </c>
      <c r="I113">
        <v>14</v>
      </c>
      <c r="J113">
        <v>1</v>
      </c>
      <c r="K113">
        <v>0</v>
      </c>
      <c r="L113">
        <v>0</v>
      </c>
      <c r="N113" t="s">
        <v>21</v>
      </c>
      <c r="O113" t="s">
        <v>25</v>
      </c>
      <c r="Q113">
        <v>2</v>
      </c>
      <c r="R113" t="b">
        <v>1</v>
      </c>
      <c r="S113" t="s">
        <v>119</v>
      </c>
      <c r="T113">
        <v>0</v>
      </c>
    </row>
    <row r="114" spans="1:20" x14ac:dyDescent="0.25">
      <c r="A114" t="s">
        <v>5024</v>
      </c>
      <c r="B114">
        <v>12</v>
      </c>
      <c r="C114" t="s">
        <v>19</v>
      </c>
      <c r="D114">
        <v>14</v>
      </c>
      <c r="E114">
        <v>33</v>
      </c>
      <c r="F114">
        <v>196</v>
      </c>
      <c r="G114">
        <v>38</v>
      </c>
      <c r="H114" t="s">
        <v>102</v>
      </c>
      <c r="I114">
        <v>12</v>
      </c>
      <c r="J114">
        <v>0</v>
      </c>
      <c r="K114">
        <v>0</v>
      </c>
      <c r="L114">
        <v>0</v>
      </c>
      <c r="N114" t="s">
        <v>21</v>
      </c>
      <c r="O114" t="s">
        <v>25</v>
      </c>
      <c r="Q114">
        <v>2</v>
      </c>
      <c r="R114" t="b">
        <v>1</v>
      </c>
      <c r="T114">
        <v>0</v>
      </c>
    </row>
    <row r="115" spans="1:20" x14ac:dyDescent="0.25">
      <c r="A115" t="s">
        <v>29</v>
      </c>
      <c r="B115">
        <v>12</v>
      </c>
      <c r="C115" t="s">
        <v>25</v>
      </c>
      <c r="D115">
        <v>14</v>
      </c>
      <c r="E115">
        <v>200</v>
      </c>
      <c r="F115">
        <v>196</v>
      </c>
      <c r="G115">
        <v>200</v>
      </c>
      <c r="I115">
        <v>0</v>
      </c>
      <c r="J115">
        <v>0</v>
      </c>
      <c r="K115">
        <v>0</v>
      </c>
      <c r="L115">
        <v>0</v>
      </c>
      <c r="N115" t="s">
        <v>21</v>
      </c>
      <c r="O115" t="s">
        <v>25</v>
      </c>
      <c r="Q115">
        <v>2</v>
      </c>
      <c r="R115" t="b">
        <v>0</v>
      </c>
      <c r="S115" t="s">
        <v>119</v>
      </c>
      <c r="T115">
        <v>0</v>
      </c>
    </row>
    <row r="116" spans="1:20" x14ac:dyDescent="0.25">
      <c r="A116" t="s">
        <v>334</v>
      </c>
      <c r="B116">
        <v>12</v>
      </c>
      <c r="C116" t="s">
        <v>19</v>
      </c>
      <c r="D116">
        <v>14</v>
      </c>
      <c r="E116">
        <v>208</v>
      </c>
      <c r="F116">
        <v>196</v>
      </c>
      <c r="G116">
        <v>212</v>
      </c>
      <c r="H116" t="s">
        <v>102</v>
      </c>
      <c r="I116">
        <v>12</v>
      </c>
      <c r="J116">
        <v>1</v>
      </c>
      <c r="K116">
        <v>0</v>
      </c>
      <c r="L116">
        <v>0</v>
      </c>
      <c r="N116" t="s">
        <v>21</v>
      </c>
      <c r="O116" t="s">
        <v>25</v>
      </c>
      <c r="P116" s="1"/>
      <c r="Q116">
        <v>2</v>
      </c>
      <c r="R116" t="b">
        <v>1</v>
      </c>
      <c r="S116" t="s">
        <v>119</v>
      </c>
      <c r="T116">
        <v>0</v>
      </c>
    </row>
    <row r="117" spans="1:20" x14ac:dyDescent="0.25">
      <c r="A117" t="s">
        <v>666</v>
      </c>
      <c r="B117">
        <v>12</v>
      </c>
      <c r="C117" t="s">
        <v>19</v>
      </c>
      <c r="D117">
        <v>14</v>
      </c>
      <c r="E117">
        <v>214</v>
      </c>
      <c r="F117">
        <v>196</v>
      </c>
      <c r="G117">
        <v>218</v>
      </c>
      <c r="H117" t="s">
        <v>102</v>
      </c>
      <c r="I117">
        <v>10</v>
      </c>
      <c r="J117">
        <v>0</v>
      </c>
      <c r="K117">
        <v>0</v>
      </c>
      <c r="L117">
        <v>0</v>
      </c>
      <c r="N117" t="s">
        <v>21</v>
      </c>
      <c r="O117" t="s">
        <v>25</v>
      </c>
      <c r="P117" s="1"/>
      <c r="Q117">
        <v>2</v>
      </c>
      <c r="R117" t="b">
        <v>1</v>
      </c>
      <c r="S117" t="s">
        <v>119</v>
      </c>
      <c r="T117">
        <v>0</v>
      </c>
    </row>
    <row r="118" spans="1:20" x14ac:dyDescent="0.25">
      <c r="A118" t="s">
        <v>934</v>
      </c>
      <c r="B118">
        <v>12</v>
      </c>
      <c r="C118" t="s">
        <v>24</v>
      </c>
      <c r="D118">
        <v>14</v>
      </c>
      <c r="E118">
        <v>248</v>
      </c>
      <c r="F118">
        <v>24</v>
      </c>
      <c r="G118">
        <v>258</v>
      </c>
      <c r="I118">
        <v>12</v>
      </c>
      <c r="J118">
        <v>0</v>
      </c>
      <c r="K118">
        <v>0</v>
      </c>
      <c r="L118">
        <v>0</v>
      </c>
      <c r="M118" t="s">
        <v>935</v>
      </c>
      <c r="N118" t="s">
        <v>936</v>
      </c>
      <c r="O118" t="s">
        <v>25</v>
      </c>
      <c r="P118" s="5" t="s">
        <v>5274</v>
      </c>
      <c r="Q118">
        <v>2</v>
      </c>
      <c r="R118" t="b">
        <v>1</v>
      </c>
      <c r="T118">
        <v>0</v>
      </c>
    </row>
    <row r="119" spans="1:20" x14ac:dyDescent="0.25">
      <c r="A119" t="s">
        <v>937</v>
      </c>
      <c r="B119">
        <v>12</v>
      </c>
      <c r="C119" t="s">
        <v>24</v>
      </c>
      <c r="D119">
        <v>26</v>
      </c>
      <c r="E119">
        <v>248</v>
      </c>
      <c r="F119">
        <v>36</v>
      </c>
      <c r="G119">
        <v>258</v>
      </c>
      <c r="I119">
        <v>12</v>
      </c>
      <c r="J119">
        <v>0</v>
      </c>
      <c r="K119">
        <v>0</v>
      </c>
      <c r="L119">
        <v>0</v>
      </c>
      <c r="M119" t="s">
        <v>935</v>
      </c>
      <c r="N119" t="s">
        <v>936</v>
      </c>
      <c r="O119" t="s">
        <v>25</v>
      </c>
      <c r="P119" s="5" t="s">
        <v>5275</v>
      </c>
      <c r="Q119">
        <v>2</v>
      </c>
      <c r="R119" t="b">
        <v>1</v>
      </c>
      <c r="T119">
        <v>0</v>
      </c>
    </row>
    <row r="120" spans="1:20" x14ac:dyDescent="0.25">
      <c r="A120" t="s">
        <v>938</v>
      </c>
      <c r="B120">
        <v>12</v>
      </c>
      <c r="C120" t="s">
        <v>24</v>
      </c>
      <c r="D120">
        <v>38</v>
      </c>
      <c r="E120">
        <v>248</v>
      </c>
      <c r="F120">
        <v>48</v>
      </c>
      <c r="G120">
        <v>258</v>
      </c>
      <c r="I120">
        <v>12</v>
      </c>
      <c r="J120">
        <v>0</v>
      </c>
      <c r="K120">
        <v>0</v>
      </c>
      <c r="L120">
        <v>0</v>
      </c>
      <c r="M120" t="s">
        <v>935</v>
      </c>
      <c r="N120" t="s">
        <v>936</v>
      </c>
      <c r="O120" t="s">
        <v>25</v>
      </c>
      <c r="P120" s="5" t="s">
        <v>5276</v>
      </c>
      <c r="Q120">
        <v>2</v>
      </c>
      <c r="R120" t="b">
        <v>1</v>
      </c>
      <c r="T120">
        <v>0</v>
      </c>
    </row>
    <row r="121" spans="1:20" ht="15" customHeight="1" x14ac:dyDescent="0.25">
      <c r="A121" t="s">
        <v>115</v>
      </c>
      <c r="B121">
        <v>12</v>
      </c>
      <c r="C121" t="s">
        <v>116</v>
      </c>
      <c r="D121">
        <v>14</v>
      </c>
      <c r="E121">
        <v>263</v>
      </c>
      <c r="F121">
        <v>196</v>
      </c>
      <c r="G121">
        <v>266</v>
      </c>
      <c r="H121" t="s">
        <v>102</v>
      </c>
      <c r="I121">
        <v>10</v>
      </c>
      <c r="J121">
        <v>0</v>
      </c>
      <c r="K121">
        <v>0</v>
      </c>
      <c r="L121">
        <v>0</v>
      </c>
      <c r="N121" t="s">
        <v>21</v>
      </c>
      <c r="O121" t="s">
        <v>25</v>
      </c>
      <c r="P121" s="5" t="s">
        <v>939</v>
      </c>
      <c r="Q121">
        <v>2</v>
      </c>
      <c r="R121" t="b">
        <v>1</v>
      </c>
      <c r="S121" t="s">
        <v>118</v>
      </c>
      <c r="T121">
        <v>0</v>
      </c>
    </row>
    <row r="122" spans="1:20" x14ac:dyDescent="0.25">
      <c r="A122" t="s">
        <v>29</v>
      </c>
      <c r="B122">
        <v>12</v>
      </c>
      <c r="C122" t="s">
        <v>25</v>
      </c>
      <c r="D122">
        <v>14</v>
      </c>
      <c r="E122">
        <v>274</v>
      </c>
      <c r="F122">
        <v>196</v>
      </c>
      <c r="G122">
        <v>274</v>
      </c>
      <c r="I122">
        <v>0</v>
      </c>
      <c r="J122">
        <v>0</v>
      </c>
      <c r="K122">
        <v>0</v>
      </c>
      <c r="L122">
        <v>0</v>
      </c>
      <c r="N122" t="s">
        <v>21</v>
      </c>
      <c r="O122" t="s">
        <v>25</v>
      </c>
      <c r="Q122">
        <v>2</v>
      </c>
      <c r="R122" t="b">
        <v>0</v>
      </c>
      <c r="S122" t="s">
        <v>119</v>
      </c>
      <c r="T122">
        <v>0</v>
      </c>
    </row>
  </sheetData>
  <autoFilter ref="A1:T48" xr:uid="{00000000-0001-0000-0000-000000000000}"/>
  <phoneticPr fontId="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E4220-B397-4E83-B139-F607B348A6E7}">
  <dimension ref="A1:T272"/>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7.1406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2</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200</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ht="15.75" customHeight="1" x14ac:dyDescent="0.25">
      <c r="A19" t="s">
        <v>28</v>
      </c>
      <c r="B19">
        <v>1</v>
      </c>
      <c r="C19" t="s">
        <v>24</v>
      </c>
      <c r="D19">
        <v>0</v>
      </c>
      <c r="E19">
        <v>0</v>
      </c>
      <c r="F19">
        <v>211</v>
      </c>
      <c r="G19">
        <v>298</v>
      </c>
      <c r="I19">
        <v>0</v>
      </c>
      <c r="J19">
        <v>0</v>
      </c>
      <c r="K19">
        <v>0</v>
      </c>
      <c r="L19">
        <v>0</v>
      </c>
      <c r="N19" t="s">
        <v>21</v>
      </c>
      <c r="O19" t="s">
        <v>25</v>
      </c>
      <c r="P19" t="s">
        <v>941</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20</v>
      </c>
      <c r="F21">
        <v>196</v>
      </c>
      <c r="G21">
        <v>25</v>
      </c>
      <c r="H21" t="s">
        <v>102</v>
      </c>
      <c r="I21">
        <v>10</v>
      </c>
      <c r="J21">
        <v>0</v>
      </c>
      <c r="K21">
        <v>0</v>
      </c>
      <c r="L21">
        <v>0</v>
      </c>
      <c r="M21" t="s">
        <v>903</v>
      </c>
      <c r="N21" t="s">
        <v>1024</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1024</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1024</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1024</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1024</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1024</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1024</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215</v>
      </c>
      <c r="F31">
        <v>196</v>
      </c>
      <c r="G31">
        <v>220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220</v>
      </c>
      <c r="F32">
        <v>210</v>
      </c>
      <c r="G32">
        <v>320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90</v>
      </c>
      <c r="F36">
        <v>210</v>
      </c>
      <c r="G36">
        <v>82</v>
      </c>
      <c r="I36">
        <v>0</v>
      </c>
      <c r="J36">
        <v>1</v>
      </c>
      <c r="K36">
        <v>0</v>
      </c>
      <c r="L36">
        <v>0</v>
      </c>
      <c r="N36" t="s">
        <v>21</v>
      </c>
      <c r="O36" t="s">
        <v>25</v>
      </c>
      <c r="Q36">
        <v>0</v>
      </c>
      <c r="R36" t="b">
        <v>0</v>
      </c>
      <c r="S36" t="s">
        <v>119</v>
      </c>
      <c r="T36">
        <v>0</v>
      </c>
    </row>
    <row r="37" spans="1:20" x14ac:dyDescent="0.25">
      <c r="A37" t="s">
        <v>1020</v>
      </c>
      <c r="B37">
        <v>3</v>
      </c>
      <c r="C37" t="s">
        <v>19</v>
      </c>
      <c r="D37">
        <v>14</v>
      </c>
      <c r="E37">
        <v>81</v>
      </c>
      <c r="F37">
        <v>196</v>
      </c>
      <c r="G37">
        <v>86</v>
      </c>
      <c r="H37" t="s">
        <v>102</v>
      </c>
      <c r="I37">
        <v>14</v>
      </c>
      <c r="J37">
        <v>1</v>
      </c>
      <c r="K37">
        <v>0</v>
      </c>
      <c r="L37">
        <v>0</v>
      </c>
      <c r="N37" t="s">
        <v>21</v>
      </c>
      <c r="O37" t="s">
        <v>25</v>
      </c>
      <c r="Q37">
        <v>3</v>
      </c>
      <c r="R37" t="b">
        <v>1</v>
      </c>
      <c r="S37" t="s">
        <v>119</v>
      </c>
      <c r="T37">
        <v>0</v>
      </c>
    </row>
    <row r="38" spans="1:20" x14ac:dyDescent="0.25">
      <c r="A38" t="s">
        <v>1021</v>
      </c>
      <c r="B38">
        <v>3</v>
      </c>
      <c r="C38" t="s">
        <v>19</v>
      </c>
      <c r="D38">
        <v>14</v>
      </c>
      <c r="E38">
        <v>90</v>
      </c>
      <c r="F38">
        <v>196</v>
      </c>
      <c r="G38">
        <v>95</v>
      </c>
      <c r="H38" t="s">
        <v>102</v>
      </c>
      <c r="I38">
        <v>12</v>
      </c>
      <c r="J38">
        <v>0</v>
      </c>
      <c r="K38">
        <v>0</v>
      </c>
      <c r="L38">
        <v>0</v>
      </c>
      <c r="N38" t="s">
        <v>21</v>
      </c>
      <c r="O38" t="s">
        <v>25</v>
      </c>
      <c r="Q38">
        <v>3</v>
      </c>
      <c r="R38" t="b">
        <v>1</v>
      </c>
      <c r="S38" t="s">
        <v>119</v>
      </c>
      <c r="T38">
        <v>0</v>
      </c>
    </row>
    <row r="39" spans="1:20" x14ac:dyDescent="0.25">
      <c r="A39" t="s">
        <v>976</v>
      </c>
      <c r="B39">
        <v>3</v>
      </c>
      <c r="C39" t="s">
        <v>19</v>
      </c>
      <c r="D39">
        <v>14</v>
      </c>
      <c r="E39">
        <v>121</v>
      </c>
      <c r="F39">
        <v>196</v>
      </c>
      <c r="G39">
        <v>126</v>
      </c>
      <c r="H39" t="s">
        <v>102</v>
      </c>
      <c r="I39">
        <v>12</v>
      </c>
      <c r="J39">
        <v>1</v>
      </c>
      <c r="K39">
        <v>0</v>
      </c>
      <c r="L39">
        <v>0</v>
      </c>
      <c r="N39" t="s">
        <v>21</v>
      </c>
      <c r="O39" t="s">
        <v>25</v>
      </c>
      <c r="Q39">
        <v>3</v>
      </c>
      <c r="R39" t="b">
        <v>1</v>
      </c>
      <c r="S39" t="s">
        <v>119</v>
      </c>
      <c r="T39">
        <v>0</v>
      </c>
    </row>
    <row r="40" spans="1:20" x14ac:dyDescent="0.25">
      <c r="A40" t="s">
        <v>5022</v>
      </c>
      <c r="B40">
        <v>3</v>
      </c>
      <c r="C40" t="s">
        <v>19</v>
      </c>
      <c r="D40">
        <v>14</v>
      </c>
      <c r="E40">
        <v>130</v>
      </c>
      <c r="F40">
        <v>196</v>
      </c>
      <c r="G40">
        <v>135</v>
      </c>
      <c r="H40" t="s">
        <v>102</v>
      </c>
      <c r="I40">
        <v>12</v>
      </c>
      <c r="J40">
        <v>0</v>
      </c>
      <c r="K40">
        <v>0</v>
      </c>
      <c r="L40">
        <v>0</v>
      </c>
      <c r="N40" t="s">
        <v>21</v>
      </c>
      <c r="O40" t="s">
        <v>25</v>
      </c>
      <c r="Q40">
        <v>3</v>
      </c>
      <c r="R40" t="b">
        <v>1</v>
      </c>
      <c r="S40" t="s">
        <v>119</v>
      </c>
      <c r="T40">
        <v>0</v>
      </c>
    </row>
    <row r="41" spans="1:20" x14ac:dyDescent="0.25">
      <c r="A41" t="s">
        <v>969</v>
      </c>
      <c r="B41">
        <v>3</v>
      </c>
      <c r="C41" t="s">
        <v>19</v>
      </c>
      <c r="D41">
        <v>14</v>
      </c>
      <c r="E41">
        <v>147</v>
      </c>
      <c r="F41">
        <v>196</v>
      </c>
      <c r="G41">
        <v>152</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156</v>
      </c>
      <c r="F42">
        <v>196</v>
      </c>
      <c r="G42">
        <v>161</v>
      </c>
      <c r="H42" t="s">
        <v>102</v>
      </c>
      <c r="I42">
        <v>12</v>
      </c>
      <c r="J42">
        <v>0</v>
      </c>
      <c r="K42">
        <v>0</v>
      </c>
      <c r="L42">
        <v>0</v>
      </c>
      <c r="N42" t="s">
        <v>21</v>
      </c>
      <c r="O42" t="s">
        <v>25</v>
      </c>
      <c r="Q42">
        <v>3</v>
      </c>
      <c r="R42" t="b">
        <v>1</v>
      </c>
      <c r="S42" t="s">
        <v>119</v>
      </c>
      <c r="T42">
        <v>0</v>
      </c>
    </row>
    <row r="43" spans="1:20" x14ac:dyDescent="0.25">
      <c r="A43" t="s">
        <v>970</v>
      </c>
      <c r="B43">
        <v>3</v>
      </c>
      <c r="C43" t="s">
        <v>19</v>
      </c>
      <c r="D43">
        <v>14</v>
      </c>
      <c r="E43">
        <v>189</v>
      </c>
      <c r="F43">
        <v>196</v>
      </c>
      <c r="G43">
        <v>194</v>
      </c>
      <c r="H43" t="s">
        <v>102</v>
      </c>
      <c r="I43">
        <v>12</v>
      </c>
      <c r="J43">
        <v>1</v>
      </c>
      <c r="K43">
        <v>0</v>
      </c>
      <c r="L43">
        <v>0</v>
      </c>
      <c r="N43" t="s">
        <v>21</v>
      </c>
      <c r="O43" t="s">
        <v>25</v>
      </c>
      <c r="Q43">
        <v>3</v>
      </c>
      <c r="R43" t="b">
        <v>1</v>
      </c>
      <c r="S43" t="s">
        <v>119</v>
      </c>
      <c r="T43">
        <v>0</v>
      </c>
    </row>
    <row r="44" spans="1:20" x14ac:dyDescent="0.25">
      <c r="A44" t="s">
        <v>1018</v>
      </c>
      <c r="B44">
        <v>3</v>
      </c>
      <c r="C44" t="s">
        <v>19</v>
      </c>
      <c r="D44">
        <v>14</v>
      </c>
      <c r="E44">
        <v>198</v>
      </c>
      <c r="F44">
        <v>196</v>
      </c>
      <c r="G44">
        <v>203</v>
      </c>
      <c r="H44" t="s">
        <v>102</v>
      </c>
      <c r="I44">
        <v>12</v>
      </c>
      <c r="J44">
        <v>0</v>
      </c>
      <c r="K44">
        <v>0</v>
      </c>
      <c r="L44">
        <v>0</v>
      </c>
      <c r="N44" t="s">
        <v>21</v>
      </c>
      <c r="O44" t="s">
        <v>25</v>
      </c>
      <c r="Q44">
        <v>3</v>
      </c>
      <c r="R44" t="b">
        <v>1</v>
      </c>
      <c r="S44" t="s">
        <v>119</v>
      </c>
      <c r="T44">
        <v>0</v>
      </c>
    </row>
    <row r="45" spans="1:20" x14ac:dyDescent="0.25">
      <c r="A45" t="s">
        <v>863</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801</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966</v>
      </c>
      <c r="B47">
        <v>4</v>
      </c>
      <c r="C47" t="s">
        <v>26</v>
      </c>
      <c r="D47">
        <v>30</v>
      </c>
      <c r="E47">
        <v>85</v>
      </c>
      <c r="F47">
        <v>170</v>
      </c>
      <c r="G47">
        <v>152</v>
      </c>
      <c r="I47">
        <v>0</v>
      </c>
      <c r="J47">
        <v>1</v>
      </c>
      <c r="K47">
        <v>0</v>
      </c>
      <c r="L47">
        <v>0</v>
      </c>
      <c r="M47" t="s">
        <v>665</v>
      </c>
      <c r="N47" t="s">
        <v>665</v>
      </c>
      <c r="O47" t="s">
        <v>25</v>
      </c>
      <c r="Q47">
        <v>1</v>
      </c>
      <c r="R47" t="b">
        <v>0</v>
      </c>
      <c r="S47" t="s">
        <v>119</v>
      </c>
      <c r="T47">
        <v>0</v>
      </c>
    </row>
    <row r="48" spans="1:20" x14ac:dyDescent="0.25">
      <c r="A48" t="s">
        <v>35</v>
      </c>
      <c r="B48">
        <v>4</v>
      </c>
      <c r="C48" t="s">
        <v>19</v>
      </c>
      <c r="D48">
        <v>40</v>
      </c>
      <c r="E48">
        <v>93</v>
      </c>
      <c r="F48">
        <v>160</v>
      </c>
      <c r="G48">
        <v>98</v>
      </c>
      <c r="H48" t="s">
        <v>102</v>
      </c>
      <c r="I48">
        <v>16</v>
      </c>
      <c r="J48">
        <v>1</v>
      </c>
      <c r="K48">
        <v>0</v>
      </c>
      <c r="L48">
        <v>0</v>
      </c>
      <c r="N48" t="s">
        <v>665</v>
      </c>
      <c r="O48" t="s">
        <v>27</v>
      </c>
      <c r="Q48">
        <v>3</v>
      </c>
      <c r="R48" t="b">
        <v>1</v>
      </c>
      <c r="S48" t="s">
        <v>119</v>
      </c>
      <c r="T48">
        <v>0</v>
      </c>
    </row>
    <row r="49" spans="1:20" x14ac:dyDescent="0.25">
      <c r="A49" t="s">
        <v>104</v>
      </c>
      <c r="B49">
        <v>4</v>
      </c>
      <c r="C49" t="s">
        <v>19</v>
      </c>
      <c r="D49">
        <v>40</v>
      </c>
      <c r="E49">
        <v>106</v>
      </c>
      <c r="F49">
        <v>160</v>
      </c>
      <c r="G49">
        <v>114</v>
      </c>
      <c r="H49" t="s">
        <v>102</v>
      </c>
      <c r="I49">
        <v>16</v>
      </c>
      <c r="J49">
        <v>0</v>
      </c>
      <c r="K49">
        <v>1</v>
      </c>
      <c r="L49">
        <v>0</v>
      </c>
      <c r="N49" t="s">
        <v>665</v>
      </c>
      <c r="O49" t="s">
        <v>27</v>
      </c>
      <c r="Q49">
        <v>2</v>
      </c>
      <c r="R49" t="b">
        <v>1</v>
      </c>
      <c r="S49" t="s">
        <v>119</v>
      </c>
      <c r="T49">
        <v>0</v>
      </c>
    </row>
    <row r="50" spans="1:20" x14ac:dyDescent="0.25">
      <c r="A50" t="s">
        <v>56</v>
      </c>
      <c r="B50">
        <v>4</v>
      </c>
      <c r="C50" t="s">
        <v>19</v>
      </c>
      <c r="D50">
        <v>40</v>
      </c>
      <c r="E50">
        <v>134</v>
      </c>
      <c r="F50">
        <v>160</v>
      </c>
      <c r="G50">
        <v>140</v>
      </c>
      <c r="H50" t="s">
        <v>102</v>
      </c>
      <c r="I50">
        <v>20</v>
      </c>
      <c r="J50">
        <v>1</v>
      </c>
      <c r="K50">
        <v>0</v>
      </c>
      <c r="L50">
        <v>0</v>
      </c>
      <c r="N50" t="s">
        <v>665</v>
      </c>
      <c r="O50" t="s">
        <v>27</v>
      </c>
      <c r="P50" t="s">
        <v>963</v>
      </c>
      <c r="Q50">
        <v>3</v>
      </c>
      <c r="R50" t="b">
        <v>1</v>
      </c>
      <c r="S50" t="s">
        <v>119</v>
      </c>
      <c r="T50">
        <v>0</v>
      </c>
    </row>
    <row r="51" spans="1:20" x14ac:dyDescent="0.25">
      <c r="A51" t="s">
        <v>965</v>
      </c>
      <c r="B51">
        <v>4</v>
      </c>
      <c r="C51" t="s">
        <v>26</v>
      </c>
      <c r="D51">
        <v>30</v>
      </c>
      <c r="E51">
        <v>182</v>
      </c>
      <c r="F51">
        <v>170</v>
      </c>
      <c r="G51">
        <v>249</v>
      </c>
      <c r="I51">
        <v>0</v>
      </c>
      <c r="J51">
        <v>1</v>
      </c>
      <c r="K51">
        <v>0</v>
      </c>
      <c r="L51">
        <v>0</v>
      </c>
      <c r="M51" t="s">
        <v>967</v>
      </c>
      <c r="N51" t="s">
        <v>967</v>
      </c>
      <c r="O51" t="s">
        <v>25</v>
      </c>
      <c r="Q51">
        <v>1</v>
      </c>
      <c r="R51" t="b">
        <v>0</v>
      </c>
      <c r="S51" t="s">
        <v>119</v>
      </c>
      <c r="T51">
        <v>0</v>
      </c>
    </row>
    <row r="52" spans="1:20" x14ac:dyDescent="0.25">
      <c r="A52" t="s">
        <v>36</v>
      </c>
      <c r="B52">
        <v>4</v>
      </c>
      <c r="C52" t="s">
        <v>19</v>
      </c>
      <c r="D52">
        <v>40</v>
      </c>
      <c r="E52">
        <v>190</v>
      </c>
      <c r="F52">
        <v>160</v>
      </c>
      <c r="G52">
        <v>195</v>
      </c>
      <c r="H52" t="s">
        <v>102</v>
      </c>
      <c r="I52">
        <v>16</v>
      </c>
      <c r="J52">
        <v>1</v>
      </c>
      <c r="K52">
        <v>0</v>
      </c>
      <c r="L52">
        <v>0</v>
      </c>
      <c r="N52" t="s">
        <v>967</v>
      </c>
      <c r="O52" t="s">
        <v>27</v>
      </c>
      <c r="Q52">
        <v>3</v>
      </c>
      <c r="R52" t="b">
        <v>1</v>
      </c>
      <c r="S52" t="s">
        <v>119</v>
      </c>
      <c r="T52">
        <v>0</v>
      </c>
    </row>
    <row r="53" spans="1:20" x14ac:dyDescent="0.25">
      <c r="A53" t="s">
        <v>105</v>
      </c>
      <c r="B53">
        <v>4</v>
      </c>
      <c r="C53" t="s">
        <v>19</v>
      </c>
      <c r="D53">
        <v>40</v>
      </c>
      <c r="E53">
        <v>203</v>
      </c>
      <c r="F53">
        <v>160</v>
      </c>
      <c r="G53">
        <v>211</v>
      </c>
      <c r="H53" t="s">
        <v>102</v>
      </c>
      <c r="I53">
        <v>16</v>
      </c>
      <c r="J53">
        <v>0</v>
      </c>
      <c r="K53">
        <v>1</v>
      </c>
      <c r="L53">
        <v>0</v>
      </c>
      <c r="N53" t="s">
        <v>967</v>
      </c>
      <c r="O53" t="s">
        <v>27</v>
      </c>
      <c r="Q53">
        <v>2</v>
      </c>
      <c r="R53" t="b">
        <v>1</v>
      </c>
      <c r="S53" t="s">
        <v>119</v>
      </c>
      <c r="T53">
        <v>0</v>
      </c>
    </row>
    <row r="54" spans="1:20" x14ac:dyDescent="0.25">
      <c r="A54" t="s">
        <v>57</v>
      </c>
      <c r="B54">
        <v>4</v>
      </c>
      <c r="C54" t="s">
        <v>19</v>
      </c>
      <c r="D54">
        <v>40</v>
      </c>
      <c r="E54">
        <v>231</v>
      </c>
      <c r="F54">
        <v>160</v>
      </c>
      <c r="G54">
        <v>237</v>
      </c>
      <c r="H54" t="s">
        <v>102</v>
      </c>
      <c r="I54">
        <v>20</v>
      </c>
      <c r="J54">
        <v>1</v>
      </c>
      <c r="K54">
        <v>0</v>
      </c>
      <c r="L54">
        <v>0</v>
      </c>
      <c r="N54" t="s">
        <v>967</v>
      </c>
      <c r="O54" t="s">
        <v>27</v>
      </c>
      <c r="P54" t="s">
        <v>964</v>
      </c>
      <c r="Q54">
        <v>3</v>
      </c>
      <c r="R54" t="b">
        <v>1</v>
      </c>
      <c r="S54" t="s">
        <v>119</v>
      </c>
      <c r="T54">
        <v>0</v>
      </c>
    </row>
    <row r="55" spans="1:20" x14ac:dyDescent="0.25">
      <c r="A55" t="s">
        <v>972</v>
      </c>
      <c r="B55">
        <v>5</v>
      </c>
      <c r="C55" t="s">
        <v>26</v>
      </c>
      <c r="D55">
        <v>14</v>
      </c>
      <c r="E55">
        <v>45</v>
      </c>
      <c r="F55">
        <v>196</v>
      </c>
      <c r="G55">
        <v>244</v>
      </c>
      <c r="I55">
        <v>0</v>
      </c>
      <c r="J55">
        <v>0</v>
      </c>
      <c r="K55">
        <v>0</v>
      </c>
      <c r="L55">
        <v>0</v>
      </c>
      <c r="N55" t="s">
        <v>21</v>
      </c>
      <c r="O55" t="s">
        <v>25</v>
      </c>
      <c r="Q55">
        <v>1</v>
      </c>
      <c r="R55" t="b">
        <v>0</v>
      </c>
      <c r="S55" t="s">
        <v>119</v>
      </c>
      <c r="T55">
        <v>0</v>
      </c>
    </row>
    <row r="56" spans="1:20" x14ac:dyDescent="0.25">
      <c r="A56" t="s">
        <v>805</v>
      </c>
      <c r="B56">
        <v>5</v>
      </c>
      <c r="C56" t="s">
        <v>19</v>
      </c>
      <c r="D56">
        <v>20</v>
      </c>
      <c r="E56">
        <v>51</v>
      </c>
      <c r="F56">
        <v>194</v>
      </c>
      <c r="G56">
        <v>56</v>
      </c>
      <c r="H56" t="s">
        <v>102</v>
      </c>
      <c r="I56">
        <v>12</v>
      </c>
      <c r="J56">
        <v>1</v>
      </c>
      <c r="K56">
        <v>0</v>
      </c>
      <c r="L56">
        <v>0</v>
      </c>
      <c r="N56" t="s">
        <v>21</v>
      </c>
      <c r="O56" t="s">
        <v>25</v>
      </c>
      <c r="Q56">
        <v>2</v>
      </c>
      <c r="R56" t="b">
        <v>1</v>
      </c>
      <c r="S56" t="s">
        <v>119</v>
      </c>
      <c r="T56">
        <v>0</v>
      </c>
    </row>
    <row r="57" spans="1:20" x14ac:dyDescent="0.25">
      <c r="A57" t="s">
        <v>804</v>
      </c>
      <c r="B57">
        <v>5</v>
      </c>
      <c r="C57" t="s">
        <v>19</v>
      </c>
      <c r="D57">
        <v>20</v>
      </c>
      <c r="E57">
        <v>64</v>
      </c>
      <c r="F57">
        <v>194</v>
      </c>
      <c r="G57">
        <v>69</v>
      </c>
      <c r="H57" t="s">
        <v>102</v>
      </c>
      <c r="I57">
        <v>12</v>
      </c>
      <c r="J57">
        <v>0</v>
      </c>
      <c r="K57">
        <v>0</v>
      </c>
      <c r="L57">
        <v>0</v>
      </c>
      <c r="N57" t="s">
        <v>21</v>
      </c>
      <c r="O57" t="s">
        <v>25</v>
      </c>
      <c r="P57" s="1"/>
      <c r="Q57">
        <v>1</v>
      </c>
      <c r="R57" t="b">
        <v>1</v>
      </c>
      <c r="S57" t="s">
        <v>119</v>
      </c>
      <c r="T57">
        <v>0</v>
      </c>
    </row>
    <row r="58" spans="1:20" x14ac:dyDescent="0.25">
      <c r="A58" t="s">
        <v>1005</v>
      </c>
      <c r="B58">
        <v>5</v>
      </c>
      <c r="C58" t="s">
        <v>24</v>
      </c>
      <c r="D58">
        <v>14</v>
      </c>
      <c r="E58">
        <v>130</v>
      </c>
      <c r="F58">
        <v>196</v>
      </c>
      <c r="G58">
        <v>225</v>
      </c>
      <c r="I58">
        <v>0</v>
      </c>
      <c r="J58">
        <v>0</v>
      </c>
      <c r="K58">
        <v>0</v>
      </c>
      <c r="L58">
        <v>0</v>
      </c>
      <c r="N58" t="s">
        <v>21</v>
      </c>
      <c r="O58" t="s">
        <v>25</v>
      </c>
      <c r="P58" s="1" t="s">
        <v>1006</v>
      </c>
      <c r="Q58">
        <v>1</v>
      </c>
      <c r="R58" t="b">
        <v>1</v>
      </c>
      <c r="S58" t="s">
        <v>119</v>
      </c>
      <c r="T58">
        <v>0</v>
      </c>
    </row>
    <row r="59" spans="1:20" x14ac:dyDescent="0.25">
      <c r="A59" t="s">
        <v>81</v>
      </c>
      <c r="B59">
        <v>5</v>
      </c>
      <c r="C59" t="s">
        <v>19</v>
      </c>
      <c r="D59">
        <v>78</v>
      </c>
      <c r="E59">
        <v>223</v>
      </c>
      <c r="F59">
        <v>102</v>
      </c>
      <c r="G59">
        <v>226</v>
      </c>
      <c r="H59" t="s">
        <v>102</v>
      </c>
      <c r="I59">
        <v>8</v>
      </c>
      <c r="J59">
        <v>0</v>
      </c>
      <c r="K59">
        <v>0</v>
      </c>
      <c r="L59">
        <v>0</v>
      </c>
      <c r="M59" t="s">
        <v>884</v>
      </c>
      <c r="O59" t="s">
        <v>25</v>
      </c>
      <c r="Q59">
        <v>3</v>
      </c>
      <c r="R59" t="b">
        <v>1</v>
      </c>
      <c r="T59">
        <v>0</v>
      </c>
    </row>
    <row r="60" spans="1:20" x14ac:dyDescent="0.25">
      <c r="A60" t="s">
        <v>83</v>
      </c>
      <c r="B60">
        <v>5</v>
      </c>
      <c r="C60" t="s">
        <v>19</v>
      </c>
      <c r="D60">
        <v>114</v>
      </c>
      <c r="E60">
        <v>223</v>
      </c>
      <c r="F60">
        <v>129</v>
      </c>
      <c r="G60">
        <v>226</v>
      </c>
      <c r="H60" t="s">
        <v>102</v>
      </c>
      <c r="I60">
        <v>8</v>
      </c>
      <c r="J60">
        <v>0</v>
      </c>
      <c r="K60">
        <v>0</v>
      </c>
      <c r="L60">
        <v>0</v>
      </c>
      <c r="M60" t="s">
        <v>884</v>
      </c>
      <c r="O60" t="s">
        <v>22</v>
      </c>
      <c r="Q60">
        <v>3</v>
      </c>
      <c r="R60" t="b">
        <v>1</v>
      </c>
      <c r="T60">
        <v>0</v>
      </c>
    </row>
    <row r="61" spans="1:20" x14ac:dyDescent="0.25">
      <c r="A61" t="s">
        <v>614</v>
      </c>
      <c r="B61">
        <v>5</v>
      </c>
      <c r="C61" t="s">
        <v>19</v>
      </c>
      <c r="D61">
        <v>66</v>
      </c>
      <c r="E61">
        <v>228</v>
      </c>
      <c r="F61">
        <v>141</v>
      </c>
      <c r="G61">
        <v>231</v>
      </c>
      <c r="H61" t="s">
        <v>102</v>
      </c>
      <c r="I61">
        <v>8</v>
      </c>
      <c r="J61">
        <v>0</v>
      </c>
      <c r="K61">
        <v>1</v>
      </c>
      <c r="L61">
        <v>0</v>
      </c>
      <c r="M61" t="s">
        <v>884</v>
      </c>
      <c r="O61" t="s">
        <v>27</v>
      </c>
      <c r="Q61">
        <v>3</v>
      </c>
      <c r="R61" t="b">
        <v>1</v>
      </c>
      <c r="T61">
        <v>0</v>
      </c>
    </row>
    <row r="62" spans="1:20" x14ac:dyDescent="0.25">
      <c r="A62" t="s">
        <v>1026</v>
      </c>
      <c r="B62">
        <v>5</v>
      </c>
      <c r="C62" t="s">
        <v>26</v>
      </c>
      <c r="D62">
        <v>64</v>
      </c>
      <c r="E62">
        <v>214</v>
      </c>
      <c r="F62">
        <v>143</v>
      </c>
      <c r="G62">
        <v>236</v>
      </c>
      <c r="I62">
        <v>0</v>
      </c>
      <c r="J62">
        <v>0</v>
      </c>
      <c r="K62">
        <v>0</v>
      </c>
      <c r="L62">
        <v>0</v>
      </c>
      <c r="O62" t="s">
        <v>25</v>
      </c>
      <c r="Q62">
        <v>1</v>
      </c>
      <c r="R62" t="b">
        <v>0</v>
      </c>
      <c r="S62" t="s">
        <v>119</v>
      </c>
      <c r="T62">
        <v>0</v>
      </c>
    </row>
    <row r="63" spans="1:20" x14ac:dyDescent="0.25">
      <c r="A63" t="s">
        <v>777</v>
      </c>
      <c r="B63">
        <v>6</v>
      </c>
      <c r="C63" t="s">
        <v>19</v>
      </c>
      <c r="D63">
        <v>14</v>
      </c>
      <c r="E63">
        <v>20</v>
      </c>
      <c r="F63">
        <v>196</v>
      </c>
      <c r="G63">
        <v>25</v>
      </c>
      <c r="H63" t="s">
        <v>102</v>
      </c>
      <c r="I63">
        <v>14</v>
      </c>
      <c r="J63">
        <v>1</v>
      </c>
      <c r="K63">
        <v>0</v>
      </c>
      <c r="L63">
        <v>0</v>
      </c>
      <c r="N63" t="s">
        <v>21</v>
      </c>
      <c r="O63" t="s">
        <v>25</v>
      </c>
      <c r="Q63">
        <v>3</v>
      </c>
      <c r="R63" t="b">
        <v>1</v>
      </c>
      <c r="S63" t="s">
        <v>119</v>
      </c>
      <c r="T63">
        <v>0</v>
      </c>
    </row>
    <row r="64" spans="1:20" x14ac:dyDescent="0.25">
      <c r="A64" t="s">
        <v>917</v>
      </c>
      <c r="B64">
        <v>6</v>
      </c>
      <c r="C64" t="s">
        <v>19</v>
      </c>
      <c r="D64">
        <v>14</v>
      </c>
      <c r="E64">
        <v>33</v>
      </c>
      <c r="F64">
        <v>196</v>
      </c>
      <c r="G64">
        <v>38</v>
      </c>
      <c r="H64" t="s">
        <v>102</v>
      </c>
      <c r="I64">
        <v>12</v>
      </c>
      <c r="J64">
        <v>0</v>
      </c>
      <c r="K64">
        <v>0</v>
      </c>
      <c r="L64">
        <v>0</v>
      </c>
      <c r="N64" t="s">
        <v>21</v>
      </c>
      <c r="O64" t="s">
        <v>25</v>
      </c>
      <c r="Q64">
        <v>3</v>
      </c>
      <c r="R64" t="b">
        <v>1</v>
      </c>
      <c r="T64">
        <v>0</v>
      </c>
    </row>
    <row r="65" spans="1:20" x14ac:dyDescent="0.25">
      <c r="A65" t="s">
        <v>769</v>
      </c>
      <c r="B65">
        <v>6</v>
      </c>
      <c r="C65" t="s">
        <v>26</v>
      </c>
      <c r="D65">
        <v>0</v>
      </c>
      <c r="E65">
        <v>85</v>
      </c>
      <c r="F65">
        <v>210</v>
      </c>
      <c r="G65">
        <v>198</v>
      </c>
      <c r="I65">
        <v>0</v>
      </c>
      <c r="J65">
        <v>1</v>
      </c>
      <c r="K65">
        <v>0</v>
      </c>
      <c r="L65">
        <v>0</v>
      </c>
      <c r="M65" t="s">
        <v>918</v>
      </c>
      <c r="N65" t="s">
        <v>918</v>
      </c>
      <c r="O65" t="s">
        <v>25</v>
      </c>
      <c r="Q65">
        <v>1</v>
      </c>
      <c r="R65" t="b">
        <v>0</v>
      </c>
      <c r="S65" t="s">
        <v>119</v>
      </c>
      <c r="T65">
        <v>0</v>
      </c>
    </row>
    <row r="66" spans="1:20" x14ac:dyDescent="0.25">
      <c r="A66" t="s">
        <v>770</v>
      </c>
      <c r="B66">
        <v>6</v>
      </c>
      <c r="C66" t="s">
        <v>19</v>
      </c>
      <c r="D66">
        <v>14</v>
      </c>
      <c r="E66">
        <v>90</v>
      </c>
      <c r="F66">
        <v>196</v>
      </c>
      <c r="G66">
        <v>93</v>
      </c>
      <c r="H66" t="s">
        <v>102</v>
      </c>
      <c r="I66">
        <v>12</v>
      </c>
      <c r="J66">
        <v>1</v>
      </c>
      <c r="K66">
        <v>0</v>
      </c>
      <c r="L66">
        <v>0</v>
      </c>
      <c r="N66" t="s">
        <v>918</v>
      </c>
      <c r="O66" t="s">
        <v>25</v>
      </c>
      <c r="Q66">
        <v>3</v>
      </c>
      <c r="R66" t="b">
        <v>0</v>
      </c>
      <c r="S66" t="s">
        <v>119</v>
      </c>
      <c r="T66">
        <v>0</v>
      </c>
    </row>
    <row r="67" spans="1:20" x14ac:dyDescent="0.25">
      <c r="A67" t="s">
        <v>774</v>
      </c>
      <c r="B67">
        <v>6</v>
      </c>
      <c r="C67" t="s">
        <v>19</v>
      </c>
      <c r="D67">
        <v>113</v>
      </c>
      <c r="E67">
        <v>87</v>
      </c>
      <c r="F67">
        <v>140</v>
      </c>
      <c r="G67">
        <v>92</v>
      </c>
      <c r="H67" t="s">
        <v>102</v>
      </c>
      <c r="I67">
        <v>10</v>
      </c>
      <c r="J67">
        <v>1</v>
      </c>
      <c r="K67">
        <v>0</v>
      </c>
      <c r="L67">
        <v>0</v>
      </c>
      <c r="N67" t="s">
        <v>918</v>
      </c>
      <c r="O67" t="s">
        <v>27</v>
      </c>
      <c r="Q67">
        <v>3</v>
      </c>
      <c r="R67" t="b">
        <v>1</v>
      </c>
      <c r="S67" t="s">
        <v>119</v>
      </c>
      <c r="T67">
        <v>0</v>
      </c>
    </row>
    <row r="68" spans="1:20" x14ac:dyDescent="0.25">
      <c r="A68" t="s">
        <v>775</v>
      </c>
      <c r="B68">
        <v>6</v>
      </c>
      <c r="C68" t="s">
        <v>19</v>
      </c>
      <c r="D68">
        <v>140</v>
      </c>
      <c r="E68">
        <v>87</v>
      </c>
      <c r="F68">
        <v>169</v>
      </c>
      <c r="G68">
        <v>92</v>
      </c>
      <c r="H68" t="s">
        <v>102</v>
      </c>
      <c r="I68">
        <v>10</v>
      </c>
      <c r="J68">
        <v>1</v>
      </c>
      <c r="K68">
        <v>0</v>
      </c>
      <c r="L68">
        <v>0</v>
      </c>
      <c r="N68" t="s">
        <v>918</v>
      </c>
      <c r="O68" t="s">
        <v>27</v>
      </c>
      <c r="Q68">
        <v>3</v>
      </c>
      <c r="R68" t="b">
        <v>1</v>
      </c>
      <c r="S68" t="s">
        <v>119</v>
      </c>
      <c r="T68">
        <v>0</v>
      </c>
    </row>
    <row r="69" spans="1:20" x14ac:dyDescent="0.25">
      <c r="A69" t="s">
        <v>776</v>
      </c>
      <c r="B69">
        <v>6</v>
      </c>
      <c r="C69" t="s">
        <v>19</v>
      </c>
      <c r="D69">
        <v>168</v>
      </c>
      <c r="E69">
        <v>87</v>
      </c>
      <c r="F69">
        <v>194</v>
      </c>
      <c r="G69">
        <v>92</v>
      </c>
      <c r="H69" t="s">
        <v>102</v>
      </c>
      <c r="I69">
        <v>10</v>
      </c>
      <c r="J69">
        <v>1</v>
      </c>
      <c r="K69">
        <v>0</v>
      </c>
      <c r="L69">
        <v>0</v>
      </c>
      <c r="N69" t="s">
        <v>918</v>
      </c>
      <c r="O69" t="s">
        <v>27</v>
      </c>
      <c r="Q69">
        <v>3</v>
      </c>
      <c r="R69" t="b">
        <v>1</v>
      </c>
      <c r="S69" t="s">
        <v>119</v>
      </c>
      <c r="T69">
        <v>0</v>
      </c>
    </row>
    <row r="70" spans="1:20" x14ac:dyDescent="0.25">
      <c r="A70" t="s">
        <v>44</v>
      </c>
      <c r="B70">
        <v>6</v>
      </c>
      <c r="C70" t="s">
        <v>25</v>
      </c>
      <c r="D70">
        <v>114</v>
      </c>
      <c r="E70">
        <v>85</v>
      </c>
      <c r="F70">
        <v>114</v>
      </c>
      <c r="G70">
        <v>198</v>
      </c>
      <c r="I70">
        <v>0.5</v>
      </c>
      <c r="J70">
        <v>0</v>
      </c>
      <c r="K70">
        <v>0</v>
      </c>
      <c r="L70">
        <v>0</v>
      </c>
      <c r="M70" t="s">
        <v>21</v>
      </c>
      <c r="N70" t="s">
        <v>918</v>
      </c>
      <c r="O70" t="s">
        <v>25</v>
      </c>
      <c r="Q70">
        <v>4</v>
      </c>
      <c r="R70" t="b">
        <v>0</v>
      </c>
      <c r="S70" t="s">
        <v>119</v>
      </c>
      <c r="T70">
        <v>0</v>
      </c>
    </row>
    <row r="71" spans="1:20" x14ac:dyDescent="0.25">
      <c r="A71" t="s">
        <v>45</v>
      </c>
      <c r="B71">
        <v>6</v>
      </c>
      <c r="C71" t="s">
        <v>25</v>
      </c>
      <c r="D71">
        <v>141</v>
      </c>
      <c r="E71">
        <v>85</v>
      </c>
      <c r="F71">
        <v>141</v>
      </c>
      <c r="G71">
        <v>198</v>
      </c>
      <c r="I71">
        <v>0.5</v>
      </c>
      <c r="J71">
        <v>0</v>
      </c>
      <c r="K71">
        <v>0</v>
      </c>
      <c r="L71">
        <v>0</v>
      </c>
      <c r="M71" t="s">
        <v>21</v>
      </c>
      <c r="N71" t="s">
        <v>918</v>
      </c>
      <c r="O71" t="s">
        <v>25</v>
      </c>
      <c r="Q71">
        <v>4</v>
      </c>
      <c r="R71" t="b">
        <v>0</v>
      </c>
      <c r="S71" t="s">
        <v>119</v>
      </c>
      <c r="T71">
        <v>0</v>
      </c>
    </row>
    <row r="72" spans="1:20" x14ac:dyDescent="0.25">
      <c r="A72" t="s">
        <v>46</v>
      </c>
      <c r="B72">
        <v>6</v>
      </c>
      <c r="C72" t="s">
        <v>25</v>
      </c>
      <c r="D72">
        <v>168</v>
      </c>
      <c r="E72">
        <v>85</v>
      </c>
      <c r="F72">
        <v>168</v>
      </c>
      <c r="G72">
        <v>198</v>
      </c>
      <c r="I72">
        <v>0.5</v>
      </c>
      <c r="J72">
        <v>0</v>
      </c>
      <c r="K72">
        <v>0</v>
      </c>
      <c r="L72">
        <v>0</v>
      </c>
      <c r="M72" t="s">
        <v>21</v>
      </c>
      <c r="N72" t="s">
        <v>918</v>
      </c>
      <c r="O72" t="s">
        <v>25</v>
      </c>
      <c r="Q72">
        <v>4</v>
      </c>
      <c r="R72" t="b">
        <v>0</v>
      </c>
      <c r="S72" t="s">
        <v>119</v>
      </c>
      <c r="T72">
        <v>0</v>
      </c>
    </row>
    <row r="73" spans="1:20" x14ac:dyDescent="0.25">
      <c r="A73" t="s">
        <v>55</v>
      </c>
      <c r="B73">
        <v>6</v>
      </c>
      <c r="C73" t="s">
        <v>25</v>
      </c>
      <c r="D73">
        <v>14</v>
      </c>
      <c r="E73">
        <v>112</v>
      </c>
      <c r="F73">
        <v>196</v>
      </c>
      <c r="G73">
        <v>112</v>
      </c>
      <c r="I73">
        <v>0.5</v>
      </c>
      <c r="J73">
        <v>0</v>
      </c>
      <c r="K73">
        <v>0</v>
      </c>
      <c r="L73">
        <v>0</v>
      </c>
      <c r="M73" t="s">
        <v>21</v>
      </c>
      <c r="N73" t="s">
        <v>918</v>
      </c>
      <c r="O73" t="s">
        <v>25</v>
      </c>
      <c r="Q73">
        <v>4</v>
      </c>
      <c r="R73" t="b">
        <v>0</v>
      </c>
      <c r="S73" t="s">
        <v>119</v>
      </c>
      <c r="T73">
        <v>0</v>
      </c>
    </row>
    <row r="74" spans="1:20" x14ac:dyDescent="0.25">
      <c r="A74" t="s">
        <v>920</v>
      </c>
      <c r="B74">
        <v>6</v>
      </c>
      <c r="C74" t="s">
        <v>19</v>
      </c>
      <c r="D74">
        <v>114</v>
      </c>
      <c r="E74">
        <v>200</v>
      </c>
      <c r="F74">
        <v>196</v>
      </c>
      <c r="G74">
        <v>204</v>
      </c>
      <c r="H74" t="s">
        <v>102</v>
      </c>
      <c r="I74">
        <v>10</v>
      </c>
      <c r="J74">
        <v>0</v>
      </c>
      <c r="K74">
        <v>0</v>
      </c>
      <c r="L74">
        <v>0</v>
      </c>
      <c r="N74" t="s">
        <v>21</v>
      </c>
      <c r="O74" t="s">
        <v>22</v>
      </c>
      <c r="Q74">
        <v>2</v>
      </c>
      <c r="R74" t="b">
        <v>0</v>
      </c>
      <c r="S74" t="s">
        <v>119</v>
      </c>
      <c r="T74">
        <v>0</v>
      </c>
    </row>
    <row r="75" spans="1:20" x14ac:dyDescent="0.25">
      <c r="A75" t="s">
        <v>729</v>
      </c>
      <c r="B75">
        <v>6</v>
      </c>
      <c r="C75" t="s">
        <v>19</v>
      </c>
      <c r="D75">
        <v>14</v>
      </c>
      <c r="E75">
        <v>114</v>
      </c>
      <c r="F75">
        <v>112</v>
      </c>
      <c r="G75">
        <v>119</v>
      </c>
      <c r="H75" t="s">
        <v>102</v>
      </c>
      <c r="I75">
        <v>12</v>
      </c>
      <c r="J75">
        <v>0</v>
      </c>
      <c r="K75">
        <v>0</v>
      </c>
      <c r="L75">
        <v>0</v>
      </c>
      <c r="N75" t="s">
        <v>918</v>
      </c>
      <c r="O75" t="s">
        <v>25</v>
      </c>
      <c r="Q75">
        <v>3</v>
      </c>
      <c r="R75" t="b">
        <v>1</v>
      </c>
      <c r="S75" t="s">
        <v>119</v>
      </c>
      <c r="T75">
        <v>0</v>
      </c>
    </row>
    <row r="76" spans="1:20" x14ac:dyDescent="0.25">
      <c r="A76" t="s">
        <v>730</v>
      </c>
      <c r="B76">
        <v>6</v>
      </c>
      <c r="C76" t="s">
        <v>19</v>
      </c>
      <c r="D76">
        <v>113</v>
      </c>
      <c r="E76">
        <v>115</v>
      </c>
      <c r="F76">
        <v>140</v>
      </c>
      <c r="G76">
        <v>118</v>
      </c>
      <c r="H76" t="s">
        <v>20</v>
      </c>
      <c r="I76">
        <v>16</v>
      </c>
      <c r="J76">
        <v>1</v>
      </c>
      <c r="K76">
        <v>0</v>
      </c>
      <c r="L76">
        <v>0</v>
      </c>
      <c r="N76" t="s">
        <v>918</v>
      </c>
      <c r="O76" t="s">
        <v>27</v>
      </c>
      <c r="Q76">
        <v>2</v>
      </c>
      <c r="R76" t="b">
        <v>0</v>
      </c>
      <c r="S76" t="s">
        <v>119</v>
      </c>
      <c r="T76">
        <v>0</v>
      </c>
    </row>
    <row r="77" spans="1:20" x14ac:dyDescent="0.25">
      <c r="A77" t="s">
        <v>731</v>
      </c>
      <c r="B77">
        <v>6</v>
      </c>
      <c r="C77" t="s">
        <v>19</v>
      </c>
      <c r="D77">
        <v>140</v>
      </c>
      <c r="E77">
        <v>115</v>
      </c>
      <c r="F77">
        <v>169</v>
      </c>
      <c r="G77">
        <v>118</v>
      </c>
      <c r="H77" t="s">
        <v>20</v>
      </c>
      <c r="I77">
        <v>16</v>
      </c>
      <c r="J77">
        <v>1</v>
      </c>
      <c r="K77">
        <v>0</v>
      </c>
      <c r="L77">
        <v>0</v>
      </c>
      <c r="N77" t="s">
        <v>918</v>
      </c>
      <c r="O77" t="s">
        <v>27</v>
      </c>
      <c r="Q77">
        <v>2</v>
      </c>
      <c r="R77" t="b">
        <v>0</v>
      </c>
      <c r="S77" t="s">
        <v>119</v>
      </c>
      <c r="T77">
        <v>0</v>
      </c>
    </row>
    <row r="78" spans="1:20" x14ac:dyDescent="0.25">
      <c r="A78" t="s">
        <v>732</v>
      </c>
      <c r="B78">
        <v>6</v>
      </c>
      <c r="C78" t="s">
        <v>19</v>
      </c>
      <c r="D78">
        <v>168</v>
      </c>
      <c r="E78">
        <v>115</v>
      </c>
      <c r="F78">
        <v>194</v>
      </c>
      <c r="G78">
        <v>118</v>
      </c>
      <c r="H78" t="s">
        <v>20</v>
      </c>
      <c r="I78">
        <v>16</v>
      </c>
      <c r="J78">
        <v>1</v>
      </c>
      <c r="K78">
        <v>0</v>
      </c>
      <c r="L78">
        <v>0</v>
      </c>
      <c r="N78" t="s">
        <v>918</v>
      </c>
      <c r="O78" t="s">
        <v>27</v>
      </c>
      <c r="Q78">
        <v>2</v>
      </c>
      <c r="R78" t="b">
        <v>0</v>
      </c>
      <c r="S78" t="s">
        <v>119</v>
      </c>
      <c r="T78">
        <v>0</v>
      </c>
    </row>
    <row r="79" spans="1:20" x14ac:dyDescent="0.25">
      <c r="A79" t="s">
        <v>733</v>
      </c>
      <c r="B79">
        <v>6</v>
      </c>
      <c r="C79" t="s">
        <v>19</v>
      </c>
      <c r="D79">
        <v>14</v>
      </c>
      <c r="E79">
        <v>130</v>
      </c>
      <c r="F79">
        <v>112</v>
      </c>
      <c r="G79">
        <v>135</v>
      </c>
      <c r="H79" t="s">
        <v>102</v>
      </c>
      <c r="I79">
        <v>12</v>
      </c>
      <c r="J79">
        <v>0</v>
      </c>
      <c r="K79">
        <v>0</v>
      </c>
      <c r="L79">
        <v>0</v>
      </c>
      <c r="N79" t="s">
        <v>918</v>
      </c>
      <c r="O79" t="s">
        <v>25</v>
      </c>
      <c r="Q79">
        <v>3</v>
      </c>
      <c r="R79" t="b">
        <v>1</v>
      </c>
      <c r="S79" t="s">
        <v>119</v>
      </c>
      <c r="T79">
        <v>0</v>
      </c>
    </row>
    <row r="80" spans="1:20" x14ac:dyDescent="0.25">
      <c r="A80" t="s">
        <v>734</v>
      </c>
      <c r="B80">
        <v>6</v>
      </c>
      <c r="C80" t="s">
        <v>19</v>
      </c>
      <c r="D80">
        <v>113</v>
      </c>
      <c r="E80">
        <v>131</v>
      </c>
      <c r="F80">
        <v>140</v>
      </c>
      <c r="G80">
        <v>134</v>
      </c>
      <c r="H80" t="s">
        <v>20</v>
      </c>
      <c r="I80">
        <v>16</v>
      </c>
      <c r="J80">
        <v>1</v>
      </c>
      <c r="K80">
        <v>0</v>
      </c>
      <c r="L80">
        <v>0</v>
      </c>
      <c r="N80" t="s">
        <v>918</v>
      </c>
      <c r="O80" t="s">
        <v>27</v>
      </c>
      <c r="Q80">
        <v>2</v>
      </c>
      <c r="R80" t="b">
        <v>0</v>
      </c>
      <c r="S80" t="s">
        <v>119</v>
      </c>
      <c r="T80">
        <v>0</v>
      </c>
    </row>
    <row r="81" spans="1:20" x14ac:dyDescent="0.25">
      <c r="A81" t="s">
        <v>735</v>
      </c>
      <c r="B81">
        <v>6</v>
      </c>
      <c r="C81" t="s">
        <v>19</v>
      </c>
      <c r="D81">
        <v>140</v>
      </c>
      <c r="E81">
        <v>131</v>
      </c>
      <c r="F81">
        <v>169</v>
      </c>
      <c r="G81">
        <v>134</v>
      </c>
      <c r="H81" t="s">
        <v>20</v>
      </c>
      <c r="I81">
        <v>16</v>
      </c>
      <c r="J81">
        <v>1</v>
      </c>
      <c r="K81">
        <v>0</v>
      </c>
      <c r="L81">
        <v>0</v>
      </c>
      <c r="N81" t="s">
        <v>918</v>
      </c>
      <c r="O81" t="s">
        <v>27</v>
      </c>
      <c r="Q81">
        <v>2</v>
      </c>
      <c r="R81" t="b">
        <v>0</v>
      </c>
      <c r="S81" t="s">
        <v>119</v>
      </c>
      <c r="T81">
        <v>0</v>
      </c>
    </row>
    <row r="82" spans="1:20" x14ac:dyDescent="0.25">
      <c r="A82" t="s">
        <v>736</v>
      </c>
      <c r="B82">
        <v>6</v>
      </c>
      <c r="C82" t="s">
        <v>19</v>
      </c>
      <c r="D82">
        <v>168</v>
      </c>
      <c r="E82">
        <v>131</v>
      </c>
      <c r="F82">
        <v>194</v>
      </c>
      <c r="G82">
        <v>134</v>
      </c>
      <c r="H82" t="s">
        <v>20</v>
      </c>
      <c r="I82">
        <v>16</v>
      </c>
      <c r="J82">
        <v>1</v>
      </c>
      <c r="K82">
        <v>0</v>
      </c>
      <c r="L82">
        <v>0</v>
      </c>
      <c r="N82" t="s">
        <v>918</v>
      </c>
      <c r="O82" t="s">
        <v>27</v>
      </c>
      <c r="Q82">
        <v>2</v>
      </c>
      <c r="R82" t="b">
        <v>0</v>
      </c>
      <c r="S82" t="s">
        <v>119</v>
      </c>
      <c r="T82">
        <v>0</v>
      </c>
    </row>
    <row r="83" spans="1:20" x14ac:dyDescent="0.25">
      <c r="A83" t="s">
        <v>737</v>
      </c>
      <c r="B83">
        <v>6</v>
      </c>
      <c r="C83" t="s">
        <v>19</v>
      </c>
      <c r="D83">
        <v>14</v>
      </c>
      <c r="E83">
        <v>146</v>
      </c>
      <c r="F83">
        <v>112</v>
      </c>
      <c r="G83">
        <v>151</v>
      </c>
      <c r="H83" t="s">
        <v>102</v>
      </c>
      <c r="I83">
        <v>12</v>
      </c>
      <c r="J83">
        <v>0</v>
      </c>
      <c r="K83">
        <v>0</v>
      </c>
      <c r="L83">
        <v>0</v>
      </c>
      <c r="N83" t="s">
        <v>918</v>
      </c>
      <c r="O83" t="s">
        <v>25</v>
      </c>
      <c r="Q83">
        <v>3</v>
      </c>
      <c r="R83" t="b">
        <v>1</v>
      </c>
      <c r="S83" t="s">
        <v>119</v>
      </c>
      <c r="T83">
        <v>0</v>
      </c>
    </row>
    <row r="84" spans="1:20" x14ac:dyDescent="0.25">
      <c r="A84" t="s">
        <v>738</v>
      </c>
      <c r="B84">
        <v>6</v>
      </c>
      <c r="C84" t="s">
        <v>19</v>
      </c>
      <c r="D84">
        <v>113</v>
      </c>
      <c r="E84">
        <v>147</v>
      </c>
      <c r="F84">
        <v>140</v>
      </c>
      <c r="G84">
        <v>150</v>
      </c>
      <c r="H84" t="s">
        <v>20</v>
      </c>
      <c r="I84">
        <v>16</v>
      </c>
      <c r="J84">
        <v>1</v>
      </c>
      <c r="K84">
        <v>0</v>
      </c>
      <c r="L84">
        <v>0</v>
      </c>
      <c r="N84" t="s">
        <v>918</v>
      </c>
      <c r="O84" t="s">
        <v>27</v>
      </c>
      <c r="Q84">
        <v>2</v>
      </c>
      <c r="R84" t="b">
        <v>0</v>
      </c>
      <c r="S84" t="s">
        <v>119</v>
      </c>
      <c r="T84">
        <v>0</v>
      </c>
    </row>
    <row r="85" spans="1:20" x14ac:dyDescent="0.25">
      <c r="A85" t="s">
        <v>739</v>
      </c>
      <c r="B85">
        <v>6</v>
      </c>
      <c r="C85" t="s">
        <v>19</v>
      </c>
      <c r="D85">
        <v>140</v>
      </c>
      <c r="E85">
        <v>147</v>
      </c>
      <c r="F85">
        <v>169</v>
      </c>
      <c r="G85">
        <v>150</v>
      </c>
      <c r="H85" t="s">
        <v>20</v>
      </c>
      <c r="I85">
        <v>16</v>
      </c>
      <c r="J85">
        <v>1</v>
      </c>
      <c r="K85">
        <v>0</v>
      </c>
      <c r="L85">
        <v>0</v>
      </c>
      <c r="N85" t="s">
        <v>918</v>
      </c>
      <c r="O85" t="s">
        <v>27</v>
      </c>
      <c r="Q85">
        <v>2</v>
      </c>
      <c r="R85" t="b">
        <v>0</v>
      </c>
      <c r="S85" t="s">
        <v>119</v>
      </c>
      <c r="T85">
        <v>0</v>
      </c>
    </row>
    <row r="86" spans="1:20" x14ac:dyDescent="0.25">
      <c r="A86" t="s">
        <v>740</v>
      </c>
      <c r="B86">
        <v>6</v>
      </c>
      <c r="C86" t="s">
        <v>19</v>
      </c>
      <c r="D86">
        <v>168</v>
      </c>
      <c r="E86">
        <v>147</v>
      </c>
      <c r="F86">
        <v>194</v>
      </c>
      <c r="G86">
        <v>150</v>
      </c>
      <c r="H86" t="s">
        <v>20</v>
      </c>
      <c r="I86">
        <v>16</v>
      </c>
      <c r="J86">
        <v>1</v>
      </c>
      <c r="K86">
        <v>0</v>
      </c>
      <c r="L86">
        <v>0</v>
      </c>
      <c r="N86" t="s">
        <v>918</v>
      </c>
      <c r="O86" t="s">
        <v>27</v>
      </c>
      <c r="Q86">
        <v>2</v>
      </c>
      <c r="R86" t="b">
        <v>0</v>
      </c>
      <c r="S86" t="s">
        <v>119</v>
      </c>
      <c r="T86">
        <v>0</v>
      </c>
    </row>
    <row r="87" spans="1:20" x14ac:dyDescent="0.25">
      <c r="A87" t="s">
        <v>741</v>
      </c>
      <c r="B87">
        <v>6</v>
      </c>
      <c r="C87" t="s">
        <v>19</v>
      </c>
      <c r="D87">
        <v>14</v>
      </c>
      <c r="E87">
        <v>162</v>
      </c>
      <c r="F87">
        <v>112</v>
      </c>
      <c r="G87">
        <v>167</v>
      </c>
      <c r="H87" t="s">
        <v>102</v>
      </c>
      <c r="I87">
        <v>12</v>
      </c>
      <c r="J87">
        <v>0</v>
      </c>
      <c r="K87">
        <v>0</v>
      </c>
      <c r="L87">
        <v>0</v>
      </c>
      <c r="N87" t="s">
        <v>918</v>
      </c>
      <c r="O87" t="s">
        <v>25</v>
      </c>
      <c r="Q87">
        <v>3</v>
      </c>
      <c r="R87" t="b">
        <v>1</v>
      </c>
      <c r="S87" t="s">
        <v>119</v>
      </c>
      <c r="T87">
        <v>0</v>
      </c>
    </row>
    <row r="88" spans="1:20" x14ac:dyDescent="0.25">
      <c r="A88" t="s">
        <v>742</v>
      </c>
      <c r="B88">
        <v>6</v>
      </c>
      <c r="C88" t="s">
        <v>19</v>
      </c>
      <c r="D88">
        <v>113</v>
      </c>
      <c r="E88">
        <v>163</v>
      </c>
      <c r="F88">
        <v>140</v>
      </c>
      <c r="G88">
        <v>166</v>
      </c>
      <c r="H88" t="s">
        <v>20</v>
      </c>
      <c r="I88">
        <v>16</v>
      </c>
      <c r="J88">
        <v>1</v>
      </c>
      <c r="K88">
        <v>0</v>
      </c>
      <c r="L88">
        <v>0</v>
      </c>
      <c r="N88" t="s">
        <v>918</v>
      </c>
      <c r="O88" t="s">
        <v>27</v>
      </c>
      <c r="Q88">
        <v>2</v>
      </c>
      <c r="R88" t="b">
        <v>0</v>
      </c>
      <c r="S88" t="s">
        <v>119</v>
      </c>
      <c r="T88">
        <v>0</v>
      </c>
    </row>
    <row r="89" spans="1:20" x14ac:dyDescent="0.25">
      <c r="A89" t="s">
        <v>743</v>
      </c>
      <c r="B89">
        <v>6</v>
      </c>
      <c r="C89" t="s">
        <v>19</v>
      </c>
      <c r="D89">
        <v>140</v>
      </c>
      <c r="E89">
        <v>163</v>
      </c>
      <c r="F89">
        <v>169</v>
      </c>
      <c r="G89">
        <v>166</v>
      </c>
      <c r="H89" t="s">
        <v>20</v>
      </c>
      <c r="I89">
        <v>16</v>
      </c>
      <c r="J89">
        <v>1</v>
      </c>
      <c r="K89">
        <v>0</v>
      </c>
      <c r="L89">
        <v>0</v>
      </c>
      <c r="N89" t="s">
        <v>918</v>
      </c>
      <c r="O89" t="s">
        <v>27</v>
      </c>
      <c r="Q89">
        <v>2</v>
      </c>
      <c r="R89" t="b">
        <v>0</v>
      </c>
      <c r="S89" t="s">
        <v>119</v>
      </c>
      <c r="T89">
        <v>0</v>
      </c>
    </row>
    <row r="90" spans="1:20" x14ac:dyDescent="0.25">
      <c r="A90" t="s">
        <v>744</v>
      </c>
      <c r="B90">
        <v>6</v>
      </c>
      <c r="C90" t="s">
        <v>19</v>
      </c>
      <c r="D90">
        <v>168</v>
      </c>
      <c r="E90">
        <v>163</v>
      </c>
      <c r="F90">
        <v>194</v>
      </c>
      <c r="G90">
        <v>166</v>
      </c>
      <c r="H90" t="s">
        <v>20</v>
      </c>
      <c r="I90">
        <v>16</v>
      </c>
      <c r="J90">
        <v>1</v>
      </c>
      <c r="K90">
        <v>0</v>
      </c>
      <c r="L90">
        <v>0</v>
      </c>
      <c r="N90" t="s">
        <v>918</v>
      </c>
      <c r="O90" t="s">
        <v>27</v>
      </c>
      <c r="Q90">
        <v>2</v>
      </c>
      <c r="R90" t="b">
        <v>0</v>
      </c>
      <c r="S90" t="s">
        <v>119</v>
      </c>
      <c r="T90">
        <v>0</v>
      </c>
    </row>
    <row r="91" spans="1:20" x14ac:dyDescent="0.25">
      <c r="A91" t="s">
        <v>745</v>
      </c>
      <c r="B91">
        <v>6</v>
      </c>
      <c r="C91" t="s">
        <v>19</v>
      </c>
      <c r="D91">
        <v>14</v>
      </c>
      <c r="E91">
        <v>178</v>
      </c>
      <c r="F91">
        <v>112</v>
      </c>
      <c r="G91">
        <v>183</v>
      </c>
      <c r="H91" t="s">
        <v>102</v>
      </c>
      <c r="I91">
        <v>12</v>
      </c>
      <c r="J91">
        <v>0</v>
      </c>
      <c r="K91">
        <v>0</v>
      </c>
      <c r="L91">
        <v>0</v>
      </c>
      <c r="N91" t="s">
        <v>918</v>
      </c>
      <c r="O91" t="s">
        <v>25</v>
      </c>
      <c r="Q91">
        <v>3</v>
      </c>
      <c r="R91" t="b">
        <v>1</v>
      </c>
      <c r="S91" t="s">
        <v>119</v>
      </c>
      <c r="T91">
        <v>0</v>
      </c>
    </row>
    <row r="92" spans="1:20" x14ac:dyDescent="0.25">
      <c r="A92" t="s">
        <v>746</v>
      </c>
      <c r="B92">
        <v>6</v>
      </c>
      <c r="C92" t="s">
        <v>19</v>
      </c>
      <c r="D92">
        <v>113</v>
      </c>
      <c r="E92">
        <v>179</v>
      </c>
      <c r="F92">
        <v>140</v>
      </c>
      <c r="G92">
        <v>182</v>
      </c>
      <c r="H92" t="s">
        <v>20</v>
      </c>
      <c r="I92">
        <v>16</v>
      </c>
      <c r="J92">
        <v>1</v>
      </c>
      <c r="K92">
        <v>0</v>
      </c>
      <c r="L92">
        <v>0</v>
      </c>
      <c r="N92" t="s">
        <v>918</v>
      </c>
      <c r="O92" t="s">
        <v>27</v>
      </c>
      <c r="Q92">
        <v>2</v>
      </c>
      <c r="R92" t="b">
        <v>0</v>
      </c>
      <c r="S92" t="s">
        <v>119</v>
      </c>
      <c r="T92">
        <v>0</v>
      </c>
    </row>
    <row r="93" spans="1:20" x14ac:dyDescent="0.25">
      <c r="A93" t="s">
        <v>747</v>
      </c>
      <c r="B93">
        <v>6</v>
      </c>
      <c r="C93" t="s">
        <v>19</v>
      </c>
      <c r="D93">
        <v>140</v>
      </c>
      <c r="E93">
        <v>179</v>
      </c>
      <c r="F93">
        <v>169</v>
      </c>
      <c r="G93">
        <v>182</v>
      </c>
      <c r="H93" t="s">
        <v>20</v>
      </c>
      <c r="I93">
        <v>16</v>
      </c>
      <c r="J93">
        <v>1</v>
      </c>
      <c r="K93">
        <v>0</v>
      </c>
      <c r="L93">
        <v>0</v>
      </c>
      <c r="N93" t="s">
        <v>918</v>
      </c>
      <c r="O93" t="s">
        <v>27</v>
      </c>
      <c r="Q93">
        <v>2</v>
      </c>
      <c r="R93" t="b">
        <v>0</v>
      </c>
      <c r="S93" t="s">
        <v>119</v>
      </c>
      <c r="T93">
        <v>0</v>
      </c>
    </row>
    <row r="94" spans="1:20" x14ac:dyDescent="0.25">
      <c r="A94" t="s">
        <v>748</v>
      </c>
      <c r="B94">
        <v>6</v>
      </c>
      <c r="C94" t="s">
        <v>19</v>
      </c>
      <c r="D94">
        <v>168</v>
      </c>
      <c r="E94">
        <v>179</v>
      </c>
      <c r="F94">
        <v>194</v>
      </c>
      <c r="G94">
        <v>182</v>
      </c>
      <c r="H94" t="s">
        <v>20</v>
      </c>
      <c r="I94">
        <v>16</v>
      </c>
      <c r="J94">
        <v>1</v>
      </c>
      <c r="K94">
        <v>0</v>
      </c>
      <c r="L94">
        <v>0</v>
      </c>
      <c r="N94" t="s">
        <v>918</v>
      </c>
      <c r="O94" t="s">
        <v>27</v>
      </c>
      <c r="Q94">
        <v>2</v>
      </c>
      <c r="R94" t="b">
        <v>0</v>
      </c>
      <c r="S94" t="s">
        <v>119</v>
      </c>
      <c r="T94">
        <v>0</v>
      </c>
    </row>
    <row r="95" spans="1:20" x14ac:dyDescent="0.25">
      <c r="A95" t="s">
        <v>827</v>
      </c>
      <c r="B95">
        <v>-999</v>
      </c>
      <c r="C95" t="s">
        <v>19</v>
      </c>
      <c r="D95">
        <v>127</v>
      </c>
      <c r="E95">
        <v>13</v>
      </c>
      <c r="F95">
        <v>205</v>
      </c>
      <c r="G95">
        <v>18</v>
      </c>
      <c r="H95" t="s">
        <v>102</v>
      </c>
      <c r="I95">
        <v>14</v>
      </c>
      <c r="J95">
        <v>1</v>
      </c>
      <c r="K95">
        <v>0</v>
      </c>
      <c r="L95">
        <v>0</v>
      </c>
      <c r="N95" t="s">
        <v>21</v>
      </c>
      <c r="O95" t="s">
        <v>25</v>
      </c>
      <c r="Q95">
        <v>2</v>
      </c>
      <c r="R95" t="b">
        <v>1</v>
      </c>
      <c r="S95" t="s">
        <v>119</v>
      </c>
      <c r="T95">
        <v>0</v>
      </c>
    </row>
    <row r="96" spans="1:20" x14ac:dyDescent="0.25">
      <c r="A96" t="s">
        <v>32</v>
      </c>
      <c r="B96">
        <v>6</v>
      </c>
      <c r="C96" t="s">
        <v>19</v>
      </c>
      <c r="D96">
        <v>14</v>
      </c>
      <c r="E96">
        <v>215</v>
      </c>
      <c r="F96">
        <v>196</v>
      </c>
      <c r="G96">
        <v>220</v>
      </c>
      <c r="H96" t="s">
        <v>102</v>
      </c>
      <c r="I96">
        <v>14</v>
      </c>
      <c r="J96">
        <v>1</v>
      </c>
      <c r="K96">
        <v>0</v>
      </c>
      <c r="L96">
        <v>0</v>
      </c>
      <c r="N96" t="s">
        <v>21</v>
      </c>
      <c r="O96" t="s">
        <v>25</v>
      </c>
      <c r="Q96">
        <v>3</v>
      </c>
      <c r="R96" t="b">
        <v>1</v>
      </c>
      <c r="S96" t="s">
        <v>119</v>
      </c>
      <c r="T96">
        <v>0</v>
      </c>
    </row>
    <row r="97" spans="1:20" x14ac:dyDescent="0.25">
      <c r="A97" t="s">
        <v>42</v>
      </c>
      <c r="B97">
        <v>6</v>
      </c>
      <c r="C97" t="s">
        <v>19</v>
      </c>
      <c r="D97">
        <v>14</v>
      </c>
      <c r="E97">
        <v>228</v>
      </c>
      <c r="F97">
        <v>196</v>
      </c>
      <c r="G97">
        <v>233</v>
      </c>
      <c r="H97" t="s">
        <v>102</v>
      </c>
      <c r="I97">
        <v>12</v>
      </c>
      <c r="J97">
        <v>0</v>
      </c>
      <c r="K97">
        <v>0</v>
      </c>
      <c r="L97">
        <v>0</v>
      </c>
      <c r="N97" t="s">
        <v>21</v>
      </c>
      <c r="O97" t="s">
        <v>25</v>
      </c>
      <c r="P97" s="1"/>
      <c r="Q97">
        <v>1</v>
      </c>
      <c r="R97" t="b">
        <v>1</v>
      </c>
      <c r="S97" t="s">
        <v>119</v>
      </c>
      <c r="T97">
        <v>0</v>
      </c>
    </row>
    <row r="98" spans="1:20" x14ac:dyDescent="0.25">
      <c r="A98" t="s">
        <v>820</v>
      </c>
      <c r="B98">
        <v>7</v>
      </c>
      <c r="C98" t="s">
        <v>26</v>
      </c>
      <c r="D98">
        <v>0</v>
      </c>
      <c r="E98">
        <v>30</v>
      </c>
      <c r="F98">
        <v>210</v>
      </c>
      <c r="G98">
        <v>267</v>
      </c>
      <c r="I98">
        <v>0</v>
      </c>
      <c r="J98">
        <v>1</v>
      </c>
      <c r="K98">
        <v>0</v>
      </c>
      <c r="L98">
        <v>0</v>
      </c>
      <c r="M98" t="s">
        <v>665</v>
      </c>
      <c r="N98" t="s">
        <v>918</v>
      </c>
      <c r="O98" t="s">
        <v>25</v>
      </c>
      <c r="Q98">
        <v>2</v>
      </c>
      <c r="R98" t="b">
        <v>0</v>
      </c>
      <c r="S98" t="s">
        <v>119</v>
      </c>
      <c r="T98">
        <v>0</v>
      </c>
    </row>
    <row r="99" spans="1:20" x14ac:dyDescent="0.25">
      <c r="A99" t="s">
        <v>771</v>
      </c>
      <c r="B99">
        <v>7</v>
      </c>
      <c r="C99" t="s">
        <v>19</v>
      </c>
      <c r="D99">
        <v>14</v>
      </c>
      <c r="E99">
        <v>20</v>
      </c>
      <c r="F99">
        <v>196</v>
      </c>
      <c r="G99">
        <v>25</v>
      </c>
      <c r="H99" t="s">
        <v>102</v>
      </c>
      <c r="I99">
        <v>12</v>
      </c>
      <c r="J99">
        <v>1</v>
      </c>
      <c r="K99">
        <v>0</v>
      </c>
      <c r="L99">
        <v>0</v>
      </c>
      <c r="N99" t="s">
        <v>21</v>
      </c>
      <c r="O99" t="s">
        <v>25</v>
      </c>
      <c r="Q99">
        <v>3</v>
      </c>
      <c r="R99" t="b">
        <v>1</v>
      </c>
      <c r="S99" t="s">
        <v>119</v>
      </c>
      <c r="T99">
        <v>0</v>
      </c>
    </row>
    <row r="100" spans="1:20" x14ac:dyDescent="0.25">
      <c r="A100" t="s">
        <v>774</v>
      </c>
      <c r="B100">
        <v>7</v>
      </c>
      <c r="C100" t="s">
        <v>19</v>
      </c>
      <c r="D100">
        <v>113</v>
      </c>
      <c r="E100">
        <v>32</v>
      </c>
      <c r="F100">
        <v>140</v>
      </c>
      <c r="G100">
        <v>37</v>
      </c>
      <c r="H100" t="s">
        <v>102</v>
      </c>
      <c r="I100">
        <v>10</v>
      </c>
      <c r="J100">
        <v>1</v>
      </c>
      <c r="K100">
        <v>0</v>
      </c>
      <c r="L100">
        <v>0</v>
      </c>
      <c r="N100" t="s">
        <v>918</v>
      </c>
      <c r="O100" t="s">
        <v>27</v>
      </c>
      <c r="Q100">
        <v>3</v>
      </c>
      <c r="R100" t="b">
        <v>1</v>
      </c>
      <c r="S100" t="s">
        <v>119</v>
      </c>
      <c r="T100">
        <v>0</v>
      </c>
    </row>
    <row r="101" spans="1:20" x14ac:dyDescent="0.25">
      <c r="A101" t="s">
        <v>775</v>
      </c>
      <c r="B101">
        <v>7</v>
      </c>
      <c r="C101" t="s">
        <v>19</v>
      </c>
      <c r="D101">
        <v>140</v>
      </c>
      <c r="E101">
        <v>32</v>
      </c>
      <c r="F101">
        <v>169</v>
      </c>
      <c r="G101">
        <v>37</v>
      </c>
      <c r="H101" t="s">
        <v>102</v>
      </c>
      <c r="I101">
        <v>10</v>
      </c>
      <c r="J101">
        <v>1</v>
      </c>
      <c r="K101">
        <v>0</v>
      </c>
      <c r="L101">
        <v>0</v>
      </c>
      <c r="N101" t="s">
        <v>918</v>
      </c>
      <c r="O101" t="s">
        <v>27</v>
      </c>
      <c r="Q101">
        <v>3</v>
      </c>
      <c r="R101" t="b">
        <v>1</v>
      </c>
      <c r="S101" t="s">
        <v>119</v>
      </c>
      <c r="T101">
        <v>0</v>
      </c>
    </row>
    <row r="102" spans="1:20" x14ac:dyDescent="0.25">
      <c r="A102" t="s">
        <v>776</v>
      </c>
      <c r="B102">
        <v>7</v>
      </c>
      <c r="C102" t="s">
        <v>19</v>
      </c>
      <c r="D102">
        <v>168</v>
      </c>
      <c r="E102">
        <v>32</v>
      </c>
      <c r="F102">
        <v>194</v>
      </c>
      <c r="G102">
        <v>37</v>
      </c>
      <c r="H102" t="s">
        <v>102</v>
      </c>
      <c r="I102">
        <v>10</v>
      </c>
      <c r="J102">
        <v>1</v>
      </c>
      <c r="K102">
        <v>0</v>
      </c>
      <c r="L102">
        <v>0</v>
      </c>
      <c r="N102" t="s">
        <v>918</v>
      </c>
      <c r="O102" t="s">
        <v>27</v>
      </c>
      <c r="Q102">
        <v>3</v>
      </c>
      <c r="R102" t="b">
        <v>1</v>
      </c>
      <c r="S102" t="s">
        <v>119</v>
      </c>
      <c r="T102">
        <v>0</v>
      </c>
    </row>
    <row r="103" spans="1:20" x14ac:dyDescent="0.25">
      <c r="A103" t="s">
        <v>44</v>
      </c>
      <c r="B103">
        <v>7</v>
      </c>
      <c r="C103" t="s">
        <v>25</v>
      </c>
      <c r="D103">
        <v>114</v>
      </c>
      <c r="E103">
        <v>30</v>
      </c>
      <c r="F103">
        <v>114</v>
      </c>
      <c r="G103">
        <v>267</v>
      </c>
      <c r="I103">
        <v>0.5</v>
      </c>
      <c r="J103">
        <v>0</v>
      </c>
      <c r="K103">
        <v>0</v>
      </c>
      <c r="L103">
        <v>0</v>
      </c>
      <c r="M103" t="s">
        <v>21</v>
      </c>
      <c r="N103" t="s">
        <v>918</v>
      </c>
      <c r="O103" t="s">
        <v>25</v>
      </c>
      <c r="Q103">
        <v>4</v>
      </c>
      <c r="R103" t="b">
        <v>0</v>
      </c>
      <c r="S103" t="s">
        <v>119</v>
      </c>
      <c r="T103">
        <v>0</v>
      </c>
    </row>
    <row r="104" spans="1:20" x14ac:dyDescent="0.25">
      <c r="A104" t="s">
        <v>45</v>
      </c>
      <c r="B104">
        <v>7</v>
      </c>
      <c r="C104" t="s">
        <v>25</v>
      </c>
      <c r="D104">
        <v>141</v>
      </c>
      <c r="E104">
        <v>30</v>
      </c>
      <c r="F104">
        <v>141</v>
      </c>
      <c r="G104">
        <v>267</v>
      </c>
      <c r="I104">
        <v>0.5</v>
      </c>
      <c r="J104">
        <v>0</v>
      </c>
      <c r="K104">
        <v>0</v>
      </c>
      <c r="L104">
        <v>0</v>
      </c>
      <c r="M104" t="s">
        <v>21</v>
      </c>
      <c r="N104" t="s">
        <v>918</v>
      </c>
      <c r="O104" t="s">
        <v>25</v>
      </c>
      <c r="Q104">
        <v>4</v>
      </c>
      <c r="R104" t="b">
        <v>0</v>
      </c>
      <c r="S104" t="s">
        <v>119</v>
      </c>
      <c r="T104">
        <v>0</v>
      </c>
    </row>
    <row r="105" spans="1:20" x14ac:dyDescent="0.25">
      <c r="A105" t="s">
        <v>46</v>
      </c>
      <c r="B105">
        <v>7</v>
      </c>
      <c r="C105" t="s">
        <v>25</v>
      </c>
      <c r="D105">
        <v>168</v>
      </c>
      <c r="E105">
        <v>30</v>
      </c>
      <c r="F105">
        <v>168</v>
      </c>
      <c r="G105">
        <v>267</v>
      </c>
      <c r="I105">
        <v>0.5</v>
      </c>
      <c r="J105">
        <v>0</v>
      </c>
      <c r="K105">
        <v>0</v>
      </c>
      <c r="L105">
        <v>0</v>
      </c>
      <c r="M105" t="s">
        <v>21</v>
      </c>
      <c r="N105" t="s">
        <v>918</v>
      </c>
      <c r="O105" t="s">
        <v>25</v>
      </c>
      <c r="Q105">
        <v>4</v>
      </c>
      <c r="R105" t="b">
        <v>0</v>
      </c>
      <c r="S105" t="s">
        <v>119</v>
      </c>
      <c r="T105">
        <v>0</v>
      </c>
    </row>
    <row r="106" spans="1:20" x14ac:dyDescent="0.25">
      <c r="A106" t="s">
        <v>55</v>
      </c>
      <c r="B106">
        <v>7</v>
      </c>
      <c r="C106" t="s">
        <v>25</v>
      </c>
      <c r="D106">
        <v>14</v>
      </c>
      <c r="E106">
        <v>57</v>
      </c>
      <c r="F106">
        <v>196</v>
      </c>
      <c r="G106">
        <v>57</v>
      </c>
      <c r="I106">
        <v>0.5</v>
      </c>
      <c r="J106">
        <v>0</v>
      </c>
      <c r="K106">
        <v>0</v>
      </c>
      <c r="L106">
        <v>0</v>
      </c>
      <c r="M106" t="s">
        <v>21</v>
      </c>
      <c r="N106" t="s">
        <v>918</v>
      </c>
      <c r="O106" t="s">
        <v>25</v>
      </c>
      <c r="Q106">
        <v>4</v>
      </c>
      <c r="R106" t="b">
        <v>0</v>
      </c>
      <c r="S106" t="s">
        <v>119</v>
      </c>
      <c r="T106">
        <v>0</v>
      </c>
    </row>
    <row r="107" spans="1:20" x14ac:dyDescent="0.25">
      <c r="A107" t="s">
        <v>920</v>
      </c>
      <c r="B107">
        <v>7</v>
      </c>
      <c r="C107" t="s">
        <v>19</v>
      </c>
      <c r="D107">
        <v>114</v>
      </c>
      <c r="E107">
        <v>269</v>
      </c>
      <c r="F107">
        <v>196</v>
      </c>
      <c r="G107">
        <v>273</v>
      </c>
      <c r="H107" t="s">
        <v>102</v>
      </c>
      <c r="I107">
        <v>10</v>
      </c>
      <c r="J107">
        <v>0</v>
      </c>
      <c r="K107">
        <v>0</v>
      </c>
      <c r="L107">
        <v>0</v>
      </c>
      <c r="N107" t="s">
        <v>21</v>
      </c>
      <c r="O107" t="s">
        <v>22</v>
      </c>
      <c r="Q107">
        <v>2</v>
      </c>
      <c r="R107" t="b">
        <v>0</v>
      </c>
      <c r="S107" t="s">
        <v>119</v>
      </c>
      <c r="T107">
        <v>0</v>
      </c>
    </row>
    <row r="108" spans="1:20" x14ac:dyDescent="0.25">
      <c r="A108" t="s">
        <v>749</v>
      </c>
      <c r="B108">
        <v>7</v>
      </c>
      <c r="C108" t="s">
        <v>19</v>
      </c>
      <c r="D108">
        <v>14</v>
      </c>
      <c r="E108">
        <v>59</v>
      </c>
      <c r="F108">
        <v>112</v>
      </c>
      <c r="G108">
        <v>64</v>
      </c>
      <c r="H108" t="s">
        <v>102</v>
      </c>
      <c r="I108">
        <v>12</v>
      </c>
      <c r="J108">
        <v>0</v>
      </c>
      <c r="K108">
        <v>0</v>
      </c>
      <c r="L108">
        <v>0</v>
      </c>
      <c r="N108" t="s">
        <v>918</v>
      </c>
      <c r="O108" t="s">
        <v>25</v>
      </c>
      <c r="Q108">
        <v>3</v>
      </c>
      <c r="R108" t="b">
        <v>1</v>
      </c>
      <c r="S108" t="s">
        <v>119</v>
      </c>
      <c r="T108">
        <v>0</v>
      </c>
    </row>
    <row r="109" spans="1:20" x14ac:dyDescent="0.25">
      <c r="A109" t="s">
        <v>750</v>
      </c>
      <c r="B109">
        <v>7</v>
      </c>
      <c r="C109" t="s">
        <v>19</v>
      </c>
      <c r="D109">
        <v>113</v>
      </c>
      <c r="E109">
        <v>60</v>
      </c>
      <c r="F109">
        <v>140</v>
      </c>
      <c r="G109">
        <v>63</v>
      </c>
      <c r="H109" t="s">
        <v>20</v>
      </c>
      <c r="I109">
        <v>16</v>
      </c>
      <c r="J109">
        <v>1</v>
      </c>
      <c r="K109">
        <v>0</v>
      </c>
      <c r="L109">
        <v>0</v>
      </c>
      <c r="N109" t="s">
        <v>918</v>
      </c>
      <c r="O109" t="s">
        <v>27</v>
      </c>
      <c r="Q109">
        <v>2</v>
      </c>
      <c r="R109" t="b">
        <v>0</v>
      </c>
      <c r="S109" t="s">
        <v>119</v>
      </c>
      <c r="T109">
        <v>0</v>
      </c>
    </row>
    <row r="110" spans="1:20" x14ac:dyDescent="0.25">
      <c r="A110" t="s">
        <v>751</v>
      </c>
      <c r="B110">
        <v>7</v>
      </c>
      <c r="C110" t="s">
        <v>19</v>
      </c>
      <c r="D110">
        <v>140</v>
      </c>
      <c r="E110">
        <v>60</v>
      </c>
      <c r="F110">
        <v>169</v>
      </c>
      <c r="G110">
        <v>63</v>
      </c>
      <c r="H110" t="s">
        <v>20</v>
      </c>
      <c r="I110">
        <v>16</v>
      </c>
      <c r="J110">
        <v>1</v>
      </c>
      <c r="K110">
        <v>0</v>
      </c>
      <c r="L110">
        <v>0</v>
      </c>
      <c r="N110" t="s">
        <v>918</v>
      </c>
      <c r="O110" t="s">
        <v>27</v>
      </c>
      <c r="Q110">
        <v>2</v>
      </c>
      <c r="R110" t="b">
        <v>0</v>
      </c>
      <c r="S110" t="s">
        <v>119</v>
      </c>
      <c r="T110">
        <v>0</v>
      </c>
    </row>
    <row r="111" spans="1:20" x14ac:dyDescent="0.25">
      <c r="A111" t="s">
        <v>752</v>
      </c>
      <c r="B111">
        <v>7</v>
      </c>
      <c r="C111" t="s">
        <v>19</v>
      </c>
      <c r="D111">
        <v>168</v>
      </c>
      <c r="E111">
        <v>60</v>
      </c>
      <c r="F111">
        <v>194</v>
      </c>
      <c r="G111">
        <v>63</v>
      </c>
      <c r="H111" t="s">
        <v>20</v>
      </c>
      <c r="I111">
        <v>16</v>
      </c>
      <c r="J111">
        <v>1</v>
      </c>
      <c r="K111">
        <v>0</v>
      </c>
      <c r="L111">
        <v>0</v>
      </c>
      <c r="N111" t="s">
        <v>918</v>
      </c>
      <c r="O111" t="s">
        <v>27</v>
      </c>
      <c r="Q111">
        <v>2</v>
      </c>
      <c r="R111" t="b">
        <v>0</v>
      </c>
      <c r="S111" t="s">
        <v>119</v>
      </c>
      <c r="T111">
        <v>0</v>
      </c>
    </row>
    <row r="112" spans="1:20" x14ac:dyDescent="0.25">
      <c r="A112" t="s">
        <v>753</v>
      </c>
      <c r="B112">
        <v>7</v>
      </c>
      <c r="C112" t="s">
        <v>19</v>
      </c>
      <c r="D112">
        <v>14</v>
      </c>
      <c r="E112">
        <v>71</v>
      </c>
      <c r="F112">
        <v>112</v>
      </c>
      <c r="G112">
        <v>76</v>
      </c>
      <c r="H112" t="s">
        <v>102</v>
      </c>
      <c r="I112">
        <v>12</v>
      </c>
      <c r="J112">
        <v>0</v>
      </c>
      <c r="K112">
        <v>0</v>
      </c>
      <c r="L112">
        <v>0</v>
      </c>
      <c r="N112" t="s">
        <v>918</v>
      </c>
      <c r="O112" t="s">
        <v>25</v>
      </c>
      <c r="Q112">
        <v>3</v>
      </c>
      <c r="R112" t="b">
        <v>1</v>
      </c>
      <c r="S112" t="s">
        <v>119</v>
      </c>
      <c r="T112">
        <v>0</v>
      </c>
    </row>
    <row r="113" spans="1:20" x14ac:dyDescent="0.25">
      <c r="A113" t="s">
        <v>754</v>
      </c>
      <c r="B113">
        <v>7</v>
      </c>
      <c r="C113" t="s">
        <v>19</v>
      </c>
      <c r="D113">
        <v>113</v>
      </c>
      <c r="E113">
        <v>72</v>
      </c>
      <c r="F113">
        <v>140</v>
      </c>
      <c r="G113">
        <v>75</v>
      </c>
      <c r="H113" t="s">
        <v>20</v>
      </c>
      <c r="I113">
        <v>16</v>
      </c>
      <c r="J113">
        <v>1</v>
      </c>
      <c r="K113">
        <v>0</v>
      </c>
      <c r="L113">
        <v>0</v>
      </c>
      <c r="N113" t="s">
        <v>918</v>
      </c>
      <c r="O113" t="s">
        <v>27</v>
      </c>
      <c r="Q113">
        <v>2</v>
      </c>
      <c r="R113" t="b">
        <v>0</v>
      </c>
      <c r="S113" t="s">
        <v>119</v>
      </c>
      <c r="T113">
        <v>0</v>
      </c>
    </row>
    <row r="114" spans="1:20" x14ac:dyDescent="0.25">
      <c r="A114" t="s">
        <v>755</v>
      </c>
      <c r="B114">
        <v>7</v>
      </c>
      <c r="C114" t="s">
        <v>19</v>
      </c>
      <c r="D114">
        <v>140</v>
      </c>
      <c r="E114">
        <v>72</v>
      </c>
      <c r="F114">
        <v>169</v>
      </c>
      <c r="G114">
        <v>75</v>
      </c>
      <c r="H114" t="s">
        <v>20</v>
      </c>
      <c r="I114">
        <v>16</v>
      </c>
      <c r="J114">
        <v>1</v>
      </c>
      <c r="K114">
        <v>0</v>
      </c>
      <c r="L114">
        <v>0</v>
      </c>
      <c r="N114" t="s">
        <v>918</v>
      </c>
      <c r="O114" t="s">
        <v>27</v>
      </c>
      <c r="Q114">
        <v>2</v>
      </c>
      <c r="R114" t="b">
        <v>0</v>
      </c>
      <c r="S114" t="s">
        <v>119</v>
      </c>
      <c r="T114">
        <v>0</v>
      </c>
    </row>
    <row r="115" spans="1:20" x14ac:dyDescent="0.25">
      <c r="A115" t="s">
        <v>756</v>
      </c>
      <c r="B115">
        <v>7</v>
      </c>
      <c r="C115" t="s">
        <v>19</v>
      </c>
      <c r="D115">
        <v>168</v>
      </c>
      <c r="E115">
        <v>72</v>
      </c>
      <c r="F115">
        <v>194</v>
      </c>
      <c r="G115">
        <v>75</v>
      </c>
      <c r="H115" t="s">
        <v>20</v>
      </c>
      <c r="I115">
        <v>16</v>
      </c>
      <c r="J115">
        <v>1</v>
      </c>
      <c r="K115">
        <v>0</v>
      </c>
      <c r="L115">
        <v>0</v>
      </c>
      <c r="N115" t="s">
        <v>918</v>
      </c>
      <c r="O115" t="s">
        <v>27</v>
      </c>
      <c r="Q115">
        <v>2</v>
      </c>
      <c r="R115" t="b">
        <v>0</v>
      </c>
      <c r="S115" t="s">
        <v>119</v>
      </c>
      <c r="T115">
        <v>0</v>
      </c>
    </row>
    <row r="116" spans="1:20" x14ac:dyDescent="0.25">
      <c r="A116" t="s">
        <v>757</v>
      </c>
      <c r="B116">
        <v>7</v>
      </c>
      <c r="C116" t="s">
        <v>19</v>
      </c>
      <c r="D116">
        <v>14</v>
      </c>
      <c r="E116">
        <v>83</v>
      </c>
      <c r="F116">
        <v>112</v>
      </c>
      <c r="G116">
        <v>88</v>
      </c>
      <c r="H116" t="s">
        <v>102</v>
      </c>
      <c r="I116">
        <v>12</v>
      </c>
      <c r="J116">
        <v>0</v>
      </c>
      <c r="K116">
        <v>0</v>
      </c>
      <c r="L116">
        <v>0</v>
      </c>
      <c r="N116" t="s">
        <v>918</v>
      </c>
      <c r="O116" t="s">
        <v>25</v>
      </c>
      <c r="Q116">
        <v>3</v>
      </c>
      <c r="R116" t="b">
        <v>1</v>
      </c>
      <c r="S116" t="s">
        <v>119</v>
      </c>
      <c r="T116">
        <v>0</v>
      </c>
    </row>
    <row r="117" spans="1:20" x14ac:dyDescent="0.25">
      <c r="A117" t="s">
        <v>758</v>
      </c>
      <c r="B117">
        <v>7</v>
      </c>
      <c r="C117" t="s">
        <v>19</v>
      </c>
      <c r="D117">
        <v>113</v>
      </c>
      <c r="E117">
        <v>84</v>
      </c>
      <c r="F117">
        <v>140</v>
      </c>
      <c r="G117">
        <v>87</v>
      </c>
      <c r="H117" t="s">
        <v>20</v>
      </c>
      <c r="I117">
        <v>16</v>
      </c>
      <c r="J117">
        <v>1</v>
      </c>
      <c r="K117">
        <v>0</v>
      </c>
      <c r="L117">
        <v>0</v>
      </c>
      <c r="N117" t="s">
        <v>918</v>
      </c>
      <c r="O117" t="s">
        <v>27</v>
      </c>
      <c r="Q117">
        <v>2</v>
      </c>
      <c r="R117" t="b">
        <v>0</v>
      </c>
      <c r="S117" t="s">
        <v>119</v>
      </c>
      <c r="T117">
        <v>0</v>
      </c>
    </row>
    <row r="118" spans="1:20" x14ac:dyDescent="0.25">
      <c r="A118" t="s">
        <v>759</v>
      </c>
      <c r="B118">
        <v>7</v>
      </c>
      <c r="C118" t="s">
        <v>19</v>
      </c>
      <c r="D118">
        <v>140</v>
      </c>
      <c r="E118">
        <v>84</v>
      </c>
      <c r="F118">
        <v>169</v>
      </c>
      <c r="G118">
        <v>87</v>
      </c>
      <c r="H118" t="s">
        <v>20</v>
      </c>
      <c r="I118">
        <v>16</v>
      </c>
      <c r="J118">
        <v>1</v>
      </c>
      <c r="K118">
        <v>0</v>
      </c>
      <c r="L118">
        <v>0</v>
      </c>
      <c r="N118" t="s">
        <v>918</v>
      </c>
      <c r="O118" t="s">
        <v>27</v>
      </c>
      <c r="Q118">
        <v>2</v>
      </c>
      <c r="R118" t="b">
        <v>0</v>
      </c>
      <c r="S118" t="s">
        <v>119</v>
      </c>
      <c r="T118">
        <v>0</v>
      </c>
    </row>
    <row r="119" spans="1:20" x14ac:dyDescent="0.25">
      <c r="A119" t="s">
        <v>760</v>
      </c>
      <c r="B119">
        <v>7</v>
      </c>
      <c r="C119" t="s">
        <v>19</v>
      </c>
      <c r="D119">
        <v>168</v>
      </c>
      <c r="E119">
        <v>84</v>
      </c>
      <c r="F119">
        <v>194</v>
      </c>
      <c r="G119">
        <v>87</v>
      </c>
      <c r="H119" t="s">
        <v>20</v>
      </c>
      <c r="I119">
        <v>16</v>
      </c>
      <c r="J119">
        <v>1</v>
      </c>
      <c r="K119">
        <v>0</v>
      </c>
      <c r="L119">
        <v>0</v>
      </c>
      <c r="N119" t="s">
        <v>918</v>
      </c>
      <c r="O119" t="s">
        <v>27</v>
      </c>
      <c r="Q119">
        <v>2</v>
      </c>
      <c r="R119" t="b">
        <v>0</v>
      </c>
      <c r="S119" t="s">
        <v>119</v>
      </c>
      <c r="T119">
        <v>0</v>
      </c>
    </row>
    <row r="120" spans="1:20" x14ac:dyDescent="0.25">
      <c r="A120" t="s">
        <v>761</v>
      </c>
      <c r="B120">
        <v>7</v>
      </c>
      <c r="C120" t="s">
        <v>19</v>
      </c>
      <c r="D120">
        <v>14</v>
      </c>
      <c r="E120">
        <v>95</v>
      </c>
      <c r="F120">
        <v>112</v>
      </c>
      <c r="G120">
        <v>100</v>
      </c>
      <c r="H120" t="s">
        <v>102</v>
      </c>
      <c r="I120">
        <v>12</v>
      </c>
      <c r="J120">
        <v>0</v>
      </c>
      <c r="K120">
        <v>0</v>
      </c>
      <c r="L120">
        <v>0</v>
      </c>
      <c r="N120" t="s">
        <v>918</v>
      </c>
      <c r="O120" t="s">
        <v>25</v>
      </c>
      <c r="Q120">
        <v>3</v>
      </c>
      <c r="R120" t="b">
        <v>1</v>
      </c>
      <c r="S120" t="s">
        <v>119</v>
      </c>
      <c r="T120">
        <v>0</v>
      </c>
    </row>
    <row r="121" spans="1:20" x14ac:dyDescent="0.25">
      <c r="A121" t="s">
        <v>762</v>
      </c>
      <c r="B121">
        <v>7</v>
      </c>
      <c r="C121" t="s">
        <v>19</v>
      </c>
      <c r="D121">
        <v>113</v>
      </c>
      <c r="E121">
        <v>96</v>
      </c>
      <c r="F121">
        <v>140</v>
      </c>
      <c r="G121">
        <v>99</v>
      </c>
      <c r="H121" t="s">
        <v>20</v>
      </c>
      <c r="I121">
        <v>16</v>
      </c>
      <c r="J121">
        <v>1</v>
      </c>
      <c r="K121">
        <v>0</v>
      </c>
      <c r="L121">
        <v>0</v>
      </c>
      <c r="N121" t="s">
        <v>918</v>
      </c>
      <c r="O121" t="s">
        <v>27</v>
      </c>
      <c r="Q121">
        <v>2</v>
      </c>
      <c r="R121" t="b">
        <v>0</v>
      </c>
      <c r="S121" t="s">
        <v>119</v>
      </c>
      <c r="T121">
        <v>0</v>
      </c>
    </row>
    <row r="122" spans="1:20" x14ac:dyDescent="0.25">
      <c r="A122" t="s">
        <v>763</v>
      </c>
      <c r="B122">
        <v>7</v>
      </c>
      <c r="C122" t="s">
        <v>19</v>
      </c>
      <c r="D122">
        <v>140</v>
      </c>
      <c r="E122">
        <v>96</v>
      </c>
      <c r="F122">
        <v>169</v>
      </c>
      <c r="G122">
        <v>99</v>
      </c>
      <c r="H122" t="s">
        <v>20</v>
      </c>
      <c r="I122">
        <v>16</v>
      </c>
      <c r="J122">
        <v>1</v>
      </c>
      <c r="K122">
        <v>0</v>
      </c>
      <c r="L122">
        <v>0</v>
      </c>
      <c r="N122" t="s">
        <v>918</v>
      </c>
      <c r="O122" t="s">
        <v>27</v>
      </c>
      <c r="Q122">
        <v>2</v>
      </c>
      <c r="R122" t="b">
        <v>0</v>
      </c>
      <c r="S122" t="s">
        <v>119</v>
      </c>
      <c r="T122">
        <v>0</v>
      </c>
    </row>
    <row r="123" spans="1:20" x14ac:dyDescent="0.25">
      <c r="A123" t="s">
        <v>764</v>
      </c>
      <c r="B123">
        <v>7</v>
      </c>
      <c r="C123" t="s">
        <v>19</v>
      </c>
      <c r="D123">
        <v>168</v>
      </c>
      <c r="E123">
        <v>96</v>
      </c>
      <c r="F123">
        <v>194</v>
      </c>
      <c r="G123">
        <v>99</v>
      </c>
      <c r="H123" t="s">
        <v>20</v>
      </c>
      <c r="I123">
        <v>16</v>
      </c>
      <c r="J123">
        <v>1</v>
      </c>
      <c r="K123">
        <v>0</v>
      </c>
      <c r="L123">
        <v>0</v>
      </c>
      <c r="N123" t="s">
        <v>918</v>
      </c>
      <c r="O123" t="s">
        <v>27</v>
      </c>
      <c r="Q123">
        <v>2</v>
      </c>
      <c r="R123" t="b">
        <v>0</v>
      </c>
      <c r="S123" t="s">
        <v>119</v>
      </c>
      <c r="T123">
        <v>0</v>
      </c>
    </row>
    <row r="124" spans="1:20" x14ac:dyDescent="0.25">
      <c r="A124" t="s">
        <v>808</v>
      </c>
      <c r="B124">
        <v>7</v>
      </c>
      <c r="C124" t="s">
        <v>19</v>
      </c>
      <c r="D124">
        <v>14</v>
      </c>
      <c r="E124">
        <v>107</v>
      </c>
      <c r="F124">
        <v>112</v>
      </c>
      <c r="G124">
        <v>112</v>
      </c>
      <c r="H124" t="s">
        <v>102</v>
      </c>
      <c r="I124">
        <v>12</v>
      </c>
      <c r="J124">
        <v>0</v>
      </c>
      <c r="K124">
        <v>0</v>
      </c>
      <c r="L124">
        <v>0</v>
      </c>
      <c r="N124" t="s">
        <v>918</v>
      </c>
      <c r="O124" t="s">
        <v>25</v>
      </c>
      <c r="Q124">
        <v>3</v>
      </c>
      <c r="R124" t="b">
        <v>1</v>
      </c>
      <c r="S124" t="s">
        <v>119</v>
      </c>
      <c r="T124">
        <v>0</v>
      </c>
    </row>
    <row r="125" spans="1:20" x14ac:dyDescent="0.25">
      <c r="A125" t="s">
        <v>809</v>
      </c>
      <c r="B125">
        <v>7</v>
      </c>
      <c r="C125" t="s">
        <v>19</v>
      </c>
      <c r="D125">
        <v>113</v>
      </c>
      <c r="E125">
        <v>108</v>
      </c>
      <c r="F125">
        <v>140</v>
      </c>
      <c r="G125">
        <v>111</v>
      </c>
      <c r="H125" t="s">
        <v>20</v>
      </c>
      <c r="I125">
        <v>16</v>
      </c>
      <c r="J125">
        <v>1</v>
      </c>
      <c r="K125">
        <v>0</v>
      </c>
      <c r="L125">
        <v>0</v>
      </c>
      <c r="N125" t="s">
        <v>918</v>
      </c>
      <c r="O125" t="s">
        <v>27</v>
      </c>
      <c r="Q125">
        <v>2</v>
      </c>
      <c r="R125" t="b">
        <v>0</v>
      </c>
      <c r="S125" t="s">
        <v>119</v>
      </c>
      <c r="T125">
        <v>0</v>
      </c>
    </row>
    <row r="126" spans="1:20" x14ac:dyDescent="0.25">
      <c r="A126" t="s">
        <v>810</v>
      </c>
      <c r="B126">
        <v>7</v>
      </c>
      <c r="C126" t="s">
        <v>19</v>
      </c>
      <c r="D126">
        <v>140</v>
      </c>
      <c r="E126">
        <v>108</v>
      </c>
      <c r="F126">
        <v>169</v>
      </c>
      <c r="G126">
        <v>111</v>
      </c>
      <c r="H126" t="s">
        <v>20</v>
      </c>
      <c r="I126">
        <v>16</v>
      </c>
      <c r="J126">
        <v>1</v>
      </c>
      <c r="K126">
        <v>0</v>
      </c>
      <c r="L126">
        <v>0</v>
      </c>
      <c r="N126" t="s">
        <v>918</v>
      </c>
      <c r="O126" t="s">
        <v>27</v>
      </c>
      <c r="Q126">
        <v>2</v>
      </c>
      <c r="R126" t="b">
        <v>0</v>
      </c>
      <c r="S126" t="s">
        <v>119</v>
      </c>
      <c r="T126">
        <v>0</v>
      </c>
    </row>
    <row r="127" spans="1:20" x14ac:dyDescent="0.25">
      <c r="A127" t="s">
        <v>811</v>
      </c>
      <c r="B127">
        <v>7</v>
      </c>
      <c r="C127" t="s">
        <v>19</v>
      </c>
      <c r="D127">
        <v>168</v>
      </c>
      <c r="E127">
        <v>108</v>
      </c>
      <c r="F127">
        <v>194</v>
      </c>
      <c r="G127">
        <v>111</v>
      </c>
      <c r="H127" t="s">
        <v>20</v>
      </c>
      <c r="I127">
        <v>16</v>
      </c>
      <c r="J127">
        <v>1</v>
      </c>
      <c r="K127">
        <v>0</v>
      </c>
      <c r="L127">
        <v>0</v>
      </c>
      <c r="N127" t="s">
        <v>918</v>
      </c>
      <c r="O127" t="s">
        <v>27</v>
      </c>
      <c r="Q127">
        <v>2</v>
      </c>
      <c r="R127" t="b">
        <v>0</v>
      </c>
      <c r="S127" t="s">
        <v>119</v>
      </c>
      <c r="T127">
        <v>0</v>
      </c>
    </row>
    <row r="128" spans="1:20" x14ac:dyDescent="0.25">
      <c r="A128" t="s">
        <v>812</v>
      </c>
      <c r="B128">
        <v>7</v>
      </c>
      <c r="C128" t="s">
        <v>19</v>
      </c>
      <c r="D128">
        <v>14</v>
      </c>
      <c r="E128">
        <v>119</v>
      </c>
      <c r="F128">
        <v>112</v>
      </c>
      <c r="G128">
        <v>124</v>
      </c>
      <c r="H128" t="s">
        <v>102</v>
      </c>
      <c r="I128">
        <v>12</v>
      </c>
      <c r="J128">
        <v>0</v>
      </c>
      <c r="K128">
        <v>0</v>
      </c>
      <c r="L128">
        <v>0</v>
      </c>
      <c r="N128" t="s">
        <v>918</v>
      </c>
      <c r="O128" t="s">
        <v>25</v>
      </c>
      <c r="Q128">
        <v>3</v>
      </c>
      <c r="R128" t="b">
        <v>1</v>
      </c>
      <c r="S128" t="s">
        <v>119</v>
      </c>
      <c r="T128">
        <v>0</v>
      </c>
    </row>
    <row r="129" spans="1:20" x14ac:dyDescent="0.25">
      <c r="A129" t="s">
        <v>813</v>
      </c>
      <c r="B129">
        <v>7</v>
      </c>
      <c r="C129" t="s">
        <v>19</v>
      </c>
      <c r="D129">
        <v>113</v>
      </c>
      <c r="E129">
        <v>120</v>
      </c>
      <c r="F129">
        <v>140</v>
      </c>
      <c r="G129">
        <v>123</v>
      </c>
      <c r="H129" t="s">
        <v>20</v>
      </c>
      <c r="I129">
        <v>16</v>
      </c>
      <c r="J129">
        <v>1</v>
      </c>
      <c r="K129">
        <v>0</v>
      </c>
      <c r="L129">
        <v>0</v>
      </c>
      <c r="N129" t="s">
        <v>918</v>
      </c>
      <c r="O129" t="s">
        <v>27</v>
      </c>
      <c r="Q129">
        <v>2</v>
      </c>
      <c r="R129" t="b">
        <v>0</v>
      </c>
      <c r="S129" t="s">
        <v>119</v>
      </c>
      <c r="T129">
        <v>0</v>
      </c>
    </row>
    <row r="130" spans="1:20" x14ac:dyDescent="0.25">
      <c r="A130" t="s">
        <v>814</v>
      </c>
      <c r="B130">
        <v>7</v>
      </c>
      <c r="C130" t="s">
        <v>19</v>
      </c>
      <c r="D130">
        <v>140</v>
      </c>
      <c r="E130">
        <v>120</v>
      </c>
      <c r="F130">
        <v>169</v>
      </c>
      <c r="G130">
        <v>123</v>
      </c>
      <c r="H130" t="s">
        <v>20</v>
      </c>
      <c r="I130">
        <v>16</v>
      </c>
      <c r="J130">
        <v>1</v>
      </c>
      <c r="K130">
        <v>0</v>
      </c>
      <c r="L130">
        <v>0</v>
      </c>
      <c r="N130" t="s">
        <v>918</v>
      </c>
      <c r="O130" t="s">
        <v>27</v>
      </c>
      <c r="Q130">
        <v>2</v>
      </c>
      <c r="R130" t="b">
        <v>0</v>
      </c>
      <c r="S130" t="s">
        <v>119</v>
      </c>
      <c r="T130">
        <v>0</v>
      </c>
    </row>
    <row r="131" spans="1:20" x14ac:dyDescent="0.25">
      <c r="A131" t="s">
        <v>815</v>
      </c>
      <c r="B131">
        <v>7</v>
      </c>
      <c r="C131" t="s">
        <v>19</v>
      </c>
      <c r="D131">
        <v>168</v>
      </c>
      <c r="E131">
        <v>120</v>
      </c>
      <c r="F131">
        <v>194</v>
      </c>
      <c r="G131">
        <v>123</v>
      </c>
      <c r="H131" t="s">
        <v>20</v>
      </c>
      <c r="I131">
        <v>16</v>
      </c>
      <c r="J131">
        <v>1</v>
      </c>
      <c r="K131">
        <v>0</v>
      </c>
      <c r="L131">
        <v>0</v>
      </c>
      <c r="N131" t="s">
        <v>918</v>
      </c>
      <c r="O131" t="s">
        <v>27</v>
      </c>
      <c r="Q131">
        <v>2</v>
      </c>
      <c r="R131" t="b">
        <v>0</v>
      </c>
      <c r="S131" t="s">
        <v>119</v>
      </c>
      <c r="T131">
        <v>0</v>
      </c>
    </row>
    <row r="132" spans="1:20" x14ac:dyDescent="0.25">
      <c r="A132" t="s">
        <v>816</v>
      </c>
      <c r="B132">
        <v>7</v>
      </c>
      <c r="C132" t="s">
        <v>19</v>
      </c>
      <c r="D132">
        <v>14</v>
      </c>
      <c r="E132">
        <v>131</v>
      </c>
      <c r="F132">
        <v>112</v>
      </c>
      <c r="G132">
        <v>136</v>
      </c>
      <c r="H132" t="s">
        <v>102</v>
      </c>
      <c r="I132">
        <v>12</v>
      </c>
      <c r="J132">
        <v>0</v>
      </c>
      <c r="K132">
        <v>0</v>
      </c>
      <c r="L132">
        <v>0</v>
      </c>
      <c r="N132" t="s">
        <v>918</v>
      </c>
      <c r="O132" t="s">
        <v>25</v>
      </c>
      <c r="Q132">
        <v>3</v>
      </c>
      <c r="R132" t="b">
        <v>1</v>
      </c>
      <c r="S132" t="s">
        <v>119</v>
      </c>
      <c r="T132">
        <v>0</v>
      </c>
    </row>
    <row r="133" spans="1:20" x14ac:dyDescent="0.25">
      <c r="A133" t="s">
        <v>817</v>
      </c>
      <c r="B133">
        <v>7</v>
      </c>
      <c r="C133" t="s">
        <v>19</v>
      </c>
      <c r="D133">
        <v>113</v>
      </c>
      <c r="E133">
        <v>132</v>
      </c>
      <c r="F133">
        <v>140</v>
      </c>
      <c r="G133">
        <v>135</v>
      </c>
      <c r="H133" t="s">
        <v>20</v>
      </c>
      <c r="I133">
        <v>16</v>
      </c>
      <c r="J133">
        <v>1</v>
      </c>
      <c r="K133">
        <v>0</v>
      </c>
      <c r="L133">
        <v>0</v>
      </c>
      <c r="N133" t="s">
        <v>918</v>
      </c>
      <c r="O133" t="s">
        <v>27</v>
      </c>
      <c r="Q133">
        <v>2</v>
      </c>
      <c r="R133" t="b">
        <v>0</v>
      </c>
      <c r="S133" t="s">
        <v>119</v>
      </c>
      <c r="T133">
        <v>0</v>
      </c>
    </row>
    <row r="134" spans="1:20" x14ac:dyDescent="0.25">
      <c r="A134" t="s">
        <v>818</v>
      </c>
      <c r="B134">
        <v>7</v>
      </c>
      <c r="C134" t="s">
        <v>19</v>
      </c>
      <c r="D134">
        <v>140</v>
      </c>
      <c r="E134">
        <v>132</v>
      </c>
      <c r="F134">
        <v>169</v>
      </c>
      <c r="G134">
        <v>135</v>
      </c>
      <c r="H134" t="s">
        <v>20</v>
      </c>
      <c r="I134">
        <v>16</v>
      </c>
      <c r="J134">
        <v>1</v>
      </c>
      <c r="K134">
        <v>0</v>
      </c>
      <c r="L134">
        <v>0</v>
      </c>
      <c r="N134" t="s">
        <v>918</v>
      </c>
      <c r="O134" t="s">
        <v>27</v>
      </c>
      <c r="Q134">
        <v>2</v>
      </c>
      <c r="R134" t="b">
        <v>0</v>
      </c>
      <c r="S134" t="s">
        <v>119</v>
      </c>
      <c r="T134">
        <v>0</v>
      </c>
    </row>
    <row r="135" spans="1:20" x14ac:dyDescent="0.25">
      <c r="A135" t="s">
        <v>819</v>
      </c>
      <c r="B135">
        <v>7</v>
      </c>
      <c r="C135" t="s">
        <v>19</v>
      </c>
      <c r="D135">
        <v>168</v>
      </c>
      <c r="E135">
        <v>132</v>
      </c>
      <c r="F135">
        <v>194</v>
      </c>
      <c r="G135">
        <v>135</v>
      </c>
      <c r="H135" t="s">
        <v>20</v>
      </c>
      <c r="I135">
        <v>16</v>
      </c>
      <c r="J135">
        <v>1</v>
      </c>
      <c r="K135">
        <v>0</v>
      </c>
      <c r="L135">
        <v>0</v>
      </c>
      <c r="N135" t="s">
        <v>918</v>
      </c>
      <c r="O135" t="s">
        <v>27</v>
      </c>
      <c r="Q135">
        <v>2</v>
      </c>
      <c r="R135" t="b">
        <v>0</v>
      </c>
      <c r="S135" t="s">
        <v>119</v>
      </c>
      <c r="T135">
        <v>0</v>
      </c>
    </row>
    <row r="136" spans="1:20" x14ac:dyDescent="0.25">
      <c r="A136" t="s">
        <v>5234</v>
      </c>
      <c r="B136">
        <v>7</v>
      </c>
      <c r="C136" t="s">
        <v>19</v>
      </c>
      <c r="D136">
        <v>14</v>
      </c>
      <c r="E136">
        <v>143</v>
      </c>
      <c r="F136">
        <v>112</v>
      </c>
      <c r="G136">
        <v>148</v>
      </c>
      <c r="H136" t="s">
        <v>102</v>
      </c>
      <c r="I136">
        <v>12</v>
      </c>
      <c r="J136">
        <v>0</v>
      </c>
      <c r="K136">
        <v>0</v>
      </c>
      <c r="L136">
        <v>0</v>
      </c>
      <c r="N136" t="s">
        <v>918</v>
      </c>
      <c r="O136" t="s">
        <v>25</v>
      </c>
      <c r="Q136">
        <v>3</v>
      </c>
      <c r="R136" t="b">
        <v>1</v>
      </c>
      <c r="S136" t="s">
        <v>119</v>
      </c>
      <c r="T136">
        <v>0</v>
      </c>
    </row>
    <row r="137" spans="1:20" x14ac:dyDescent="0.25">
      <c r="A137" t="s">
        <v>5235</v>
      </c>
      <c r="B137">
        <v>7</v>
      </c>
      <c r="C137" t="s">
        <v>19</v>
      </c>
      <c r="D137">
        <v>113</v>
      </c>
      <c r="E137">
        <v>144</v>
      </c>
      <c r="F137">
        <v>140</v>
      </c>
      <c r="G137">
        <v>147</v>
      </c>
      <c r="H137" t="s">
        <v>20</v>
      </c>
      <c r="I137">
        <v>16</v>
      </c>
      <c r="J137">
        <v>1</v>
      </c>
      <c r="K137">
        <v>0</v>
      </c>
      <c r="L137">
        <v>0</v>
      </c>
      <c r="N137" t="s">
        <v>918</v>
      </c>
      <c r="O137" t="s">
        <v>27</v>
      </c>
      <c r="Q137">
        <v>2</v>
      </c>
      <c r="R137" t="b">
        <v>0</v>
      </c>
      <c r="S137" t="s">
        <v>119</v>
      </c>
      <c r="T137">
        <v>0</v>
      </c>
    </row>
    <row r="138" spans="1:20" x14ac:dyDescent="0.25">
      <c r="A138" t="s">
        <v>5236</v>
      </c>
      <c r="B138">
        <v>7</v>
      </c>
      <c r="C138" t="s">
        <v>19</v>
      </c>
      <c r="D138">
        <v>140</v>
      </c>
      <c r="E138">
        <v>144</v>
      </c>
      <c r="F138">
        <v>169</v>
      </c>
      <c r="G138">
        <v>147</v>
      </c>
      <c r="H138" t="s">
        <v>20</v>
      </c>
      <c r="I138">
        <v>16</v>
      </c>
      <c r="J138">
        <v>1</v>
      </c>
      <c r="K138">
        <v>0</v>
      </c>
      <c r="L138">
        <v>0</v>
      </c>
      <c r="N138" t="s">
        <v>918</v>
      </c>
      <c r="O138" t="s">
        <v>27</v>
      </c>
      <c r="Q138">
        <v>2</v>
      </c>
      <c r="R138" t="b">
        <v>0</v>
      </c>
      <c r="S138" t="s">
        <v>119</v>
      </c>
      <c r="T138">
        <v>0</v>
      </c>
    </row>
    <row r="139" spans="1:20" x14ac:dyDescent="0.25">
      <c r="A139" t="s">
        <v>5237</v>
      </c>
      <c r="B139">
        <v>7</v>
      </c>
      <c r="C139" t="s">
        <v>19</v>
      </c>
      <c r="D139">
        <v>168</v>
      </c>
      <c r="E139">
        <v>144</v>
      </c>
      <c r="F139">
        <v>194</v>
      </c>
      <c r="G139">
        <v>147</v>
      </c>
      <c r="H139" t="s">
        <v>20</v>
      </c>
      <c r="I139">
        <v>16</v>
      </c>
      <c r="J139">
        <v>1</v>
      </c>
      <c r="K139">
        <v>0</v>
      </c>
      <c r="L139">
        <v>0</v>
      </c>
      <c r="N139" t="s">
        <v>918</v>
      </c>
      <c r="O139" t="s">
        <v>27</v>
      </c>
      <c r="Q139">
        <v>2</v>
      </c>
      <c r="R139" t="b">
        <v>0</v>
      </c>
      <c r="S139" t="s">
        <v>119</v>
      </c>
      <c r="T139">
        <v>0</v>
      </c>
    </row>
    <row r="140" spans="1:20" x14ac:dyDescent="0.25">
      <c r="A140" t="s">
        <v>5238</v>
      </c>
      <c r="B140">
        <v>7</v>
      </c>
      <c r="C140" t="s">
        <v>19</v>
      </c>
      <c r="D140">
        <v>14</v>
      </c>
      <c r="E140">
        <v>155</v>
      </c>
      <c r="F140">
        <v>112</v>
      </c>
      <c r="G140">
        <v>160</v>
      </c>
      <c r="H140" t="s">
        <v>102</v>
      </c>
      <c r="I140">
        <v>12</v>
      </c>
      <c r="J140">
        <v>0</v>
      </c>
      <c r="K140">
        <v>0</v>
      </c>
      <c r="L140">
        <v>0</v>
      </c>
      <c r="N140" t="s">
        <v>918</v>
      </c>
      <c r="O140" t="s">
        <v>25</v>
      </c>
      <c r="Q140">
        <v>3</v>
      </c>
      <c r="R140" t="b">
        <v>1</v>
      </c>
      <c r="S140" t="s">
        <v>119</v>
      </c>
      <c r="T140">
        <v>0</v>
      </c>
    </row>
    <row r="141" spans="1:20" x14ac:dyDescent="0.25">
      <c r="A141" t="s">
        <v>5239</v>
      </c>
      <c r="B141">
        <v>7</v>
      </c>
      <c r="C141" t="s">
        <v>19</v>
      </c>
      <c r="D141">
        <v>113</v>
      </c>
      <c r="E141">
        <v>156</v>
      </c>
      <c r="F141">
        <v>140</v>
      </c>
      <c r="G141">
        <v>159</v>
      </c>
      <c r="H141" t="s">
        <v>20</v>
      </c>
      <c r="I141">
        <v>16</v>
      </c>
      <c r="J141">
        <v>1</v>
      </c>
      <c r="K141">
        <v>0</v>
      </c>
      <c r="L141">
        <v>0</v>
      </c>
      <c r="N141" t="s">
        <v>918</v>
      </c>
      <c r="O141" t="s">
        <v>27</v>
      </c>
      <c r="Q141">
        <v>2</v>
      </c>
      <c r="R141" t="b">
        <v>0</v>
      </c>
      <c r="S141" t="s">
        <v>119</v>
      </c>
      <c r="T141">
        <v>0</v>
      </c>
    </row>
    <row r="142" spans="1:20" x14ac:dyDescent="0.25">
      <c r="A142" t="s">
        <v>5240</v>
      </c>
      <c r="B142">
        <v>7</v>
      </c>
      <c r="C142" t="s">
        <v>19</v>
      </c>
      <c r="D142">
        <v>140</v>
      </c>
      <c r="E142">
        <v>156</v>
      </c>
      <c r="F142">
        <v>169</v>
      </c>
      <c r="G142">
        <v>159</v>
      </c>
      <c r="H142" t="s">
        <v>20</v>
      </c>
      <c r="I142">
        <v>16</v>
      </c>
      <c r="J142">
        <v>1</v>
      </c>
      <c r="K142">
        <v>0</v>
      </c>
      <c r="L142">
        <v>0</v>
      </c>
      <c r="N142" t="s">
        <v>918</v>
      </c>
      <c r="O142" t="s">
        <v>27</v>
      </c>
      <c r="Q142">
        <v>2</v>
      </c>
      <c r="R142" t="b">
        <v>0</v>
      </c>
      <c r="S142" t="s">
        <v>119</v>
      </c>
      <c r="T142">
        <v>0</v>
      </c>
    </row>
    <row r="143" spans="1:20" x14ac:dyDescent="0.25">
      <c r="A143" t="s">
        <v>5241</v>
      </c>
      <c r="B143">
        <v>7</v>
      </c>
      <c r="C143" t="s">
        <v>19</v>
      </c>
      <c r="D143">
        <v>168</v>
      </c>
      <c r="E143">
        <v>156</v>
      </c>
      <c r="F143">
        <v>194</v>
      </c>
      <c r="G143">
        <v>159</v>
      </c>
      <c r="H143" t="s">
        <v>20</v>
      </c>
      <c r="I143">
        <v>16</v>
      </c>
      <c r="J143">
        <v>1</v>
      </c>
      <c r="K143">
        <v>0</v>
      </c>
      <c r="L143">
        <v>0</v>
      </c>
      <c r="N143" t="s">
        <v>918</v>
      </c>
      <c r="O143" t="s">
        <v>27</v>
      </c>
      <c r="Q143">
        <v>2</v>
      </c>
      <c r="R143" t="b">
        <v>0</v>
      </c>
      <c r="S143" t="s">
        <v>119</v>
      </c>
      <c r="T143">
        <v>0</v>
      </c>
    </row>
    <row r="144" spans="1:20" x14ac:dyDescent="0.25">
      <c r="A144" t="s">
        <v>5242</v>
      </c>
      <c r="B144">
        <v>7</v>
      </c>
      <c r="C144" t="s">
        <v>19</v>
      </c>
      <c r="D144">
        <v>14</v>
      </c>
      <c r="E144">
        <v>167</v>
      </c>
      <c r="F144">
        <v>112</v>
      </c>
      <c r="G144">
        <v>172</v>
      </c>
      <c r="H144" t="s">
        <v>102</v>
      </c>
      <c r="I144">
        <v>12</v>
      </c>
      <c r="J144">
        <v>0</v>
      </c>
      <c r="K144">
        <v>0</v>
      </c>
      <c r="L144">
        <v>0</v>
      </c>
      <c r="N144" t="s">
        <v>918</v>
      </c>
      <c r="O144" t="s">
        <v>25</v>
      </c>
      <c r="Q144">
        <v>3</v>
      </c>
      <c r="R144" t="b">
        <v>1</v>
      </c>
      <c r="S144" t="s">
        <v>119</v>
      </c>
      <c r="T144">
        <v>0</v>
      </c>
    </row>
    <row r="145" spans="1:20" x14ac:dyDescent="0.25">
      <c r="A145" t="s">
        <v>5243</v>
      </c>
      <c r="B145">
        <v>7</v>
      </c>
      <c r="C145" t="s">
        <v>19</v>
      </c>
      <c r="D145">
        <v>113</v>
      </c>
      <c r="E145">
        <v>168</v>
      </c>
      <c r="F145">
        <v>140</v>
      </c>
      <c r="G145">
        <v>171</v>
      </c>
      <c r="H145" t="s">
        <v>20</v>
      </c>
      <c r="I145">
        <v>16</v>
      </c>
      <c r="J145">
        <v>1</v>
      </c>
      <c r="K145">
        <v>0</v>
      </c>
      <c r="L145">
        <v>0</v>
      </c>
      <c r="N145" t="s">
        <v>918</v>
      </c>
      <c r="O145" t="s">
        <v>27</v>
      </c>
      <c r="Q145">
        <v>2</v>
      </c>
      <c r="R145" t="b">
        <v>0</v>
      </c>
      <c r="S145" t="s">
        <v>119</v>
      </c>
      <c r="T145">
        <v>0</v>
      </c>
    </row>
    <row r="146" spans="1:20" x14ac:dyDescent="0.25">
      <c r="A146" t="s">
        <v>5244</v>
      </c>
      <c r="B146">
        <v>7</v>
      </c>
      <c r="C146" t="s">
        <v>19</v>
      </c>
      <c r="D146">
        <v>140</v>
      </c>
      <c r="E146">
        <v>168</v>
      </c>
      <c r="F146">
        <v>169</v>
      </c>
      <c r="G146">
        <v>171</v>
      </c>
      <c r="H146" t="s">
        <v>20</v>
      </c>
      <c r="I146">
        <v>16</v>
      </c>
      <c r="J146">
        <v>1</v>
      </c>
      <c r="K146">
        <v>0</v>
      </c>
      <c r="L146">
        <v>0</v>
      </c>
      <c r="N146" t="s">
        <v>918</v>
      </c>
      <c r="O146" t="s">
        <v>27</v>
      </c>
      <c r="Q146">
        <v>2</v>
      </c>
      <c r="R146" t="b">
        <v>0</v>
      </c>
      <c r="S146" t="s">
        <v>119</v>
      </c>
      <c r="T146">
        <v>0</v>
      </c>
    </row>
    <row r="147" spans="1:20" x14ac:dyDescent="0.25">
      <c r="A147" t="s">
        <v>5245</v>
      </c>
      <c r="B147">
        <v>7</v>
      </c>
      <c r="C147" t="s">
        <v>19</v>
      </c>
      <c r="D147">
        <v>168</v>
      </c>
      <c r="E147">
        <v>168</v>
      </c>
      <c r="F147">
        <v>194</v>
      </c>
      <c r="G147">
        <v>171</v>
      </c>
      <c r="H147" t="s">
        <v>20</v>
      </c>
      <c r="I147">
        <v>16</v>
      </c>
      <c r="J147">
        <v>1</v>
      </c>
      <c r="K147">
        <v>0</v>
      </c>
      <c r="L147">
        <v>0</v>
      </c>
      <c r="N147" t="s">
        <v>918</v>
      </c>
      <c r="O147" t="s">
        <v>27</v>
      </c>
      <c r="Q147">
        <v>2</v>
      </c>
      <c r="R147" t="b">
        <v>0</v>
      </c>
      <c r="S147" t="s">
        <v>119</v>
      </c>
      <c r="T147">
        <v>0</v>
      </c>
    </row>
    <row r="148" spans="1:20" x14ac:dyDescent="0.25">
      <c r="A148" t="s">
        <v>5246</v>
      </c>
      <c r="B148">
        <v>7</v>
      </c>
      <c r="C148" t="s">
        <v>19</v>
      </c>
      <c r="D148">
        <v>14</v>
      </c>
      <c r="E148">
        <v>179</v>
      </c>
      <c r="F148">
        <v>112</v>
      </c>
      <c r="G148">
        <v>184</v>
      </c>
      <c r="H148" t="s">
        <v>102</v>
      </c>
      <c r="I148">
        <v>12</v>
      </c>
      <c r="J148">
        <v>0</v>
      </c>
      <c r="K148">
        <v>0</v>
      </c>
      <c r="L148">
        <v>0</v>
      </c>
      <c r="N148" t="s">
        <v>918</v>
      </c>
      <c r="O148" t="s">
        <v>25</v>
      </c>
      <c r="Q148">
        <v>3</v>
      </c>
      <c r="R148" t="b">
        <v>1</v>
      </c>
      <c r="S148" t="s">
        <v>119</v>
      </c>
      <c r="T148">
        <v>0</v>
      </c>
    </row>
    <row r="149" spans="1:20" x14ac:dyDescent="0.25">
      <c r="A149" t="s">
        <v>5247</v>
      </c>
      <c r="B149">
        <v>7</v>
      </c>
      <c r="C149" t="s">
        <v>19</v>
      </c>
      <c r="D149">
        <v>113</v>
      </c>
      <c r="E149">
        <v>180</v>
      </c>
      <c r="F149">
        <v>140</v>
      </c>
      <c r="G149">
        <v>183</v>
      </c>
      <c r="H149" t="s">
        <v>20</v>
      </c>
      <c r="I149">
        <v>16</v>
      </c>
      <c r="J149">
        <v>1</v>
      </c>
      <c r="K149">
        <v>0</v>
      </c>
      <c r="L149">
        <v>0</v>
      </c>
      <c r="N149" t="s">
        <v>918</v>
      </c>
      <c r="O149" t="s">
        <v>27</v>
      </c>
      <c r="Q149">
        <v>2</v>
      </c>
      <c r="R149" t="b">
        <v>0</v>
      </c>
      <c r="S149" t="s">
        <v>119</v>
      </c>
      <c r="T149">
        <v>0</v>
      </c>
    </row>
    <row r="150" spans="1:20" x14ac:dyDescent="0.25">
      <c r="A150" t="s">
        <v>5248</v>
      </c>
      <c r="B150">
        <v>7</v>
      </c>
      <c r="C150" t="s">
        <v>19</v>
      </c>
      <c r="D150">
        <v>140</v>
      </c>
      <c r="E150">
        <v>180</v>
      </c>
      <c r="F150">
        <v>169</v>
      </c>
      <c r="G150">
        <v>183</v>
      </c>
      <c r="H150" t="s">
        <v>20</v>
      </c>
      <c r="I150">
        <v>16</v>
      </c>
      <c r="J150">
        <v>1</v>
      </c>
      <c r="K150">
        <v>0</v>
      </c>
      <c r="L150">
        <v>0</v>
      </c>
      <c r="N150" t="s">
        <v>918</v>
      </c>
      <c r="O150" t="s">
        <v>27</v>
      </c>
      <c r="Q150">
        <v>2</v>
      </c>
      <c r="R150" t="b">
        <v>0</v>
      </c>
      <c r="S150" t="s">
        <v>119</v>
      </c>
      <c r="T150">
        <v>0</v>
      </c>
    </row>
    <row r="151" spans="1:20" x14ac:dyDescent="0.25">
      <c r="A151" t="s">
        <v>5249</v>
      </c>
      <c r="B151">
        <v>7</v>
      </c>
      <c r="C151" t="s">
        <v>19</v>
      </c>
      <c r="D151">
        <v>168</v>
      </c>
      <c r="E151">
        <v>180</v>
      </c>
      <c r="F151">
        <v>194</v>
      </c>
      <c r="G151">
        <v>183</v>
      </c>
      <c r="H151" t="s">
        <v>20</v>
      </c>
      <c r="I151">
        <v>16</v>
      </c>
      <c r="J151">
        <v>1</v>
      </c>
      <c r="K151">
        <v>0</v>
      </c>
      <c r="L151">
        <v>0</v>
      </c>
      <c r="N151" t="s">
        <v>918</v>
      </c>
      <c r="O151" t="s">
        <v>27</v>
      </c>
      <c r="Q151">
        <v>2</v>
      </c>
      <c r="R151" t="b">
        <v>0</v>
      </c>
      <c r="S151" t="s">
        <v>119</v>
      </c>
      <c r="T151">
        <v>0</v>
      </c>
    </row>
    <row r="152" spans="1:20" x14ac:dyDescent="0.25">
      <c r="A152" t="s">
        <v>5250</v>
      </c>
      <c r="B152">
        <v>7</v>
      </c>
      <c r="C152" t="s">
        <v>19</v>
      </c>
      <c r="D152">
        <v>14</v>
      </c>
      <c r="E152">
        <v>191</v>
      </c>
      <c r="F152">
        <v>112</v>
      </c>
      <c r="G152">
        <v>196</v>
      </c>
      <c r="H152" t="s">
        <v>102</v>
      </c>
      <c r="I152">
        <v>12</v>
      </c>
      <c r="J152">
        <v>0</v>
      </c>
      <c r="K152">
        <v>0</v>
      </c>
      <c r="L152">
        <v>0</v>
      </c>
      <c r="N152" t="s">
        <v>918</v>
      </c>
      <c r="O152" t="s">
        <v>25</v>
      </c>
      <c r="Q152">
        <v>3</v>
      </c>
      <c r="R152" t="b">
        <v>1</v>
      </c>
      <c r="S152" t="s">
        <v>119</v>
      </c>
      <c r="T152">
        <v>0</v>
      </c>
    </row>
    <row r="153" spans="1:20" x14ac:dyDescent="0.25">
      <c r="A153" t="s">
        <v>5251</v>
      </c>
      <c r="B153">
        <v>7</v>
      </c>
      <c r="C153" t="s">
        <v>19</v>
      </c>
      <c r="D153">
        <v>113</v>
      </c>
      <c r="E153">
        <v>192</v>
      </c>
      <c r="F153">
        <v>140</v>
      </c>
      <c r="G153">
        <v>195</v>
      </c>
      <c r="H153" t="s">
        <v>20</v>
      </c>
      <c r="I153">
        <v>16</v>
      </c>
      <c r="J153">
        <v>1</v>
      </c>
      <c r="K153">
        <v>0</v>
      </c>
      <c r="L153">
        <v>0</v>
      </c>
      <c r="N153" t="s">
        <v>918</v>
      </c>
      <c r="O153" t="s">
        <v>27</v>
      </c>
      <c r="Q153">
        <v>2</v>
      </c>
      <c r="R153" t="b">
        <v>0</v>
      </c>
      <c r="S153" t="s">
        <v>119</v>
      </c>
      <c r="T153">
        <v>0</v>
      </c>
    </row>
    <row r="154" spans="1:20" x14ac:dyDescent="0.25">
      <c r="A154" t="s">
        <v>5252</v>
      </c>
      <c r="B154">
        <v>7</v>
      </c>
      <c r="C154" t="s">
        <v>19</v>
      </c>
      <c r="D154">
        <v>140</v>
      </c>
      <c r="E154">
        <v>192</v>
      </c>
      <c r="F154">
        <v>169</v>
      </c>
      <c r="G154">
        <v>195</v>
      </c>
      <c r="H154" t="s">
        <v>20</v>
      </c>
      <c r="I154">
        <v>16</v>
      </c>
      <c r="J154">
        <v>1</v>
      </c>
      <c r="K154">
        <v>0</v>
      </c>
      <c r="L154">
        <v>0</v>
      </c>
      <c r="N154" t="s">
        <v>918</v>
      </c>
      <c r="O154" t="s">
        <v>27</v>
      </c>
      <c r="Q154">
        <v>2</v>
      </c>
      <c r="R154" t="b">
        <v>0</v>
      </c>
      <c r="S154" t="s">
        <v>119</v>
      </c>
      <c r="T154">
        <v>0</v>
      </c>
    </row>
    <row r="155" spans="1:20" x14ac:dyDescent="0.25">
      <c r="A155" t="s">
        <v>5253</v>
      </c>
      <c r="B155">
        <v>7</v>
      </c>
      <c r="C155" t="s">
        <v>19</v>
      </c>
      <c r="D155">
        <v>168</v>
      </c>
      <c r="E155">
        <v>192</v>
      </c>
      <c r="F155">
        <v>194</v>
      </c>
      <c r="G155">
        <v>195</v>
      </c>
      <c r="H155" t="s">
        <v>20</v>
      </c>
      <c r="I155">
        <v>16</v>
      </c>
      <c r="J155">
        <v>1</v>
      </c>
      <c r="K155">
        <v>0</v>
      </c>
      <c r="L155">
        <v>0</v>
      </c>
      <c r="N155" t="s">
        <v>918</v>
      </c>
      <c r="O155" t="s">
        <v>27</v>
      </c>
      <c r="Q155">
        <v>2</v>
      </c>
      <c r="R155" t="b">
        <v>0</v>
      </c>
      <c r="S155" t="s">
        <v>119</v>
      </c>
      <c r="T155">
        <v>0</v>
      </c>
    </row>
    <row r="156" spans="1:20" x14ac:dyDescent="0.25">
      <c r="A156" t="s">
        <v>5254</v>
      </c>
      <c r="B156">
        <v>7</v>
      </c>
      <c r="C156" t="s">
        <v>19</v>
      </c>
      <c r="D156">
        <v>14</v>
      </c>
      <c r="E156">
        <v>203</v>
      </c>
      <c r="F156">
        <v>112</v>
      </c>
      <c r="G156">
        <v>208</v>
      </c>
      <c r="H156" t="s">
        <v>102</v>
      </c>
      <c r="I156">
        <v>12</v>
      </c>
      <c r="J156">
        <v>0</v>
      </c>
      <c r="K156">
        <v>0</v>
      </c>
      <c r="L156">
        <v>0</v>
      </c>
      <c r="N156" t="s">
        <v>918</v>
      </c>
      <c r="O156" t="s">
        <v>25</v>
      </c>
      <c r="Q156">
        <v>3</v>
      </c>
      <c r="R156" t="b">
        <v>1</v>
      </c>
      <c r="S156" t="s">
        <v>119</v>
      </c>
      <c r="T156">
        <v>0</v>
      </c>
    </row>
    <row r="157" spans="1:20" x14ac:dyDescent="0.25">
      <c r="A157" t="s">
        <v>5255</v>
      </c>
      <c r="B157">
        <v>7</v>
      </c>
      <c r="C157" t="s">
        <v>19</v>
      </c>
      <c r="D157">
        <v>113</v>
      </c>
      <c r="E157">
        <v>204</v>
      </c>
      <c r="F157">
        <v>140</v>
      </c>
      <c r="G157">
        <v>207</v>
      </c>
      <c r="H157" t="s">
        <v>20</v>
      </c>
      <c r="I157">
        <v>16</v>
      </c>
      <c r="J157">
        <v>1</v>
      </c>
      <c r="K157">
        <v>0</v>
      </c>
      <c r="L157">
        <v>0</v>
      </c>
      <c r="N157" t="s">
        <v>918</v>
      </c>
      <c r="O157" t="s">
        <v>27</v>
      </c>
      <c r="Q157">
        <v>2</v>
      </c>
      <c r="R157" t="b">
        <v>0</v>
      </c>
      <c r="S157" t="s">
        <v>119</v>
      </c>
      <c r="T157">
        <v>0</v>
      </c>
    </row>
    <row r="158" spans="1:20" x14ac:dyDescent="0.25">
      <c r="A158" t="s">
        <v>5256</v>
      </c>
      <c r="B158">
        <v>7</v>
      </c>
      <c r="C158" t="s">
        <v>19</v>
      </c>
      <c r="D158">
        <v>140</v>
      </c>
      <c r="E158">
        <v>204</v>
      </c>
      <c r="F158">
        <v>169</v>
      </c>
      <c r="G158">
        <v>207</v>
      </c>
      <c r="H158" t="s">
        <v>20</v>
      </c>
      <c r="I158">
        <v>16</v>
      </c>
      <c r="J158">
        <v>1</v>
      </c>
      <c r="K158">
        <v>0</v>
      </c>
      <c r="L158">
        <v>0</v>
      </c>
      <c r="N158" t="s">
        <v>918</v>
      </c>
      <c r="O158" t="s">
        <v>27</v>
      </c>
      <c r="Q158">
        <v>2</v>
      </c>
      <c r="R158" t="b">
        <v>0</v>
      </c>
      <c r="S158" t="s">
        <v>119</v>
      </c>
      <c r="T158">
        <v>0</v>
      </c>
    </row>
    <row r="159" spans="1:20" x14ac:dyDescent="0.25">
      <c r="A159" t="s">
        <v>5257</v>
      </c>
      <c r="B159">
        <v>7</v>
      </c>
      <c r="C159" t="s">
        <v>19</v>
      </c>
      <c r="D159">
        <v>168</v>
      </c>
      <c r="E159">
        <v>204</v>
      </c>
      <c r="F159">
        <v>194</v>
      </c>
      <c r="G159">
        <v>207</v>
      </c>
      <c r="H159" t="s">
        <v>20</v>
      </c>
      <c r="I159">
        <v>16</v>
      </c>
      <c r="J159">
        <v>1</v>
      </c>
      <c r="K159">
        <v>0</v>
      </c>
      <c r="L159">
        <v>0</v>
      </c>
      <c r="N159" t="s">
        <v>918</v>
      </c>
      <c r="O159" t="s">
        <v>27</v>
      </c>
      <c r="Q159">
        <v>2</v>
      </c>
      <c r="R159" t="b">
        <v>0</v>
      </c>
      <c r="S159" t="s">
        <v>119</v>
      </c>
      <c r="T159">
        <v>0</v>
      </c>
    </row>
    <row r="160" spans="1:20" x14ac:dyDescent="0.25">
      <c r="A160" t="s">
        <v>5258</v>
      </c>
      <c r="B160">
        <v>7</v>
      </c>
      <c r="C160" t="s">
        <v>19</v>
      </c>
      <c r="D160">
        <v>14</v>
      </c>
      <c r="E160">
        <v>215</v>
      </c>
      <c r="F160">
        <v>112</v>
      </c>
      <c r="G160">
        <v>220</v>
      </c>
      <c r="H160" t="s">
        <v>102</v>
      </c>
      <c r="I160">
        <v>12</v>
      </c>
      <c r="J160">
        <v>0</v>
      </c>
      <c r="K160">
        <v>0</v>
      </c>
      <c r="L160">
        <v>0</v>
      </c>
      <c r="N160" t="s">
        <v>918</v>
      </c>
      <c r="O160" t="s">
        <v>25</v>
      </c>
      <c r="Q160">
        <v>3</v>
      </c>
      <c r="R160" t="b">
        <v>1</v>
      </c>
      <c r="S160" t="s">
        <v>119</v>
      </c>
      <c r="T160">
        <v>0</v>
      </c>
    </row>
    <row r="161" spans="1:20" x14ac:dyDescent="0.25">
      <c r="A161" t="s">
        <v>5259</v>
      </c>
      <c r="B161">
        <v>7</v>
      </c>
      <c r="C161" t="s">
        <v>19</v>
      </c>
      <c r="D161">
        <v>113</v>
      </c>
      <c r="E161">
        <v>216</v>
      </c>
      <c r="F161">
        <v>140</v>
      </c>
      <c r="G161">
        <v>219</v>
      </c>
      <c r="H161" t="s">
        <v>20</v>
      </c>
      <c r="I161">
        <v>16</v>
      </c>
      <c r="J161">
        <v>1</v>
      </c>
      <c r="K161">
        <v>0</v>
      </c>
      <c r="L161">
        <v>0</v>
      </c>
      <c r="N161" t="s">
        <v>918</v>
      </c>
      <c r="O161" t="s">
        <v>27</v>
      </c>
      <c r="Q161">
        <v>2</v>
      </c>
      <c r="R161" t="b">
        <v>0</v>
      </c>
      <c r="S161" t="s">
        <v>119</v>
      </c>
      <c r="T161">
        <v>0</v>
      </c>
    </row>
    <row r="162" spans="1:20" x14ac:dyDescent="0.25">
      <c r="A162" t="s">
        <v>5260</v>
      </c>
      <c r="B162">
        <v>7</v>
      </c>
      <c r="C162" t="s">
        <v>19</v>
      </c>
      <c r="D162">
        <v>140</v>
      </c>
      <c r="E162">
        <v>216</v>
      </c>
      <c r="F162">
        <v>169</v>
      </c>
      <c r="G162">
        <v>219</v>
      </c>
      <c r="H162" t="s">
        <v>20</v>
      </c>
      <c r="I162">
        <v>16</v>
      </c>
      <c r="J162">
        <v>1</v>
      </c>
      <c r="K162">
        <v>0</v>
      </c>
      <c r="L162">
        <v>0</v>
      </c>
      <c r="N162" t="s">
        <v>918</v>
      </c>
      <c r="O162" t="s">
        <v>27</v>
      </c>
      <c r="Q162">
        <v>2</v>
      </c>
      <c r="R162" t="b">
        <v>0</v>
      </c>
      <c r="S162" t="s">
        <v>119</v>
      </c>
      <c r="T162">
        <v>0</v>
      </c>
    </row>
    <row r="163" spans="1:20" x14ac:dyDescent="0.25">
      <c r="A163" t="s">
        <v>5261</v>
      </c>
      <c r="B163">
        <v>7</v>
      </c>
      <c r="C163" t="s">
        <v>19</v>
      </c>
      <c r="D163">
        <v>168</v>
      </c>
      <c r="E163">
        <v>216</v>
      </c>
      <c r="F163">
        <v>194</v>
      </c>
      <c r="G163">
        <v>219</v>
      </c>
      <c r="H163" t="s">
        <v>20</v>
      </c>
      <c r="I163">
        <v>16</v>
      </c>
      <c r="J163">
        <v>1</v>
      </c>
      <c r="K163">
        <v>0</v>
      </c>
      <c r="L163">
        <v>0</v>
      </c>
      <c r="N163" t="s">
        <v>918</v>
      </c>
      <c r="O163" t="s">
        <v>27</v>
      </c>
      <c r="Q163">
        <v>2</v>
      </c>
      <c r="R163" t="b">
        <v>0</v>
      </c>
      <c r="S163" t="s">
        <v>119</v>
      </c>
      <c r="T163">
        <v>0</v>
      </c>
    </row>
    <row r="164" spans="1:20" x14ac:dyDescent="0.25">
      <c r="A164" t="s">
        <v>5262</v>
      </c>
      <c r="B164">
        <v>7</v>
      </c>
      <c r="C164" t="s">
        <v>19</v>
      </c>
      <c r="D164">
        <v>14</v>
      </c>
      <c r="E164">
        <v>227</v>
      </c>
      <c r="F164">
        <v>112</v>
      </c>
      <c r="G164">
        <v>232</v>
      </c>
      <c r="H164" t="s">
        <v>102</v>
      </c>
      <c r="I164">
        <v>12</v>
      </c>
      <c r="J164">
        <v>0</v>
      </c>
      <c r="K164">
        <v>0</v>
      </c>
      <c r="L164">
        <v>0</v>
      </c>
      <c r="N164" t="s">
        <v>918</v>
      </c>
      <c r="O164" t="s">
        <v>25</v>
      </c>
      <c r="Q164">
        <v>3</v>
      </c>
      <c r="R164" t="b">
        <v>1</v>
      </c>
      <c r="S164" t="s">
        <v>119</v>
      </c>
      <c r="T164">
        <v>0</v>
      </c>
    </row>
    <row r="165" spans="1:20" x14ac:dyDescent="0.25">
      <c r="A165" t="s">
        <v>5263</v>
      </c>
      <c r="B165">
        <v>7</v>
      </c>
      <c r="C165" t="s">
        <v>19</v>
      </c>
      <c r="D165">
        <v>113</v>
      </c>
      <c r="E165">
        <v>228</v>
      </c>
      <c r="F165">
        <v>140</v>
      </c>
      <c r="G165">
        <v>231</v>
      </c>
      <c r="H165" t="s">
        <v>20</v>
      </c>
      <c r="I165">
        <v>16</v>
      </c>
      <c r="J165">
        <v>1</v>
      </c>
      <c r="K165">
        <v>0</v>
      </c>
      <c r="L165">
        <v>0</v>
      </c>
      <c r="N165" t="s">
        <v>918</v>
      </c>
      <c r="O165" t="s">
        <v>27</v>
      </c>
      <c r="Q165">
        <v>2</v>
      </c>
      <c r="R165" t="b">
        <v>0</v>
      </c>
      <c r="S165" t="s">
        <v>119</v>
      </c>
      <c r="T165">
        <v>0</v>
      </c>
    </row>
    <row r="166" spans="1:20" x14ac:dyDescent="0.25">
      <c r="A166" t="s">
        <v>5264</v>
      </c>
      <c r="B166">
        <v>7</v>
      </c>
      <c r="C166" t="s">
        <v>19</v>
      </c>
      <c r="D166">
        <v>140</v>
      </c>
      <c r="E166">
        <v>228</v>
      </c>
      <c r="F166">
        <v>169</v>
      </c>
      <c r="G166">
        <v>231</v>
      </c>
      <c r="H166" t="s">
        <v>20</v>
      </c>
      <c r="I166">
        <v>16</v>
      </c>
      <c r="J166">
        <v>1</v>
      </c>
      <c r="K166">
        <v>0</v>
      </c>
      <c r="L166">
        <v>0</v>
      </c>
      <c r="N166" t="s">
        <v>918</v>
      </c>
      <c r="O166" t="s">
        <v>27</v>
      </c>
      <c r="Q166">
        <v>2</v>
      </c>
      <c r="R166" t="b">
        <v>0</v>
      </c>
      <c r="S166" t="s">
        <v>119</v>
      </c>
      <c r="T166">
        <v>0</v>
      </c>
    </row>
    <row r="167" spans="1:20" x14ac:dyDescent="0.25">
      <c r="A167" t="s">
        <v>5265</v>
      </c>
      <c r="B167">
        <v>7</v>
      </c>
      <c r="C167" t="s">
        <v>19</v>
      </c>
      <c r="D167">
        <v>168</v>
      </c>
      <c r="E167">
        <v>228</v>
      </c>
      <c r="F167">
        <v>194</v>
      </c>
      <c r="G167">
        <v>231</v>
      </c>
      <c r="H167" t="s">
        <v>20</v>
      </c>
      <c r="I167">
        <v>16</v>
      </c>
      <c r="J167">
        <v>1</v>
      </c>
      <c r="K167">
        <v>0</v>
      </c>
      <c r="L167">
        <v>0</v>
      </c>
      <c r="N167" t="s">
        <v>918</v>
      </c>
      <c r="O167" t="s">
        <v>27</v>
      </c>
      <c r="Q167">
        <v>2</v>
      </c>
      <c r="R167" t="b">
        <v>0</v>
      </c>
      <c r="S167" t="s">
        <v>119</v>
      </c>
      <c r="T167">
        <v>0</v>
      </c>
    </row>
    <row r="168" spans="1:20" x14ac:dyDescent="0.25">
      <c r="A168" t="s">
        <v>5266</v>
      </c>
      <c r="B168">
        <v>7</v>
      </c>
      <c r="C168" t="s">
        <v>19</v>
      </c>
      <c r="D168">
        <v>14</v>
      </c>
      <c r="E168">
        <v>239</v>
      </c>
      <c r="F168">
        <v>112</v>
      </c>
      <c r="G168">
        <v>244</v>
      </c>
      <c r="H168" t="s">
        <v>102</v>
      </c>
      <c r="I168">
        <v>12</v>
      </c>
      <c r="J168">
        <v>0</v>
      </c>
      <c r="K168">
        <v>0</v>
      </c>
      <c r="L168">
        <v>0</v>
      </c>
      <c r="N168" t="s">
        <v>918</v>
      </c>
      <c r="O168" t="s">
        <v>25</v>
      </c>
      <c r="Q168">
        <v>3</v>
      </c>
      <c r="R168" t="b">
        <v>1</v>
      </c>
      <c r="S168" t="s">
        <v>119</v>
      </c>
      <c r="T168">
        <v>0</v>
      </c>
    </row>
    <row r="169" spans="1:20" x14ac:dyDescent="0.25">
      <c r="A169" t="s">
        <v>5267</v>
      </c>
      <c r="B169">
        <v>7</v>
      </c>
      <c r="C169" t="s">
        <v>19</v>
      </c>
      <c r="D169">
        <v>113</v>
      </c>
      <c r="E169">
        <v>240</v>
      </c>
      <c r="F169">
        <v>140</v>
      </c>
      <c r="G169">
        <v>243</v>
      </c>
      <c r="H169" t="s">
        <v>20</v>
      </c>
      <c r="I169">
        <v>16</v>
      </c>
      <c r="J169">
        <v>1</v>
      </c>
      <c r="K169">
        <v>0</v>
      </c>
      <c r="L169">
        <v>0</v>
      </c>
      <c r="N169" t="s">
        <v>918</v>
      </c>
      <c r="O169" t="s">
        <v>27</v>
      </c>
      <c r="Q169">
        <v>2</v>
      </c>
      <c r="R169" t="b">
        <v>0</v>
      </c>
      <c r="S169" t="s">
        <v>119</v>
      </c>
      <c r="T169">
        <v>0</v>
      </c>
    </row>
    <row r="170" spans="1:20" x14ac:dyDescent="0.25">
      <c r="A170" t="s">
        <v>5268</v>
      </c>
      <c r="B170">
        <v>7</v>
      </c>
      <c r="C170" t="s">
        <v>19</v>
      </c>
      <c r="D170">
        <v>140</v>
      </c>
      <c r="E170">
        <v>240</v>
      </c>
      <c r="F170">
        <v>169</v>
      </c>
      <c r="G170">
        <v>243</v>
      </c>
      <c r="H170" t="s">
        <v>20</v>
      </c>
      <c r="I170">
        <v>16</v>
      </c>
      <c r="J170">
        <v>1</v>
      </c>
      <c r="K170">
        <v>0</v>
      </c>
      <c r="L170">
        <v>0</v>
      </c>
      <c r="N170" t="s">
        <v>918</v>
      </c>
      <c r="O170" t="s">
        <v>27</v>
      </c>
      <c r="Q170">
        <v>2</v>
      </c>
      <c r="R170" t="b">
        <v>0</v>
      </c>
      <c r="S170" t="s">
        <v>119</v>
      </c>
      <c r="T170">
        <v>0</v>
      </c>
    </row>
    <row r="171" spans="1:20" x14ac:dyDescent="0.25">
      <c r="A171" t="s">
        <v>5269</v>
      </c>
      <c r="B171">
        <v>7</v>
      </c>
      <c r="C171" t="s">
        <v>19</v>
      </c>
      <c r="D171">
        <v>168</v>
      </c>
      <c r="E171">
        <v>240</v>
      </c>
      <c r="F171">
        <v>194</v>
      </c>
      <c r="G171">
        <v>243</v>
      </c>
      <c r="H171" t="s">
        <v>20</v>
      </c>
      <c r="I171">
        <v>16</v>
      </c>
      <c r="J171">
        <v>1</v>
      </c>
      <c r="K171">
        <v>0</v>
      </c>
      <c r="L171">
        <v>0</v>
      </c>
      <c r="N171" t="s">
        <v>918</v>
      </c>
      <c r="O171" t="s">
        <v>27</v>
      </c>
      <c r="Q171">
        <v>2</v>
      </c>
      <c r="R171" t="b">
        <v>0</v>
      </c>
      <c r="S171" t="s">
        <v>119</v>
      </c>
      <c r="T171">
        <v>0</v>
      </c>
    </row>
    <row r="172" spans="1:20" x14ac:dyDescent="0.25">
      <c r="A172" t="s">
        <v>5270</v>
      </c>
      <c r="B172">
        <v>7</v>
      </c>
      <c r="C172" t="s">
        <v>19</v>
      </c>
      <c r="D172">
        <v>14</v>
      </c>
      <c r="E172">
        <v>251</v>
      </c>
      <c r="F172">
        <v>112</v>
      </c>
      <c r="G172">
        <v>256</v>
      </c>
      <c r="H172" t="s">
        <v>102</v>
      </c>
      <c r="I172">
        <v>12</v>
      </c>
      <c r="J172">
        <v>0</v>
      </c>
      <c r="K172">
        <v>0</v>
      </c>
      <c r="L172">
        <v>0</v>
      </c>
      <c r="N172" t="s">
        <v>918</v>
      </c>
      <c r="O172" t="s">
        <v>25</v>
      </c>
      <c r="Q172">
        <v>3</v>
      </c>
      <c r="R172" t="b">
        <v>1</v>
      </c>
      <c r="S172" t="s">
        <v>119</v>
      </c>
      <c r="T172">
        <v>0</v>
      </c>
    </row>
    <row r="173" spans="1:20" x14ac:dyDescent="0.25">
      <c r="A173" t="s">
        <v>5271</v>
      </c>
      <c r="B173">
        <v>7</v>
      </c>
      <c r="C173" t="s">
        <v>19</v>
      </c>
      <c r="D173">
        <v>113</v>
      </c>
      <c r="E173">
        <v>252</v>
      </c>
      <c r="F173">
        <v>140</v>
      </c>
      <c r="G173">
        <v>255</v>
      </c>
      <c r="H173" t="s">
        <v>20</v>
      </c>
      <c r="I173">
        <v>16</v>
      </c>
      <c r="J173">
        <v>1</v>
      </c>
      <c r="K173">
        <v>0</v>
      </c>
      <c r="L173">
        <v>0</v>
      </c>
      <c r="N173" t="s">
        <v>918</v>
      </c>
      <c r="O173" t="s">
        <v>27</v>
      </c>
      <c r="Q173">
        <v>2</v>
      </c>
      <c r="R173" t="b">
        <v>0</v>
      </c>
      <c r="S173" t="s">
        <v>119</v>
      </c>
      <c r="T173">
        <v>0</v>
      </c>
    </row>
    <row r="174" spans="1:20" x14ac:dyDescent="0.25">
      <c r="A174" t="s">
        <v>5272</v>
      </c>
      <c r="B174">
        <v>7</v>
      </c>
      <c r="C174" t="s">
        <v>19</v>
      </c>
      <c r="D174">
        <v>140</v>
      </c>
      <c r="E174">
        <v>252</v>
      </c>
      <c r="F174">
        <v>169</v>
      </c>
      <c r="G174">
        <v>255</v>
      </c>
      <c r="H174" t="s">
        <v>20</v>
      </c>
      <c r="I174">
        <v>16</v>
      </c>
      <c r="J174">
        <v>1</v>
      </c>
      <c r="K174">
        <v>0</v>
      </c>
      <c r="L174">
        <v>0</v>
      </c>
      <c r="N174" t="s">
        <v>918</v>
      </c>
      <c r="O174" t="s">
        <v>27</v>
      </c>
      <c r="Q174">
        <v>2</v>
      </c>
      <c r="R174" t="b">
        <v>0</v>
      </c>
      <c r="S174" t="s">
        <v>119</v>
      </c>
      <c r="T174">
        <v>0</v>
      </c>
    </row>
    <row r="175" spans="1:20" x14ac:dyDescent="0.25">
      <c r="A175" t="s">
        <v>5273</v>
      </c>
      <c r="B175">
        <v>7</v>
      </c>
      <c r="C175" t="s">
        <v>19</v>
      </c>
      <c r="D175">
        <v>168</v>
      </c>
      <c r="E175">
        <v>252</v>
      </c>
      <c r="F175">
        <v>194</v>
      </c>
      <c r="G175">
        <v>255</v>
      </c>
      <c r="H175" t="s">
        <v>20</v>
      </c>
      <c r="I175">
        <v>16</v>
      </c>
      <c r="J175">
        <v>1</v>
      </c>
      <c r="K175">
        <v>0</v>
      </c>
      <c r="L175">
        <v>0</v>
      </c>
      <c r="N175" t="s">
        <v>918</v>
      </c>
      <c r="O175" t="s">
        <v>27</v>
      </c>
      <c r="Q175">
        <v>2</v>
      </c>
      <c r="R175" t="b">
        <v>0</v>
      </c>
      <c r="S175" t="s">
        <v>119</v>
      </c>
      <c r="T175">
        <v>0</v>
      </c>
    </row>
    <row r="176" spans="1:20" x14ac:dyDescent="0.25">
      <c r="A176" t="s">
        <v>38</v>
      </c>
      <c r="B176">
        <v>8</v>
      </c>
      <c r="C176" t="s">
        <v>19</v>
      </c>
      <c r="D176">
        <v>14</v>
      </c>
      <c r="E176">
        <v>20</v>
      </c>
      <c r="F176">
        <v>196</v>
      </c>
      <c r="G176">
        <v>25</v>
      </c>
      <c r="H176" t="s">
        <v>102</v>
      </c>
      <c r="I176">
        <v>14</v>
      </c>
      <c r="J176">
        <v>1</v>
      </c>
      <c r="K176">
        <v>0</v>
      </c>
      <c r="L176">
        <v>0</v>
      </c>
      <c r="N176" t="s">
        <v>21</v>
      </c>
      <c r="O176" t="s">
        <v>25</v>
      </c>
      <c r="Q176">
        <v>2</v>
      </c>
      <c r="R176" t="b">
        <v>0</v>
      </c>
      <c r="S176" t="s">
        <v>119</v>
      </c>
      <c r="T176">
        <v>0</v>
      </c>
    </row>
    <row r="177" spans="1:20" x14ac:dyDescent="0.25">
      <c r="A177" t="s">
        <v>59</v>
      </c>
      <c r="B177">
        <v>8</v>
      </c>
      <c r="C177" t="s">
        <v>19</v>
      </c>
      <c r="D177">
        <v>14</v>
      </c>
      <c r="E177">
        <v>33</v>
      </c>
      <c r="F177">
        <v>196</v>
      </c>
      <c r="G177">
        <v>38</v>
      </c>
      <c r="H177" t="s">
        <v>102</v>
      </c>
      <c r="I177">
        <v>12</v>
      </c>
      <c r="J177">
        <v>0</v>
      </c>
      <c r="K177">
        <v>0</v>
      </c>
      <c r="L177">
        <v>0</v>
      </c>
      <c r="M177" s="23"/>
      <c r="N177" t="s">
        <v>21</v>
      </c>
      <c r="O177" t="s">
        <v>25</v>
      </c>
      <c r="P177" s="1"/>
      <c r="Q177">
        <v>2</v>
      </c>
      <c r="R177" t="b">
        <v>1</v>
      </c>
      <c r="S177" t="s">
        <v>119</v>
      </c>
      <c r="T177">
        <v>0</v>
      </c>
    </row>
    <row r="178" spans="1:20" x14ac:dyDescent="0.25">
      <c r="A178" t="s">
        <v>772</v>
      </c>
      <c r="B178">
        <v>8</v>
      </c>
      <c r="C178" t="s">
        <v>26</v>
      </c>
      <c r="D178">
        <v>0</v>
      </c>
      <c r="E178">
        <v>120</v>
      </c>
      <c r="F178">
        <v>210</v>
      </c>
      <c r="G178">
        <v>204</v>
      </c>
      <c r="I178">
        <v>0</v>
      </c>
      <c r="J178">
        <v>1</v>
      </c>
      <c r="K178">
        <v>0</v>
      </c>
      <c r="L178">
        <v>0</v>
      </c>
      <c r="M178" t="s">
        <v>918</v>
      </c>
      <c r="N178" t="s">
        <v>918</v>
      </c>
      <c r="O178" t="s">
        <v>25</v>
      </c>
      <c r="Q178">
        <v>1</v>
      </c>
      <c r="R178" t="b">
        <v>0</v>
      </c>
      <c r="S178" t="s">
        <v>119</v>
      </c>
      <c r="T178">
        <v>0</v>
      </c>
    </row>
    <row r="179" spans="1:20" x14ac:dyDescent="0.25">
      <c r="A179" t="s">
        <v>773</v>
      </c>
      <c r="B179">
        <v>-999</v>
      </c>
      <c r="C179" t="s">
        <v>19</v>
      </c>
      <c r="D179">
        <v>14</v>
      </c>
      <c r="E179">
        <v>125</v>
      </c>
      <c r="F179">
        <v>196</v>
      </c>
      <c r="G179">
        <v>128</v>
      </c>
      <c r="H179" t="s">
        <v>102</v>
      </c>
      <c r="I179">
        <v>12</v>
      </c>
      <c r="J179">
        <v>1</v>
      </c>
      <c r="K179">
        <v>0</v>
      </c>
      <c r="L179">
        <v>0</v>
      </c>
      <c r="N179" t="s">
        <v>918</v>
      </c>
      <c r="O179" t="s">
        <v>25</v>
      </c>
      <c r="Q179">
        <v>3</v>
      </c>
      <c r="R179" t="b">
        <v>0</v>
      </c>
      <c r="S179" t="s">
        <v>119</v>
      </c>
      <c r="T179">
        <v>0</v>
      </c>
    </row>
    <row r="180" spans="1:20" x14ac:dyDescent="0.25">
      <c r="A180" t="s">
        <v>774</v>
      </c>
      <c r="B180">
        <v>8</v>
      </c>
      <c r="C180" t="s">
        <v>19</v>
      </c>
      <c r="D180">
        <v>113</v>
      </c>
      <c r="E180">
        <v>122</v>
      </c>
      <c r="F180">
        <v>140</v>
      </c>
      <c r="G180">
        <v>127</v>
      </c>
      <c r="H180" t="s">
        <v>102</v>
      </c>
      <c r="I180">
        <v>10</v>
      </c>
      <c r="J180">
        <v>1</v>
      </c>
      <c r="K180">
        <v>0</v>
      </c>
      <c r="L180">
        <v>0</v>
      </c>
      <c r="N180" t="s">
        <v>918</v>
      </c>
      <c r="O180" t="s">
        <v>27</v>
      </c>
      <c r="Q180">
        <v>3</v>
      </c>
      <c r="R180" t="b">
        <v>1</v>
      </c>
      <c r="S180" t="s">
        <v>119</v>
      </c>
      <c r="T180">
        <v>0</v>
      </c>
    </row>
    <row r="181" spans="1:20" x14ac:dyDescent="0.25">
      <c r="A181" t="s">
        <v>775</v>
      </c>
      <c r="B181">
        <v>8</v>
      </c>
      <c r="C181" t="s">
        <v>19</v>
      </c>
      <c r="D181">
        <v>140</v>
      </c>
      <c r="E181">
        <v>122</v>
      </c>
      <c r="F181">
        <v>169</v>
      </c>
      <c r="G181">
        <v>127</v>
      </c>
      <c r="H181" t="s">
        <v>102</v>
      </c>
      <c r="I181">
        <v>10</v>
      </c>
      <c r="J181">
        <v>1</v>
      </c>
      <c r="K181">
        <v>0</v>
      </c>
      <c r="L181">
        <v>0</v>
      </c>
      <c r="N181" t="s">
        <v>918</v>
      </c>
      <c r="O181" t="s">
        <v>27</v>
      </c>
      <c r="Q181">
        <v>3</v>
      </c>
      <c r="R181" t="b">
        <v>1</v>
      </c>
      <c r="S181" t="s">
        <v>119</v>
      </c>
      <c r="T181">
        <v>0</v>
      </c>
    </row>
    <row r="182" spans="1:20" x14ac:dyDescent="0.25">
      <c r="A182" t="s">
        <v>776</v>
      </c>
      <c r="B182">
        <v>8</v>
      </c>
      <c r="C182" t="s">
        <v>19</v>
      </c>
      <c r="D182">
        <v>168</v>
      </c>
      <c r="E182">
        <v>122</v>
      </c>
      <c r="F182">
        <v>194</v>
      </c>
      <c r="G182">
        <v>127</v>
      </c>
      <c r="H182" t="s">
        <v>102</v>
      </c>
      <c r="I182">
        <v>10</v>
      </c>
      <c r="J182">
        <v>1</v>
      </c>
      <c r="K182">
        <v>0</v>
      </c>
      <c r="L182">
        <v>0</v>
      </c>
      <c r="N182" t="s">
        <v>918</v>
      </c>
      <c r="O182" t="s">
        <v>27</v>
      </c>
      <c r="Q182">
        <v>3</v>
      </c>
      <c r="R182" t="b">
        <v>1</v>
      </c>
      <c r="S182" t="s">
        <v>119</v>
      </c>
      <c r="T182">
        <v>0</v>
      </c>
    </row>
    <row r="183" spans="1:20" x14ac:dyDescent="0.25">
      <c r="A183" t="s">
        <v>44</v>
      </c>
      <c r="B183">
        <v>8</v>
      </c>
      <c r="C183" t="s">
        <v>25</v>
      </c>
      <c r="D183">
        <v>114</v>
      </c>
      <c r="E183">
        <v>120</v>
      </c>
      <c r="F183">
        <v>114</v>
      </c>
      <c r="G183">
        <v>204</v>
      </c>
      <c r="I183">
        <v>0.5</v>
      </c>
      <c r="J183">
        <v>0</v>
      </c>
      <c r="K183">
        <v>0</v>
      </c>
      <c r="L183">
        <v>0</v>
      </c>
      <c r="M183" t="s">
        <v>21</v>
      </c>
      <c r="N183" t="s">
        <v>918</v>
      </c>
      <c r="O183" t="s">
        <v>25</v>
      </c>
      <c r="Q183">
        <v>4</v>
      </c>
      <c r="R183" t="b">
        <v>0</v>
      </c>
      <c r="S183" t="s">
        <v>119</v>
      </c>
      <c r="T183">
        <v>0</v>
      </c>
    </row>
    <row r="184" spans="1:20" x14ac:dyDescent="0.25">
      <c r="A184" t="s">
        <v>45</v>
      </c>
      <c r="B184">
        <v>8</v>
      </c>
      <c r="C184" t="s">
        <v>25</v>
      </c>
      <c r="D184">
        <v>141</v>
      </c>
      <c r="E184">
        <v>120</v>
      </c>
      <c r="F184">
        <v>141</v>
      </c>
      <c r="G184">
        <v>204</v>
      </c>
      <c r="I184">
        <v>0.5</v>
      </c>
      <c r="J184">
        <v>0</v>
      </c>
      <c r="K184">
        <v>0</v>
      </c>
      <c r="L184">
        <v>0</v>
      </c>
      <c r="M184" t="s">
        <v>21</v>
      </c>
      <c r="N184" t="s">
        <v>918</v>
      </c>
      <c r="O184" t="s">
        <v>25</v>
      </c>
      <c r="Q184">
        <v>4</v>
      </c>
      <c r="R184" t="b">
        <v>0</v>
      </c>
      <c r="S184" t="s">
        <v>119</v>
      </c>
      <c r="T184">
        <v>0</v>
      </c>
    </row>
    <row r="185" spans="1:20" x14ac:dyDescent="0.25">
      <c r="A185" t="s">
        <v>46</v>
      </c>
      <c r="B185">
        <v>8</v>
      </c>
      <c r="C185" t="s">
        <v>25</v>
      </c>
      <c r="D185">
        <v>168</v>
      </c>
      <c r="E185">
        <v>120</v>
      </c>
      <c r="F185">
        <v>168</v>
      </c>
      <c r="G185">
        <v>204</v>
      </c>
      <c r="I185">
        <v>0.5</v>
      </c>
      <c r="J185">
        <v>0</v>
      </c>
      <c r="K185">
        <v>0</v>
      </c>
      <c r="L185">
        <v>0</v>
      </c>
      <c r="M185" t="s">
        <v>21</v>
      </c>
      <c r="N185" t="s">
        <v>918</v>
      </c>
      <c r="O185" t="s">
        <v>25</v>
      </c>
      <c r="Q185">
        <v>4</v>
      </c>
      <c r="R185" t="b">
        <v>0</v>
      </c>
      <c r="S185" t="s">
        <v>119</v>
      </c>
      <c r="T185">
        <v>0</v>
      </c>
    </row>
    <row r="186" spans="1:20" x14ac:dyDescent="0.25">
      <c r="A186" t="s">
        <v>55</v>
      </c>
      <c r="B186">
        <v>8</v>
      </c>
      <c r="C186" t="s">
        <v>25</v>
      </c>
      <c r="D186">
        <v>14</v>
      </c>
      <c r="E186">
        <v>147</v>
      </c>
      <c r="F186">
        <v>196</v>
      </c>
      <c r="G186">
        <v>147</v>
      </c>
      <c r="I186">
        <v>0.5</v>
      </c>
      <c r="J186">
        <v>0</v>
      </c>
      <c r="K186">
        <v>0</v>
      </c>
      <c r="L186">
        <v>0</v>
      </c>
      <c r="M186" t="s">
        <v>21</v>
      </c>
      <c r="N186" t="s">
        <v>918</v>
      </c>
      <c r="O186" t="s">
        <v>25</v>
      </c>
      <c r="Q186">
        <v>4</v>
      </c>
      <c r="R186" t="b">
        <v>0</v>
      </c>
      <c r="S186" t="s">
        <v>119</v>
      </c>
      <c r="T186">
        <v>0</v>
      </c>
    </row>
    <row r="187" spans="1:20" x14ac:dyDescent="0.25">
      <c r="A187" t="s">
        <v>920</v>
      </c>
      <c r="B187">
        <v>8</v>
      </c>
      <c r="C187" t="s">
        <v>19</v>
      </c>
      <c r="D187">
        <v>14</v>
      </c>
      <c r="E187">
        <v>206</v>
      </c>
      <c r="F187">
        <v>196</v>
      </c>
      <c r="G187">
        <v>210</v>
      </c>
      <c r="H187" t="s">
        <v>102</v>
      </c>
      <c r="I187">
        <v>10</v>
      </c>
      <c r="J187">
        <v>0</v>
      </c>
      <c r="K187">
        <v>0</v>
      </c>
      <c r="L187">
        <v>0</v>
      </c>
      <c r="N187" t="s">
        <v>21</v>
      </c>
      <c r="O187" t="s">
        <v>22</v>
      </c>
      <c r="Q187">
        <v>2</v>
      </c>
      <c r="R187" t="b">
        <v>0</v>
      </c>
      <c r="S187" t="s">
        <v>119</v>
      </c>
      <c r="T187">
        <v>0</v>
      </c>
    </row>
    <row r="188" spans="1:20" ht="15.75" customHeight="1" x14ac:dyDescent="0.25">
      <c r="A188" t="s">
        <v>765</v>
      </c>
      <c r="B188">
        <v>8</v>
      </c>
      <c r="C188" t="s">
        <v>19</v>
      </c>
      <c r="D188">
        <v>14</v>
      </c>
      <c r="E188">
        <v>149</v>
      </c>
      <c r="F188">
        <v>112</v>
      </c>
      <c r="G188">
        <v>154</v>
      </c>
      <c r="H188" t="s">
        <v>102</v>
      </c>
      <c r="I188">
        <v>12</v>
      </c>
      <c r="J188">
        <v>0</v>
      </c>
      <c r="K188">
        <v>0</v>
      </c>
      <c r="L188">
        <v>0</v>
      </c>
      <c r="N188" t="s">
        <v>918</v>
      </c>
      <c r="O188" t="s">
        <v>25</v>
      </c>
      <c r="Q188">
        <v>3</v>
      </c>
      <c r="R188" t="b">
        <v>1</v>
      </c>
      <c r="S188" t="s">
        <v>119</v>
      </c>
      <c r="T188">
        <v>0</v>
      </c>
    </row>
    <row r="189" spans="1:20" x14ac:dyDescent="0.25">
      <c r="A189" t="s">
        <v>766</v>
      </c>
      <c r="B189">
        <v>8</v>
      </c>
      <c r="C189" t="s">
        <v>19</v>
      </c>
      <c r="D189">
        <v>113</v>
      </c>
      <c r="E189">
        <v>150</v>
      </c>
      <c r="F189">
        <v>140</v>
      </c>
      <c r="G189">
        <v>153</v>
      </c>
      <c r="H189" t="s">
        <v>20</v>
      </c>
      <c r="I189">
        <v>16</v>
      </c>
      <c r="J189">
        <v>1</v>
      </c>
      <c r="K189">
        <v>0</v>
      </c>
      <c r="L189">
        <v>0</v>
      </c>
      <c r="N189" t="s">
        <v>918</v>
      </c>
      <c r="O189" t="s">
        <v>27</v>
      </c>
      <c r="Q189">
        <v>2</v>
      </c>
      <c r="R189" t="b">
        <v>0</v>
      </c>
      <c r="S189" t="s">
        <v>119</v>
      </c>
      <c r="T189">
        <v>0</v>
      </c>
    </row>
    <row r="190" spans="1:20" x14ac:dyDescent="0.25">
      <c r="A190" t="s">
        <v>767</v>
      </c>
      <c r="B190">
        <v>8</v>
      </c>
      <c r="C190" t="s">
        <v>19</v>
      </c>
      <c r="D190">
        <v>140</v>
      </c>
      <c r="E190">
        <v>150</v>
      </c>
      <c r="F190">
        <v>169</v>
      </c>
      <c r="G190">
        <v>153</v>
      </c>
      <c r="H190" t="s">
        <v>20</v>
      </c>
      <c r="I190">
        <v>16</v>
      </c>
      <c r="J190">
        <v>1</v>
      </c>
      <c r="K190">
        <v>0</v>
      </c>
      <c r="L190">
        <v>0</v>
      </c>
      <c r="N190" t="s">
        <v>918</v>
      </c>
      <c r="O190" t="s">
        <v>27</v>
      </c>
      <c r="Q190">
        <v>2</v>
      </c>
      <c r="R190" t="b">
        <v>0</v>
      </c>
      <c r="S190" t="s">
        <v>119</v>
      </c>
      <c r="T190">
        <v>0</v>
      </c>
    </row>
    <row r="191" spans="1:20" x14ac:dyDescent="0.25">
      <c r="A191" t="s">
        <v>768</v>
      </c>
      <c r="B191">
        <v>8</v>
      </c>
      <c r="C191" t="s">
        <v>19</v>
      </c>
      <c r="D191">
        <v>168</v>
      </c>
      <c r="E191">
        <v>150</v>
      </c>
      <c r="F191">
        <v>194</v>
      </c>
      <c r="G191">
        <v>153</v>
      </c>
      <c r="H191" t="s">
        <v>20</v>
      </c>
      <c r="I191">
        <v>16</v>
      </c>
      <c r="J191">
        <v>1</v>
      </c>
      <c r="K191">
        <v>0</v>
      </c>
      <c r="L191">
        <v>0</v>
      </c>
      <c r="N191" t="s">
        <v>918</v>
      </c>
      <c r="O191" t="s">
        <v>27</v>
      </c>
      <c r="Q191">
        <v>2</v>
      </c>
      <c r="R191" t="b">
        <v>0</v>
      </c>
      <c r="S191" t="s">
        <v>119</v>
      </c>
      <c r="T191">
        <v>0</v>
      </c>
    </row>
    <row r="192" spans="1:20" ht="15.75" customHeight="1" x14ac:dyDescent="0.25">
      <c r="A192" t="s">
        <v>833</v>
      </c>
      <c r="B192">
        <v>8</v>
      </c>
      <c r="C192" t="s">
        <v>19</v>
      </c>
      <c r="D192">
        <v>14</v>
      </c>
      <c r="E192">
        <v>167</v>
      </c>
      <c r="F192">
        <v>112</v>
      </c>
      <c r="G192">
        <v>172</v>
      </c>
      <c r="H192" t="s">
        <v>102</v>
      </c>
      <c r="I192">
        <v>12</v>
      </c>
      <c r="J192">
        <v>0</v>
      </c>
      <c r="K192">
        <v>0</v>
      </c>
      <c r="L192">
        <v>0</v>
      </c>
      <c r="N192" t="s">
        <v>918</v>
      </c>
      <c r="O192" t="s">
        <v>25</v>
      </c>
      <c r="Q192">
        <v>3</v>
      </c>
      <c r="R192" t="b">
        <v>1</v>
      </c>
      <c r="S192" t="s">
        <v>119</v>
      </c>
      <c r="T192">
        <v>0</v>
      </c>
    </row>
    <row r="193" spans="1:20" x14ac:dyDescent="0.25">
      <c r="A193" t="s">
        <v>834</v>
      </c>
      <c r="B193">
        <v>8</v>
      </c>
      <c r="C193" t="s">
        <v>19</v>
      </c>
      <c r="D193">
        <v>113</v>
      </c>
      <c r="E193">
        <v>168</v>
      </c>
      <c r="F193">
        <v>140</v>
      </c>
      <c r="G193">
        <v>171</v>
      </c>
      <c r="H193" t="s">
        <v>20</v>
      </c>
      <c r="I193">
        <v>16</v>
      </c>
      <c r="J193">
        <v>1</v>
      </c>
      <c r="K193">
        <v>0</v>
      </c>
      <c r="L193">
        <v>0</v>
      </c>
      <c r="N193" t="s">
        <v>918</v>
      </c>
      <c r="O193" t="s">
        <v>27</v>
      </c>
      <c r="Q193">
        <v>2</v>
      </c>
      <c r="R193" t="b">
        <v>0</v>
      </c>
      <c r="S193" t="s">
        <v>119</v>
      </c>
      <c r="T193">
        <v>0</v>
      </c>
    </row>
    <row r="194" spans="1:20" x14ac:dyDescent="0.25">
      <c r="A194" t="s">
        <v>835</v>
      </c>
      <c r="B194">
        <v>8</v>
      </c>
      <c r="C194" t="s">
        <v>19</v>
      </c>
      <c r="D194">
        <v>140</v>
      </c>
      <c r="E194">
        <v>168</v>
      </c>
      <c r="F194">
        <v>169</v>
      </c>
      <c r="G194">
        <v>171</v>
      </c>
      <c r="H194" t="s">
        <v>20</v>
      </c>
      <c r="I194">
        <v>16</v>
      </c>
      <c r="J194">
        <v>1</v>
      </c>
      <c r="K194">
        <v>0</v>
      </c>
      <c r="L194">
        <v>0</v>
      </c>
      <c r="N194" t="s">
        <v>918</v>
      </c>
      <c r="O194" t="s">
        <v>27</v>
      </c>
      <c r="Q194">
        <v>2</v>
      </c>
      <c r="R194" t="b">
        <v>0</v>
      </c>
      <c r="S194" t="s">
        <v>119</v>
      </c>
      <c r="T194">
        <v>0</v>
      </c>
    </row>
    <row r="195" spans="1:20" x14ac:dyDescent="0.25">
      <c r="A195" t="s">
        <v>836</v>
      </c>
      <c r="B195">
        <v>8</v>
      </c>
      <c r="C195" t="s">
        <v>19</v>
      </c>
      <c r="D195">
        <v>168</v>
      </c>
      <c r="E195">
        <v>168</v>
      </c>
      <c r="F195">
        <v>194</v>
      </c>
      <c r="G195">
        <v>171</v>
      </c>
      <c r="H195" t="s">
        <v>20</v>
      </c>
      <c r="I195">
        <v>16</v>
      </c>
      <c r="J195">
        <v>1</v>
      </c>
      <c r="K195">
        <v>0</v>
      </c>
      <c r="L195">
        <v>0</v>
      </c>
      <c r="N195" t="s">
        <v>918</v>
      </c>
      <c r="O195" t="s">
        <v>27</v>
      </c>
      <c r="Q195">
        <v>2</v>
      </c>
      <c r="R195" t="b">
        <v>0</v>
      </c>
      <c r="S195" t="s">
        <v>119</v>
      </c>
      <c r="T195">
        <v>0</v>
      </c>
    </row>
    <row r="196" spans="1:20" ht="15.75" customHeight="1" x14ac:dyDescent="0.25">
      <c r="A196" t="s">
        <v>837</v>
      </c>
      <c r="B196">
        <v>8</v>
      </c>
      <c r="C196" t="s">
        <v>19</v>
      </c>
      <c r="D196">
        <v>14</v>
      </c>
      <c r="E196">
        <v>185</v>
      </c>
      <c r="F196">
        <v>112</v>
      </c>
      <c r="G196">
        <v>190</v>
      </c>
      <c r="H196" t="s">
        <v>102</v>
      </c>
      <c r="I196">
        <v>12</v>
      </c>
      <c r="J196">
        <v>0</v>
      </c>
      <c r="K196">
        <v>0</v>
      </c>
      <c r="L196">
        <v>0</v>
      </c>
      <c r="N196" t="s">
        <v>918</v>
      </c>
      <c r="O196" t="s">
        <v>25</v>
      </c>
      <c r="Q196">
        <v>3</v>
      </c>
      <c r="R196" t="b">
        <v>1</v>
      </c>
      <c r="S196" t="s">
        <v>119</v>
      </c>
      <c r="T196">
        <v>0</v>
      </c>
    </row>
    <row r="197" spans="1:20" x14ac:dyDescent="0.25">
      <c r="A197" t="s">
        <v>838</v>
      </c>
      <c r="B197">
        <v>8</v>
      </c>
      <c r="C197" t="s">
        <v>19</v>
      </c>
      <c r="D197">
        <v>113</v>
      </c>
      <c r="E197">
        <v>186</v>
      </c>
      <c r="F197">
        <v>140</v>
      </c>
      <c r="G197">
        <v>189</v>
      </c>
      <c r="H197" t="s">
        <v>20</v>
      </c>
      <c r="I197">
        <v>16</v>
      </c>
      <c r="J197">
        <v>1</v>
      </c>
      <c r="K197">
        <v>0</v>
      </c>
      <c r="L197">
        <v>0</v>
      </c>
      <c r="N197" t="s">
        <v>918</v>
      </c>
      <c r="O197" t="s">
        <v>27</v>
      </c>
      <c r="Q197">
        <v>2</v>
      </c>
      <c r="R197" t="b">
        <v>0</v>
      </c>
      <c r="S197" t="s">
        <v>119</v>
      </c>
      <c r="T197">
        <v>0</v>
      </c>
    </row>
    <row r="198" spans="1:20" x14ac:dyDescent="0.25">
      <c r="A198" t="s">
        <v>839</v>
      </c>
      <c r="B198">
        <v>8</v>
      </c>
      <c r="C198" t="s">
        <v>19</v>
      </c>
      <c r="D198">
        <v>140</v>
      </c>
      <c r="E198">
        <v>186</v>
      </c>
      <c r="F198">
        <v>169</v>
      </c>
      <c r="G198">
        <v>189</v>
      </c>
      <c r="H198" t="s">
        <v>20</v>
      </c>
      <c r="I198">
        <v>16</v>
      </c>
      <c r="J198">
        <v>1</v>
      </c>
      <c r="K198">
        <v>0</v>
      </c>
      <c r="L198">
        <v>0</v>
      </c>
      <c r="N198" t="s">
        <v>918</v>
      </c>
      <c r="O198" t="s">
        <v>27</v>
      </c>
      <c r="Q198">
        <v>2</v>
      </c>
      <c r="R198" t="b">
        <v>0</v>
      </c>
      <c r="S198" t="s">
        <v>119</v>
      </c>
      <c r="T198">
        <v>0</v>
      </c>
    </row>
    <row r="199" spans="1:20" x14ac:dyDescent="0.25">
      <c r="A199" t="s">
        <v>840</v>
      </c>
      <c r="B199">
        <v>8</v>
      </c>
      <c r="C199" t="s">
        <v>19</v>
      </c>
      <c r="D199">
        <v>168</v>
      </c>
      <c r="E199">
        <v>186</v>
      </c>
      <c r="F199">
        <v>194</v>
      </c>
      <c r="G199">
        <v>189</v>
      </c>
      <c r="H199" t="s">
        <v>20</v>
      </c>
      <c r="I199">
        <v>16</v>
      </c>
      <c r="J199">
        <v>1</v>
      </c>
      <c r="K199">
        <v>0</v>
      </c>
      <c r="L199">
        <v>0</v>
      </c>
      <c r="N199" t="s">
        <v>918</v>
      </c>
      <c r="O199" t="s">
        <v>27</v>
      </c>
      <c r="Q199">
        <v>2</v>
      </c>
      <c r="R199" t="b">
        <v>0</v>
      </c>
      <c r="S199" t="s">
        <v>119</v>
      </c>
      <c r="T199">
        <v>0</v>
      </c>
    </row>
    <row r="200" spans="1:20" x14ac:dyDescent="0.25">
      <c r="A200" t="s">
        <v>39</v>
      </c>
      <c r="B200">
        <v>9</v>
      </c>
      <c r="C200" t="s">
        <v>19</v>
      </c>
      <c r="D200">
        <v>14</v>
      </c>
      <c r="E200">
        <v>20</v>
      </c>
      <c r="F200">
        <v>196</v>
      </c>
      <c r="G200">
        <v>25</v>
      </c>
      <c r="H200" t="s">
        <v>102</v>
      </c>
      <c r="I200">
        <v>14</v>
      </c>
      <c r="J200">
        <v>1</v>
      </c>
      <c r="K200">
        <v>0</v>
      </c>
      <c r="L200">
        <v>0</v>
      </c>
      <c r="N200" t="s">
        <v>21</v>
      </c>
      <c r="O200" t="s">
        <v>25</v>
      </c>
      <c r="Q200">
        <v>2</v>
      </c>
      <c r="R200" t="b">
        <v>0</v>
      </c>
      <c r="S200" t="s">
        <v>119</v>
      </c>
      <c r="T200">
        <v>0</v>
      </c>
    </row>
    <row r="201" spans="1:20" x14ac:dyDescent="0.25">
      <c r="A201" t="s">
        <v>63</v>
      </c>
      <c r="B201">
        <v>9</v>
      </c>
      <c r="C201" t="s">
        <v>19</v>
      </c>
      <c r="D201">
        <v>14</v>
      </c>
      <c r="E201">
        <v>33</v>
      </c>
      <c r="F201">
        <v>196</v>
      </c>
      <c r="G201">
        <v>38</v>
      </c>
      <c r="H201" t="s">
        <v>102</v>
      </c>
      <c r="I201">
        <v>12</v>
      </c>
      <c r="J201">
        <v>0</v>
      </c>
      <c r="K201">
        <v>0</v>
      </c>
      <c r="L201">
        <v>0</v>
      </c>
      <c r="N201" t="s">
        <v>21</v>
      </c>
      <c r="O201" t="s">
        <v>25</v>
      </c>
      <c r="P201" s="1"/>
      <c r="Q201">
        <v>2</v>
      </c>
      <c r="R201" t="b">
        <v>1</v>
      </c>
      <c r="S201" t="s">
        <v>119</v>
      </c>
      <c r="T201">
        <v>0</v>
      </c>
    </row>
    <row r="202" spans="1:20" x14ac:dyDescent="0.25">
      <c r="A202" t="s">
        <v>841</v>
      </c>
      <c r="B202">
        <v>9</v>
      </c>
      <c r="C202" t="s">
        <v>26</v>
      </c>
      <c r="D202">
        <v>0</v>
      </c>
      <c r="E202">
        <v>120</v>
      </c>
      <c r="F202">
        <v>210</v>
      </c>
      <c r="G202">
        <v>168</v>
      </c>
      <c r="I202">
        <v>0</v>
      </c>
      <c r="J202">
        <v>1</v>
      </c>
      <c r="K202">
        <v>0</v>
      </c>
      <c r="L202">
        <v>0</v>
      </c>
      <c r="M202" t="s">
        <v>918</v>
      </c>
      <c r="N202" t="s">
        <v>918</v>
      </c>
      <c r="O202" t="s">
        <v>25</v>
      </c>
      <c r="Q202">
        <v>1</v>
      </c>
      <c r="R202" t="b">
        <v>0</v>
      </c>
      <c r="S202" t="s">
        <v>119</v>
      </c>
      <c r="T202">
        <v>0</v>
      </c>
    </row>
    <row r="203" spans="1:20" x14ac:dyDescent="0.25">
      <c r="A203" t="s">
        <v>842</v>
      </c>
      <c r="B203">
        <v>-999</v>
      </c>
      <c r="C203" t="s">
        <v>19</v>
      </c>
      <c r="D203">
        <v>14</v>
      </c>
      <c r="E203">
        <v>125</v>
      </c>
      <c r="F203">
        <v>196</v>
      </c>
      <c r="G203">
        <v>128</v>
      </c>
      <c r="H203" t="s">
        <v>102</v>
      </c>
      <c r="I203">
        <v>12</v>
      </c>
      <c r="J203">
        <v>1</v>
      </c>
      <c r="K203">
        <v>0</v>
      </c>
      <c r="L203">
        <v>0</v>
      </c>
      <c r="N203" t="s">
        <v>918</v>
      </c>
      <c r="O203" t="s">
        <v>25</v>
      </c>
      <c r="Q203">
        <v>3</v>
      </c>
      <c r="R203" t="b">
        <v>0</v>
      </c>
      <c r="S203" t="s">
        <v>119</v>
      </c>
      <c r="T203">
        <v>0</v>
      </c>
    </row>
    <row r="204" spans="1:20" x14ac:dyDescent="0.25">
      <c r="A204" t="s">
        <v>774</v>
      </c>
      <c r="B204">
        <v>9</v>
      </c>
      <c r="C204" t="s">
        <v>19</v>
      </c>
      <c r="D204">
        <v>113</v>
      </c>
      <c r="E204">
        <v>122</v>
      </c>
      <c r="F204">
        <v>140</v>
      </c>
      <c r="G204">
        <v>127</v>
      </c>
      <c r="H204" t="s">
        <v>102</v>
      </c>
      <c r="I204">
        <v>10</v>
      </c>
      <c r="J204">
        <v>1</v>
      </c>
      <c r="K204">
        <v>0</v>
      </c>
      <c r="L204">
        <v>0</v>
      </c>
      <c r="N204" t="s">
        <v>918</v>
      </c>
      <c r="O204" t="s">
        <v>27</v>
      </c>
      <c r="Q204">
        <v>3</v>
      </c>
      <c r="R204" t="b">
        <v>1</v>
      </c>
      <c r="S204" t="s">
        <v>119</v>
      </c>
      <c r="T204">
        <v>0</v>
      </c>
    </row>
    <row r="205" spans="1:20" x14ac:dyDescent="0.25">
      <c r="A205" t="s">
        <v>775</v>
      </c>
      <c r="B205">
        <v>9</v>
      </c>
      <c r="C205" t="s">
        <v>19</v>
      </c>
      <c r="D205">
        <v>140</v>
      </c>
      <c r="E205">
        <v>122</v>
      </c>
      <c r="F205">
        <v>169</v>
      </c>
      <c r="G205">
        <v>127</v>
      </c>
      <c r="H205" t="s">
        <v>102</v>
      </c>
      <c r="I205">
        <v>10</v>
      </c>
      <c r="J205">
        <v>1</v>
      </c>
      <c r="K205">
        <v>0</v>
      </c>
      <c r="L205">
        <v>0</v>
      </c>
      <c r="N205" t="s">
        <v>918</v>
      </c>
      <c r="O205" t="s">
        <v>27</v>
      </c>
      <c r="Q205">
        <v>3</v>
      </c>
      <c r="R205" t="b">
        <v>1</v>
      </c>
      <c r="S205" t="s">
        <v>119</v>
      </c>
      <c r="T205">
        <v>0</v>
      </c>
    </row>
    <row r="206" spans="1:20" x14ac:dyDescent="0.25">
      <c r="A206" t="s">
        <v>776</v>
      </c>
      <c r="B206">
        <v>9</v>
      </c>
      <c r="C206" t="s">
        <v>19</v>
      </c>
      <c r="D206">
        <v>168</v>
      </c>
      <c r="E206">
        <v>122</v>
      </c>
      <c r="F206">
        <v>194</v>
      </c>
      <c r="G206">
        <v>127</v>
      </c>
      <c r="H206" t="s">
        <v>102</v>
      </c>
      <c r="I206">
        <v>10</v>
      </c>
      <c r="J206">
        <v>1</v>
      </c>
      <c r="K206">
        <v>0</v>
      </c>
      <c r="L206">
        <v>0</v>
      </c>
      <c r="N206" t="s">
        <v>918</v>
      </c>
      <c r="O206" t="s">
        <v>27</v>
      </c>
      <c r="Q206">
        <v>3</v>
      </c>
      <c r="R206" t="b">
        <v>1</v>
      </c>
      <c r="S206" t="s">
        <v>119</v>
      </c>
      <c r="T206">
        <v>0</v>
      </c>
    </row>
    <row r="207" spans="1:20" x14ac:dyDescent="0.25">
      <c r="A207" t="s">
        <v>44</v>
      </c>
      <c r="B207">
        <v>9</v>
      </c>
      <c r="C207" t="s">
        <v>25</v>
      </c>
      <c r="D207">
        <v>114</v>
      </c>
      <c r="E207">
        <v>120</v>
      </c>
      <c r="F207">
        <v>114</v>
      </c>
      <c r="G207">
        <v>168</v>
      </c>
      <c r="I207">
        <v>0.5</v>
      </c>
      <c r="J207">
        <v>0</v>
      </c>
      <c r="K207">
        <v>0</v>
      </c>
      <c r="L207">
        <v>0</v>
      </c>
      <c r="M207" t="s">
        <v>21</v>
      </c>
      <c r="N207" t="s">
        <v>918</v>
      </c>
      <c r="O207" t="s">
        <v>25</v>
      </c>
      <c r="Q207">
        <v>4</v>
      </c>
      <c r="R207" t="b">
        <v>0</v>
      </c>
      <c r="S207" t="s">
        <v>119</v>
      </c>
      <c r="T207">
        <v>0</v>
      </c>
    </row>
    <row r="208" spans="1:20" x14ac:dyDescent="0.25">
      <c r="A208" t="s">
        <v>45</v>
      </c>
      <c r="B208">
        <v>9</v>
      </c>
      <c r="C208" t="s">
        <v>25</v>
      </c>
      <c r="D208">
        <v>141</v>
      </c>
      <c r="E208">
        <v>120</v>
      </c>
      <c r="F208">
        <v>141</v>
      </c>
      <c r="G208">
        <v>168</v>
      </c>
      <c r="I208">
        <v>0.5</v>
      </c>
      <c r="J208">
        <v>0</v>
      </c>
      <c r="K208">
        <v>0</v>
      </c>
      <c r="L208">
        <v>0</v>
      </c>
      <c r="M208" t="s">
        <v>21</v>
      </c>
      <c r="N208" t="s">
        <v>918</v>
      </c>
      <c r="O208" t="s">
        <v>25</v>
      </c>
      <c r="Q208">
        <v>4</v>
      </c>
      <c r="R208" t="b">
        <v>0</v>
      </c>
      <c r="S208" t="s">
        <v>119</v>
      </c>
      <c r="T208">
        <v>0</v>
      </c>
    </row>
    <row r="209" spans="1:20" x14ac:dyDescent="0.25">
      <c r="A209" t="s">
        <v>46</v>
      </c>
      <c r="B209">
        <v>9</v>
      </c>
      <c r="C209" t="s">
        <v>25</v>
      </c>
      <c r="D209">
        <v>168</v>
      </c>
      <c r="E209">
        <v>120</v>
      </c>
      <c r="F209">
        <v>168</v>
      </c>
      <c r="G209">
        <v>168</v>
      </c>
      <c r="I209">
        <v>0.5</v>
      </c>
      <c r="J209">
        <v>0</v>
      </c>
      <c r="K209">
        <v>0</v>
      </c>
      <c r="L209">
        <v>0</v>
      </c>
      <c r="M209" t="s">
        <v>21</v>
      </c>
      <c r="N209" t="s">
        <v>918</v>
      </c>
      <c r="O209" t="s">
        <v>25</v>
      </c>
      <c r="Q209">
        <v>4</v>
      </c>
      <c r="R209" t="b">
        <v>0</v>
      </c>
      <c r="S209" t="s">
        <v>119</v>
      </c>
      <c r="T209">
        <v>0</v>
      </c>
    </row>
    <row r="210" spans="1:20" x14ac:dyDescent="0.25">
      <c r="A210" t="s">
        <v>55</v>
      </c>
      <c r="B210">
        <v>9</v>
      </c>
      <c r="C210" t="s">
        <v>25</v>
      </c>
      <c r="D210">
        <v>14</v>
      </c>
      <c r="E210">
        <v>147</v>
      </c>
      <c r="F210">
        <v>196</v>
      </c>
      <c r="G210">
        <v>147</v>
      </c>
      <c r="I210">
        <v>0.5</v>
      </c>
      <c r="J210">
        <v>0</v>
      </c>
      <c r="K210">
        <v>0</v>
      </c>
      <c r="L210">
        <v>0</v>
      </c>
      <c r="M210" t="s">
        <v>21</v>
      </c>
      <c r="N210" t="s">
        <v>918</v>
      </c>
      <c r="O210" t="s">
        <v>25</v>
      </c>
      <c r="Q210">
        <v>4</v>
      </c>
      <c r="R210" t="b">
        <v>0</v>
      </c>
      <c r="S210" t="s">
        <v>119</v>
      </c>
      <c r="T210">
        <v>0</v>
      </c>
    </row>
    <row r="211" spans="1:20" x14ac:dyDescent="0.25">
      <c r="A211" t="s">
        <v>920</v>
      </c>
      <c r="B211">
        <v>9</v>
      </c>
      <c r="C211" t="s">
        <v>19</v>
      </c>
      <c r="D211">
        <v>14</v>
      </c>
      <c r="E211">
        <v>170</v>
      </c>
      <c r="F211">
        <v>196</v>
      </c>
      <c r="G211">
        <v>174</v>
      </c>
      <c r="H211" t="s">
        <v>102</v>
      </c>
      <c r="I211">
        <v>10</v>
      </c>
      <c r="J211">
        <v>0</v>
      </c>
      <c r="K211">
        <v>0</v>
      </c>
      <c r="L211">
        <v>0</v>
      </c>
      <c r="N211" t="s">
        <v>21</v>
      </c>
      <c r="O211" t="s">
        <v>22</v>
      </c>
      <c r="Q211">
        <v>2</v>
      </c>
      <c r="R211" t="b">
        <v>0</v>
      </c>
      <c r="S211" t="s">
        <v>119</v>
      </c>
      <c r="T211">
        <v>0</v>
      </c>
    </row>
    <row r="212" spans="1:20" ht="15.75" customHeight="1" x14ac:dyDescent="0.25">
      <c r="A212" t="s">
        <v>843</v>
      </c>
      <c r="B212">
        <v>9</v>
      </c>
      <c r="C212" t="s">
        <v>19</v>
      </c>
      <c r="D212">
        <v>14</v>
      </c>
      <c r="E212">
        <v>149</v>
      </c>
      <c r="F212">
        <v>112</v>
      </c>
      <c r="G212">
        <v>154</v>
      </c>
      <c r="H212" t="s">
        <v>102</v>
      </c>
      <c r="I212">
        <v>12</v>
      </c>
      <c r="J212">
        <v>0</v>
      </c>
      <c r="K212">
        <v>0</v>
      </c>
      <c r="L212">
        <v>0</v>
      </c>
      <c r="N212" t="s">
        <v>918</v>
      </c>
      <c r="O212" t="s">
        <v>25</v>
      </c>
      <c r="Q212">
        <v>3</v>
      </c>
      <c r="R212" t="b">
        <v>1</v>
      </c>
      <c r="S212" t="s">
        <v>119</v>
      </c>
      <c r="T212">
        <v>0</v>
      </c>
    </row>
    <row r="213" spans="1:20" x14ac:dyDescent="0.25">
      <c r="A213" t="s">
        <v>844</v>
      </c>
      <c r="B213">
        <v>9</v>
      </c>
      <c r="C213" t="s">
        <v>19</v>
      </c>
      <c r="D213">
        <v>113</v>
      </c>
      <c r="E213">
        <v>150</v>
      </c>
      <c r="F213">
        <v>140</v>
      </c>
      <c r="G213">
        <v>153</v>
      </c>
      <c r="H213" t="s">
        <v>20</v>
      </c>
      <c r="I213">
        <v>16</v>
      </c>
      <c r="J213">
        <v>1</v>
      </c>
      <c r="K213">
        <v>0</v>
      </c>
      <c r="L213">
        <v>0</v>
      </c>
      <c r="N213" t="s">
        <v>918</v>
      </c>
      <c r="O213" t="s">
        <v>27</v>
      </c>
      <c r="Q213">
        <v>2</v>
      </c>
      <c r="R213" t="b">
        <v>0</v>
      </c>
      <c r="S213" t="s">
        <v>119</v>
      </c>
      <c r="T213">
        <v>0</v>
      </c>
    </row>
    <row r="214" spans="1:20" x14ac:dyDescent="0.25">
      <c r="A214" t="s">
        <v>845</v>
      </c>
      <c r="B214">
        <v>9</v>
      </c>
      <c r="C214" t="s">
        <v>19</v>
      </c>
      <c r="D214">
        <v>140</v>
      </c>
      <c r="E214">
        <v>150</v>
      </c>
      <c r="F214">
        <v>169</v>
      </c>
      <c r="G214">
        <v>153</v>
      </c>
      <c r="H214" t="s">
        <v>20</v>
      </c>
      <c r="I214">
        <v>16</v>
      </c>
      <c r="J214">
        <v>1</v>
      </c>
      <c r="K214">
        <v>0</v>
      </c>
      <c r="L214">
        <v>0</v>
      </c>
      <c r="N214" t="s">
        <v>918</v>
      </c>
      <c r="O214" t="s">
        <v>27</v>
      </c>
      <c r="Q214">
        <v>2</v>
      </c>
      <c r="R214" t="b">
        <v>0</v>
      </c>
      <c r="S214" t="s">
        <v>119</v>
      </c>
      <c r="T214">
        <v>0</v>
      </c>
    </row>
    <row r="215" spans="1:20" x14ac:dyDescent="0.25">
      <c r="A215" t="s">
        <v>846</v>
      </c>
      <c r="B215">
        <v>9</v>
      </c>
      <c r="C215" t="s">
        <v>19</v>
      </c>
      <c r="D215">
        <v>168</v>
      </c>
      <c r="E215">
        <v>150</v>
      </c>
      <c r="F215">
        <v>194</v>
      </c>
      <c r="G215">
        <v>153</v>
      </c>
      <c r="H215" t="s">
        <v>20</v>
      </c>
      <c r="I215">
        <v>16</v>
      </c>
      <c r="J215">
        <v>1</v>
      </c>
      <c r="K215">
        <v>0</v>
      </c>
      <c r="L215">
        <v>0</v>
      </c>
      <c r="N215" t="s">
        <v>918</v>
      </c>
      <c r="O215" t="s">
        <v>27</v>
      </c>
      <c r="Q215">
        <v>2</v>
      </c>
      <c r="R215" t="b">
        <v>0</v>
      </c>
      <c r="S215" t="s">
        <v>119</v>
      </c>
      <c r="T215">
        <v>0</v>
      </c>
    </row>
    <row r="216" spans="1:20" x14ac:dyDescent="0.25">
      <c r="A216" t="s">
        <v>888</v>
      </c>
      <c r="B216">
        <v>10</v>
      </c>
      <c r="C216" t="s">
        <v>19</v>
      </c>
      <c r="D216">
        <v>14</v>
      </c>
      <c r="E216">
        <v>20</v>
      </c>
      <c r="F216">
        <v>196</v>
      </c>
      <c r="G216">
        <v>25</v>
      </c>
      <c r="H216" t="s">
        <v>102</v>
      </c>
      <c r="I216">
        <v>14</v>
      </c>
      <c r="J216">
        <v>1</v>
      </c>
      <c r="K216">
        <v>0</v>
      </c>
      <c r="L216">
        <v>0</v>
      </c>
      <c r="N216" t="s">
        <v>21</v>
      </c>
      <c r="O216" t="s">
        <v>25</v>
      </c>
      <c r="Q216">
        <v>2</v>
      </c>
      <c r="R216" t="b">
        <v>1</v>
      </c>
      <c r="S216" t="s">
        <v>119</v>
      </c>
      <c r="T216">
        <v>0</v>
      </c>
    </row>
    <row r="217" spans="1:20" x14ac:dyDescent="0.25">
      <c r="A217" t="s">
        <v>878</v>
      </c>
      <c r="B217">
        <v>10</v>
      </c>
      <c r="C217" t="s">
        <v>19</v>
      </c>
      <c r="D217">
        <v>14</v>
      </c>
      <c r="E217">
        <v>33</v>
      </c>
      <c r="F217">
        <v>196</v>
      </c>
      <c r="G217">
        <v>38</v>
      </c>
      <c r="H217" t="s">
        <v>102</v>
      </c>
      <c r="I217">
        <v>12</v>
      </c>
      <c r="J217">
        <v>0</v>
      </c>
      <c r="K217">
        <v>0</v>
      </c>
      <c r="L217">
        <v>0</v>
      </c>
      <c r="N217" t="s">
        <v>21</v>
      </c>
      <c r="O217" t="s">
        <v>25</v>
      </c>
      <c r="Q217">
        <v>2</v>
      </c>
      <c r="R217" t="b">
        <v>1</v>
      </c>
      <c r="T217">
        <v>0</v>
      </c>
    </row>
    <row r="218" spans="1:20" x14ac:dyDescent="0.25">
      <c r="A218" t="s">
        <v>847</v>
      </c>
      <c r="B218">
        <v>10</v>
      </c>
      <c r="C218" t="s">
        <v>26</v>
      </c>
      <c r="D218">
        <v>0</v>
      </c>
      <c r="E218">
        <v>120</v>
      </c>
      <c r="F218">
        <v>210</v>
      </c>
      <c r="G218">
        <v>213</v>
      </c>
      <c r="I218">
        <v>0</v>
      </c>
      <c r="J218">
        <v>1</v>
      </c>
      <c r="K218">
        <v>0</v>
      </c>
      <c r="L218">
        <v>0</v>
      </c>
      <c r="M218" t="s">
        <v>918</v>
      </c>
      <c r="N218" t="s">
        <v>918</v>
      </c>
      <c r="O218" t="s">
        <v>25</v>
      </c>
      <c r="Q218">
        <v>1</v>
      </c>
      <c r="R218" t="b">
        <v>0</v>
      </c>
      <c r="S218" t="s">
        <v>119</v>
      </c>
      <c r="T218">
        <v>0</v>
      </c>
    </row>
    <row r="219" spans="1:20" x14ac:dyDescent="0.25">
      <c r="A219" t="s">
        <v>848</v>
      </c>
      <c r="B219">
        <v>10</v>
      </c>
      <c r="C219" t="s">
        <v>19</v>
      </c>
      <c r="D219">
        <v>14</v>
      </c>
      <c r="E219">
        <v>125</v>
      </c>
      <c r="F219">
        <v>196</v>
      </c>
      <c r="G219">
        <v>128</v>
      </c>
      <c r="H219" t="s">
        <v>102</v>
      </c>
      <c r="I219">
        <v>12</v>
      </c>
      <c r="J219">
        <v>1</v>
      </c>
      <c r="K219">
        <v>0</v>
      </c>
      <c r="L219">
        <v>0</v>
      </c>
      <c r="N219" t="s">
        <v>918</v>
      </c>
      <c r="O219" t="s">
        <v>25</v>
      </c>
      <c r="Q219">
        <v>3</v>
      </c>
      <c r="R219" t="b">
        <v>0</v>
      </c>
      <c r="S219" t="s">
        <v>119</v>
      </c>
      <c r="T219">
        <v>0</v>
      </c>
    </row>
    <row r="220" spans="1:20" x14ac:dyDescent="0.25">
      <c r="A220" t="s">
        <v>774</v>
      </c>
      <c r="B220">
        <v>10</v>
      </c>
      <c r="C220" t="s">
        <v>19</v>
      </c>
      <c r="D220">
        <v>113</v>
      </c>
      <c r="E220">
        <v>122</v>
      </c>
      <c r="F220">
        <v>140</v>
      </c>
      <c r="G220">
        <v>127</v>
      </c>
      <c r="H220" t="s">
        <v>102</v>
      </c>
      <c r="I220">
        <v>10</v>
      </c>
      <c r="J220">
        <v>1</v>
      </c>
      <c r="K220">
        <v>0</v>
      </c>
      <c r="L220">
        <v>0</v>
      </c>
      <c r="N220" t="s">
        <v>918</v>
      </c>
      <c r="O220" t="s">
        <v>27</v>
      </c>
      <c r="Q220">
        <v>3</v>
      </c>
      <c r="R220" t="b">
        <v>1</v>
      </c>
      <c r="S220" t="s">
        <v>119</v>
      </c>
      <c r="T220">
        <v>0</v>
      </c>
    </row>
    <row r="221" spans="1:20" x14ac:dyDescent="0.25">
      <c r="A221" t="s">
        <v>775</v>
      </c>
      <c r="B221">
        <v>10</v>
      </c>
      <c r="C221" t="s">
        <v>19</v>
      </c>
      <c r="D221">
        <v>140</v>
      </c>
      <c r="E221">
        <v>122</v>
      </c>
      <c r="F221">
        <v>169</v>
      </c>
      <c r="G221">
        <v>127</v>
      </c>
      <c r="H221" t="s">
        <v>102</v>
      </c>
      <c r="I221">
        <v>10</v>
      </c>
      <c r="J221">
        <v>1</v>
      </c>
      <c r="K221">
        <v>0</v>
      </c>
      <c r="L221">
        <v>0</v>
      </c>
      <c r="N221" t="s">
        <v>918</v>
      </c>
      <c r="O221" t="s">
        <v>27</v>
      </c>
      <c r="Q221">
        <v>3</v>
      </c>
      <c r="R221" t="b">
        <v>1</v>
      </c>
      <c r="S221" t="s">
        <v>119</v>
      </c>
      <c r="T221">
        <v>0</v>
      </c>
    </row>
    <row r="222" spans="1:20" x14ac:dyDescent="0.25">
      <c r="A222" t="s">
        <v>776</v>
      </c>
      <c r="B222">
        <v>10</v>
      </c>
      <c r="C222" t="s">
        <v>19</v>
      </c>
      <c r="D222">
        <v>168</v>
      </c>
      <c r="E222">
        <v>122</v>
      </c>
      <c r="F222">
        <v>194</v>
      </c>
      <c r="G222">
        <v>127</v>
      </c>
      <c r="H222" t="s">
        <v>102</v>
      </c>
      <c r="I222">
        <v>10</v>
      </c>
      <c r="J222">
        <v>1</v>
      </c>
      <c r="K222">
        <v>0</v>
      </c>
      <c r="L222">
        <v>0</v>
      </c>
      <c r="N222" t="s">
        <v>918</v>
      </c>
      <c r="O222" t="s">
        <v>27</v>
      </c>
      <c r="Q222">
        <v>3</v>
      </c>
      <c r="R222" t="b">
        <v>1</v>
      </c>
      <c r="S222" t="s">
        <v>119</v>
      </c>
      <c r="T222">
        <v>0</v>
      </c>
    </row>
    <row r="223" spans="1:20" x14ac:dyDescent="0.25">
      <c r="A223" t="s">
        <v>44</v>
      </c>
      <c r="B223">
        <v>10</v>
      </c>
      <c r="C223" t="s">
        <v>25</v>
      </c>
      <c r="D223">
        <v>114</v>
      </c>
      <c r="E223">
        <v>120</v>
      </c>
      <c r="F223">
        <v>114</v>
      </c>
      <c r="G223">
        <v>213</v>
      </c>
      <c r="I223">
        <v>0.5</v>
      </c>
      <c r="J223">
        <v>0</v>
      </c>
      <c r="K223">
        <v>0</v>
      </c>
      <c r="L223">
        <v>0</v>
      </c>
      <c r="M223" t="s">
        <v>21</v>
      </c>
      <c r="N223" t="s">
        <v>918</v>
      </c>
      <c r="O223" t="s">
        <v>25</v>
      </c>
      <c r="Q223">
        <v>4</v>
      </c>
      <c r="R223" t="b">
        <v>0</v>
      </c>
      <c r="S223" t="s">
        <v>119</v>
      </c>
      <c r="T223">
        <v>0</v>
      </c>
    </row>
    <row r="224" spans="1:20" x14ac:dyDescent="0.25">
      <c r="A224" t="s">
        <v>45</v>
      </c>
      <c r="B224">
        <v>10</v>
      </c>
      <c r="C224" t="s">
        <v>25</v>
      </c>
      <c r="D224">
        <v>141</v>
      </c>
      <c r="E224">
        <v>120</v>
      </c>
      <c r="F224">
        <v>141</v>
      </c>
      <c r="G224">
        <v>213</v>
      </c>
      <c r="I224">
        <v>0.5</v>
      </c>
      <c r="J224">
        <v>0</v>
      </c>
      <c r="K224">
        <v>0</v>
      </c>
      <c r="L224">
        <v>0</v>
      </c>
      <c r="M224" t="s">
        <v>21</v>
      </c>
      <c r="N224" t="s">
        <v>918</v>
      </c>
      <c r="O224" t="s">
        <v>25</v>
      </c>
      <c r="Q224">
        <v>4</v>
      </c>
      <c r="R224" t="b">
        <v>0</v>
      </c>
      <c r="S224" t="s">
        <v>119</v>
      </c>
      <c r="T224">
        <v>0</v>
      </c>
    </row>
    <row r="225" spans="1:20" x14ac:dyDescent="0.25">
      <c r="A225" t="s">
        <v>46</v>
      </c>
      <c r="B225">
        <v>10</v>
      </c>
      <c r="C225" t="s">
        <v>25</v>
      </c>
      <c r="D225">
        <v>168</v>
      </c>
      <c r="E225">
        <v>120</v>
      </c>
      <c r="F225">
        <v>168</v>
      </c>
      <c r="G225">
        <v>213</v>
      </c>
      <c r="I225">
        <v>0.5</v>
      </c>
      <c r="J225">
        <v>0</v>
      </c>
      <c r="K225">
        <v>0</v>
      </c>
      <c r="L225">
        <v>0</v>
      </c>
      <c r="M225" t="s">
        <v>21</v>
      </c>
      <c r="N225" t="s">
        <v>918</v>
      </c>
      <c r="O225" t="s">
        <v>25</v>
      </c>
      <c r="Q225">
        <v>4</v>
      </c>
      <c r="R225" t="b">
        <v>0</v>
      </c>
      <c r="S225" t="s">
        <v>119</v>
      </c>
      <c r="T225">
        <v>0</v>
      </c>
    </row>
    <row r="226" spans="1:20" x14ac:dyDescent="0.25">
      <c r="A226" t="s">
        <v>55</v>
      </c>
      <c r="B226">
        <v>10</v>
      </c>
      <c r="C226" t="s">
        <v>25</v>
      </c>
      <c r="D226">
        <v>14</v>
      </c>
      <c r="E226">
        <v>147</v>
      </c>
      <c r="F226">
        <v>196</v>
      </c>
      <c r="G226">
        <v>147</v>
      </c>
      <c r="I226">
        <v>0.5</v>
      </c>
      <c r="J226">
        <v>0</v>
      </c>
      <c r="K226">
        <v>0</v>
      </c>
      <c r="L226">
        <v>0</v>
      </c>
      <c r="M226" t="s">
        <v>21</v>
      </c>
      <c r="N226" t="s">
        <v>918</v>
      </c>
      <c r="O226" t="s">
        <v>25</v>
      </c>
      <c r="Q226">
        <v>4</v>
      </c>
      <c r="R226" t="b">
        <v>0</v>
      </c>
      <c r="S226" t="s">
        <v>119</v>
      </c>
      <c r="T226">
        <v>0</v>
      </c>
    </row>
    <row r="227" spans="1:20" x14ac:dyDescent="0.25">
      <c r="A227" t="s">
        <v>920</v>
      </c>
      <c r="B227">
        <v>10</v>
      </c>
      <c r="C227" t="s">
        <v>19</v>
      </c>
      <c r="D227">
        <v>14</v>
      </c>
      <c r="E227">
        <v>215</v>
      </c>
      <c r="F227">
        <v>196</v>
      </c>
      <c r="G227">
        <v>219</v>
      </c>
      <c r="H227" t="s">
        <v>102</v>
      </c>
      <c r="I227">
        <v>10</v>
      </c>
      <c r="J227">
        <v>0</v>
      </c>
      <c r="K227">
        <v>0</v>
      </c>
      <c r="L227">
        <v>0</v>
      </c>
      <c r="N227" t="s">
        <v>21</v>
      </c>
      <c r="O227" t="s">
        <v>22</v>
      </c>
      <c r="Q227">
        <v>2</v>
      </c>
      <c r="R227" t="b">
        <v>0</v>
      </c>
      <c r="S227" t="s">
        <v>119</v>
      </c>
      <c r="T227">
        <v>0</v>
      </c>
    </row>
    <row r="228" spans="1:20" x14ac:dyDescent="0.25">
      <c r="A228" t="s">
        <v>849</v>
      </c>
      <c r="B228">
        <v>10</v>
      </c>
      <c r="C228" t="s">
        <v>19</v>
      </c>
      <c r="D228">
        <v>14</v>
      </c>
      <c r="E228">
        <v>149</v>
      </c>
      <c r="F228">
        <v>112</v>
      </c>
      <c r="G228">
        <v>154</v>
      </c>
      <c r="H228" t="s">
        <v>102</v>
      </c>
      <c r="I228">
        <v>12</v>
      </c>
      <c r="J228">
        <v>0</v>
      </c>
      <c r="K228">
        <v>0</v>
      </c>
      <c r="L228">
        <v>0</v>
      </c>
      <c r="N228" t="s">
        <v>918</v>
      </c>
      <c r="O228" t="s">
        <v>25</v>
      </c>
      <c r="Q228">
        <v>3</v>
      </c>
      <c r="R228" t="b">
        <v>1</v>
      </c>
      <c r="S228" t="s">
        <v>119</v>
      </c>
      <c r="T228">
        <v>0</v>
      </c>
    </row>
    <row r="229" spans="1:20" x14ac:dyDescent="0.25">
      <c r="A229" t="s">
        <v>850</v>
      </c>
      <c r="B229">
        <v>10</v>
      </c>
      <c r="C229" t="s">
        <v>19</v>
      </c>
      <c r="D229">
        <v>113</v>
      </c>
      <c r="E229">
        <v>150</v>
      </c>
      <c r="F229">
        <v>140</v>
      </c>
      <c r="G229">
        <v>153</v>
      </c>
      <c r="H229" t="s">
        <v>20</v>
      </c>
      <c r="I229">
        <v>16</v>
      </c>
      <c r="J229">
        <v>1</v>
      </c>
      <c r="K229">
        <v>0</v>
      </c>
      <c r="L229">
        <v>0</v>
      </c>
      <c r="N229" t="s">
        <v>918</v>
      </c>
      <c r="O229" t="s">
        <v>27</v>
      </c>
      <c r="Q229">
        <v>2</v>
      </c>
      <c r="R229" t="b">
        <v>0</v>
      </c>
      <c r="S229" t="s">
        <v>119</v>
      </c>
      <c r="T229">
        <v>0</v>
      </c>
    </row>
    <row r="230" spans="1:20" x14ac:dyDescent="0.25">
      <c r="A230" t="s">
        <v>851</v>
      </c>
      <c r="B230">
        <v>10</v>
      </c>
      <c r="C230" t="s">
        <v>19</v>
      </c>
      <c r="D230">
        <v>140</v>
      </c>
      <c r="E230">
        <v>150</v>
      </c>
      <c r="F230">
        <v>169</v>
      </c>
      <c r="G230">
        <v>153</v>
      </c>
      <c r="H230" t="s">
        <v>20</v>
      </c>
      <c r="I230">
        <v>16</v>
      </c>
      <c r="J230">
        <v>1</v>
      </c>
      <c r="K230">
        <v>0</v>
      </c>
      <c r="L230">
        <v>0</v>
      </c>
      <c r="N230" t="s">
        <v>918</v>
      </c>
      <c r="O230" t="s">
        <v>27</v>
      </c>
      <c r="Q230">
        <v>2</v>
      </c>
      <c r="R230" t="b">
        <v>0</v>
      </c>
      <c r="S230" t="s">
        <v>119</v>
      </c>
      <c r="T230">
        <v>0</v>
      </c>
    </row>
    <row r="231" spans="1:20" x14ac:dyDescent="0.25">
      <c r="A231" t="s">
        <v>852</v>
      </c>
      <c r="B231">
        <v>10</v>
      </c>
      <c r="C231" t="s">
        <v>19</v>
      </c>
      <c r="D231">
        <v>168</v>
      </c>
      <c r="E231">
        <v>150</v>
      </c>
      <c r="F231">
        <v>194</v>
      </c>
      <c r="G231">
        <v>153</v>
      </c>
      <c r="H231" t="s">
        <v>20</v>
      </c>
      <c r="I231">
        <v>16</v>
      </c>
      <c r="J231">
        <v>1</v>
      </c>
      <c r="K231">
        <v>0</v>
      </c>
      <c r="L231">
        <v>0</v>
      </c>
      <c r="N231" t="s">
        <v>918</v>
      </c>
      <c r="O231" t="s">
        <v>27</v>
      </c>
      <c r="Q231">
        <v>2</v>
      </c>
      <c r="R231" t="b">
        <v>0</v>
      </c>
      <c r="S231" t="s">
        <v>119</v>
      </c>
      <c r="T231">
        <v>0</v>
      </c>
    </row>
    <row r="232" spans="1:20" x14ac:dyDescent="0.25">
      <c r="A232" t="s">
        <v>853</v>
      </c>
      <c r="B232">
        <v>10</v>
      </c>
      <c r="C232" t="s">
        <v>19</v>
      </c>
      <c r="D232">
        <v>14</v>
      </c>
      <c r="E232">
        <v>164</v>
      </c>
      <c r="F232">
        <v>112</v>
      </c>
      <c r="G232">
        <v>169</v>
      </c>
      <c r="H232" t="s">
        <v>102</v>
      </c>
      <c r="I232">
        <v>12</v>
      </c>
      <c r="J232">
        <v>0</v>
      </c>
      <c r="K232">
        <v>0</v>
      </c>
      <c r="L232">
        <v>0</v>
      </c>
      <c r="N232" t="s">
        <v>918</v>
      </c>
      <c r="O232" t="s">
        <v>25</v>
      </c>
      <c r="Q232">
        <v>3</v>
      </c>
      <c r="R232" t="b">
        <v>1</v>
      </c>
      <c r="S232" t="s">
        <v>119</v>
      </c>
      <c r="T232">
        <v>0</v>
      </c>
    </row>
    <row r="233" spans="1:20" x14ac:dyDescent="0.25">
      <c r="A233" t="s">
        <v>854</v>
      </c>
      <c r="B233">
        <v>10</v>
      </c>
      <c r="C233" t="s">
        <v>19</v>
      </c>
      <c r="D233">
        <v>113</v>
      </c>
      <c r="E233">
        <v>165</v>
      </c>
      <c r="F233">
        <v>140</v>
      </c>
      <c r="G233">
        <v>168</v>
      </c>
      <c r="H233" t="s">
        <v>20</v>
      </c>
      <c r="I233">
        <v>16</v>
      </c>
      <c r="J233">
        <v>1</v>
      </c>
      <c r="K233">
        <v>0</v>
      </c>
      <c r="L233">
        <v>0</v>
      </c>
      <c r="N233" t="s">
        <v>918</v>
      </c>
      <c r="O233" t="s">
        <v>27</v>
      </c>
      <c r="Q233">
        <v>2</v>
      </c>
      <c r="R233" t="b">
        <v>0</v>
      </c>
      <c r="S233" t="s">
        <v>119</v>
      </c>
      <c r="T233">
        <v>0</v>
      </c>
    </row>
    <row r="234" spans="1:20" x14ac:dyDescent="0.25">
      <c r="A234" t="s">
        <v>855</v>
      </c>
      <c r="B234">
        <v>10</v>
      </c>
      <c r="C234" t="s">
        <v>19</v>
      </c>
      <c r="D234">
        <v>140</v>
      </c>
      <c r="E234">
        <v>165</v>
      </c>
      <c r="F234">
        <v>169</v>
      </c>
      <c r="G234">
        <v>168</v>
      </c>
      <c r="H234" t="s">
        <v>20</v>
      </c>
      <c r="I234">
        <v>16</v>
      </c>
      <c r="J234">
        <v>1</v>
      </c>
      <c r="K234">
        <v>0</v>
      </c>
      <c r="L234">
        <v>0</v>
      </c>
      <c r="N234" t="s">
        <v>918</v>
      </c>
      <c r="O234" t="s">
        <v>27</v>
      </c>
      <c r="Q234">
        <v>2</v>
      </c>
      <c r="R234" t="b">
        <v>0</v>
      </c>
      <c r="S234" t="s">
        <v>119</v>
      </c>
      <c r="T234">
        <v>0</v>
      </c>
    </row>
    <row r="235" spans="1:20" x14ac:dyDescent="0.25">
      <c r="A235" t="s">
        <v>856</v>
      </c>
      <c r="B235">
        <v>10</v>
      </c>
      <c r="C235" t="s">
        <v>19</v>
      </c>
      <c r="D235">
        <v>168</v>
      </c>
      <c r="E235">
        <v>165</v>
      </c>
      <c r="F235">
        <v>194</v>
      </c>
      <c r="G235">
        <v>168</v>
      </c>
      <c r="H235" t="s">
        <v>20</v>
      </c>
      <c r="I235">
        <v>16</v>
      </c>
      <c r="J235">
        <v>1</v>
      </c>
      <c r="K235">
        <v>0</v>
      </c>
      <c r="L235">
        <v>0</v>
      </c>
      <c r="N235" t="s">
        <v>918</v>
      </c>
      <c r="O235" t="s">
        <v>27</v>
      </c>
      <c r="Q235">
        <v>2</v>
      </c>
      <c r="R235" t="b">
        <v>0</v>
      </c>
      <c r="S235" t="s">
        <v>119</v>
      </c>
      <c r="T235">
        <v>0</v>
      </c>
    </row>
    <row r="236" spans="1:20" x14ac:dyDescent="0.25">
      <c r="A236" t="s">
        <v>880</v>
      </c>
      <c r="B236">
        <v>10</v>
      </c>
      <c r="C236" t="s">
        <v>19</v>
      </c>
      <c r="D236">
        <v>14</v>
      </c>
      <c r="E236">
        <v>179</v>
      </c>
      <c r="F236">
        <v>112</v>
      </c>
      <c r="G236">
        <v>184</v>
      </c>
      <c r="H236" t="s">
        <v>102</v>
      </c>
      <c r="I236">
        <v>12</v>
      </c>
      <c r="J236">
        <v>0</v>
      </c>
      <c r="K236">
        <v>0</v>
      </c>
      <c r="L236">
        <v>0</v>
      </c>
      <c r="N236" t="s">
        <v>918</v>
      </c>
      <c r="O236" t="s">
        <v>25</v>
      </c>
      <c r="Q236">
        <v>3</v>
      </c>
      <c r="R236" t="b">
        <v>1</v>
      </c>
      <c r="S236" t="s">
        <v>119</v>
      </c>
      <c r="T236">
        <v>0</v>
      </c>
    </row>
    <row r="237" spans="1:20" x14ac:dyDescent="0.25">
      <c r="A237" t="s">
        <v>881</v>
      </c>
      <c r="B237">
        <v>10</v>
      </c>
      <c r="C237" t="s">
        <v>19</v>
      </c>
      <c r="D237">
        <v>113</v>
      </c>
      <c r="E237">
        <v>180</v>
      </c>
      <c r="F237">
        <v>140</v>
      </c>
      <c r="G237">
        <v>183</v>
      </c>
      <c r="H237" t="s">
        <v>20</v>
      </c>
      <c r="I237">
        <v>16</v>
      </c>
      <c r="J237">
        <v>1</v>
      </c>
      <c r="K237">
        <v>0</v>
      </c>
      <c r="L237">
        <v>0</v>
      </c>
      <c r="N237" t="s">
        <v>918</v>
      </c>
      <c r="O237" t="s">
        <v>27</v>
      </c>
      <c r="Q237">
        <v>2</v>
      </c>
      <c r="R237" t="b">
        <v>0</v>
      </c>
      <c r="S237" t="s">
        <v>119</v>
      </c>
      <c r="T237">
        <v>0</v>
      </c>
    </row>
    <row r="238" spans="1:20" x14ac:dyDescent="0.25">
      <c r="A238" t="s">
        <v>882</v>
      </c>
      <c r="B238">
        <v>10</v>
      </c>
      <c r="C238" t="s">
        <v>19</v>
      </c>
      <c r="D238">
        <v>140</v>
      </c>
      <c r="E238">
        <v>180</v>
      </c>
      <c r="F238">
        <v>169</v>
      </c>
      <c r="G238">
        <v>183</v>
      </c>
      <c r="H238" t="s">
        <v>20</v>
      </c>
      <c r="I238">
        <v>16</v>
      </c>
      <c r="J238">
        <v>1</v>
      </c>
      <c r="K238">
        <v>0</v>
      </c>
      <c r="L238">
        <v>0</v>
      </c>
      <c r="N238" t="s">
        <v>918</v>
      </c>
      <c r="O238" t="s">
        <v>27</v>
      </c>
      <c r="Q238">
        <v>2</v>
      </c>
      <c r="R238" t="b">
        <v>0</v>
      </c>
      <c r="S238" t="s">
        <v>119</v>
      </c>
      <c r="T238">
        <v>0</v>
      </c>
    </row>
    <row r="239" spans="1:20" x14ac:dyDescent="0.25">
      <c r="A239" t="s">
        <v>883</v>
      </c>
      <c r="B239">
        <v>10</v>
      </c>
      <c r="C239" t="s">
        <v>19</v>
      </c>
      <c r="D239">
        <v>168</v>
      </c>
      <c r="E239">
        <v>180</v>
      </c>
      <c r="F239">
        <v>194</v>
      </c>
      <c r="G239">
        <v>183</v>
      </c>
      <c r="H239" t="s">
        <v>20</v>
      </c>
      <c r="I239">
        <v>16</v>
      </c>
      <c r="J239">
        <v>1</v>
      </c>
      <c r="K239">
        <v>0</v>
      </c>
      <c r="L239">
        <v>0</v>
      </c>
      <c r="N239" t="s">
        <v>918</v>
      </c>
      <c r="O239" t="s">
        <v>27</v>
      </c>
      <c r="Q239">
        <v>2</v>
      </c>
      <c r="R239" t="b">
        <v>0</v>
      </c>
      <c r="S239" t="s">
        <v>119</v>
      </c>
      <c r="T239">
        <v>0</v>
      </c>
    </row>
    <row r="240" spans="1:20" x14ac:dyDescent="0.25">
      <c r="A240" t="s">
        <v>5204</v>
      </c>
      <c r="B240">
        <v>10</v>
      </c>
      <c r="C240" t="s">
        <v>19</v>
      </c>
      <c r="D240">
        <v>14</v>
      </c>
      <c r="E240">
        <v>194</v>
      </c>
      <c r="F240">
        <v>112</v>
      </c>
      <c r="G240">
        <v>199</v>
      </c>
      <c r="H240" t="s">
        <v>102</v>
      </c>
      <c r="I240">
        <v>12</v>
      </c>
      <c r="J240">
        <v>0</v>
      </c>
      <c r="K240">
        <v>0</v>
      </c>
      <c r="L240">
        <v>0</v>
      </c>
      <c r="N240" t="s">
        <v>918</v>
      </c>
      <c r="O240" t="s">
        <v>25</v>
      </c>
      <c r="Q240">
        <v>3</v>
      </c>
      <c r="R240" t="b">
        <v>1</v>
      </c>
      <c r="S240" t="s">
        <v>119</v>
      </c>
      <c r="T240">
        <v>0</v>
      </c>
    </row>
    <row r="241" spans="1:20" x14ac:dyDescent="0.25">
      <c r="A241" t="s">
        <v>5205</v>
      </c>
      <c r="B241">
        <v>10</v>
      </c>
      <c r="C241" t="s">
        <v>19</v>
      </c>
      <c r="D241">
        <v>113</v>
      </c>
      <c r="E241">
        <v>195</v>
      </c>
      <c r="F241">
        <v>140</v>
      </c>
      <c r="G241">
        <v>198</v>
      </c>
      <c r="H241" t="s">
        <v>20</v>
      </c>
      <c r="I241">
        <v>16</v>
      </c>
      <c r="J241">
        <v>1</v>
      </c>
      <c r="K241">
        <v>0</v>
      </c>
      <c r="L241">
        <v>0</v>
      </c>
      <c r="N241" t="s">
        <v>918</v>
      </c>
      <c r="O241" t="s">
        <v>27</v>
      </c>
      <c r="Q241">
        <v>2</v>
      </c>
      <c r="R241" t="b">
        <v>0</v>
      </c>
      <c r="S241" t="s">
        <v>119</v>
      </c>
      <c r="T241">
        <v>0</v>
      </c>
    </row>
    <row r="242" spans="1:20" x14ac:dyDescent="0.25">
      <c r="A242" t="s">
        <v>5206</v>
      </c>
      <c r="B242">
        <v>10</v>
      </c>
      <c r="C242" t="s">
        <v>19</v>
      </c>
      <c r="D242">
        <v>140</v>
      </c>
      <c r="E242">
        <v>195</v>
      </c>
      <c r="F242">
        <v>169</v>
      </c>
      <c r="G242">
        <v>198</v>
      </c>
      <c r="H242" t="s">
        <v>20</v>
      </c>
      <c r="I242">
        <v>16</v>
      </c>
      <c r="J242">
        <v>1</v>
      </c>
      <c r="K242">
        <v>0</v>
      </c>
      <c r="L242">
        <v>0</v>
      </c>
      <c r="N242" t="s">
        <v>918</v>
      </c>
      <c r="O242" t="s">
        <v>27</v>
      </c>
      <c r="Q242">
        <v>2</v>
      </c>
      <c r="R242" t="b">
        <v>0</v>
      </c>
      <c r="S242" t="s">
        <v>119</v>
      </c>
      <c r="T242">
        <v>0</v>
      </c>
    </row>
    <row r="243" spans="1:20" x14ac:dyDescent="0.25">
      <c r="A243" t="s">
        <v>5207</v>
      </c>
      <c r="B243">
        <v>10</v>
      </c>
      <c r="C243" t="s">
        <v>19</v>
      </c>
      <c r="D243">
        <v>168</v>
      </c>
      <c r="E243">
        <v>195</v>
      </c>
      <c r="F243">
        <v>194</v>
      </c>
      <c r="G243">
        <v>198</v>
      </c>
      <c r="H243" t="s">
        <v>20</v>
      </c>
      <c r="I243">
        <v>16</v>
      </c>
      <c r="J243">
        <v>1</v>
      </c>
      <c r="K243">
        <v>0</v>
      </c>
      <c r="L243">
        <v>0</v>
      </c>
      <c r="N243" t="s">
        <v>918</v>
      </c>
      <c r="O243" t="s">
        <v>27</v>
      </c>
      <c r="Q243">
        <v>2</v>
      </c>
      <c r="R243" t="b">
        <v>0</v>
      </c>
      <c r="S243" t="s">
        <v>119</v>
      </c>
      <c r="T243">
        <v>0</v>
      </c>
    </row>
    <row r="244" spans="1:20" x14ac:dyDescent="0.25">
      <c r="A244" t="s">
        <v>895</v>
      </c>
      <c r="B244">
        <v>11</v>
      </c>
      <c r="C244" t="s">
        <v>19</v>
      </c>
      <c r="D244">
        <v>14</v>
      </c>
      <c r="E244">
        <v>20</v>
      </c>
      <c r="F244">
        <v>196</v>
      </c>
      <c r="G244">
        <v>25</v>
      </c>
      <c r="H244" t="s">
        <v>102</v>
      </c>
      <c r="I244">
        <v>14</v>
      </c>
      <c r="J244">
        <v>1</v>
      </c>
      <c r="K244">
        <v>0</v>
      </c>
      <c r="L244">
        <v>0</v>
      </c>
      <c r="N244" t="s">
        <v>21</v>
      </c>
      <c r="O244" t="s">
        <v>25</v>
      </c>
      <c r="Q244">
        <v>2</v>
      </c>
      <c r="R244" t="b">
        <v>1</v>
      </c>
      <c r="S244" t="s">
        <v>119</v>
      </c>
      <c r="T244">
        <v>0</v>
      </c>
    </row>
    <row r="245" spans="1:20" x14ac:dyDescent="0.25">
      <c r="A245" t="s">
        <v>896</v>
      </c>
      <c r="B245">
        <v>11</v>
      </c>
      <c r="C245" t="s">
        <v>19</v>
      </c>
      <c r="D245">
        <v>14</v>
      </c>
      <c r="E245">
        <v>33</v>
      </c>
      <c r="F245">
        <v>196</v>
      </c>
      <c r="G245">
        <v>38</v>
      </c>
      <c r="H245" t="s">
        <v>102</v>
      </c>
      <c r="I245">
        <v>12</v>
      </c>
      <c r="J245">
        <v>0</v>
      </c>
      <c r="K245">
        <v>0</v>
      </c>
      <c r="L245">
        <v>0</v>
      </c>
      <c r="N245" t="s">
        <v>21</v>
      </c>
      <c r="O245" t="s">
        <v>25</v>
      </c>
      <c r="Q245">
        <v>2</v>
      </c>
      <c r="R245" t="b">
        <v>1</v>
      </c>
      <c r="T245">
        <v>0</v>
      </c>
    </row>
    <row r="246" spans="1:20" x14ac:dyDescent="0.25">
      <c r="A246" t="s">
        <v>5213</v>
      </c>
      <c r="B246">
        <v>11</v>
      </c>
      <c r="C246" t="s">
        <v>26</v>
      </c>
      <c r="D246">
        <v>0</v>
      </c>
      <c r="E246">
        <v>75</v>
      </c>
      <c r="F246">
        <v>210</v>
      </c>
      <c r="G246">
        <v>123</v>
      </c>
      <c r="I246">
        <v>0</v>
      </c>
      <c r="J246">
        <v>1</v>
      </c>
      <c r="K246">
        <v>0</v>
      </c>
      <c r="L246">
        <v>0</v>
      </c>
      <c r="M246" t="s">
        <v>918</v>
      </c>
      <c r="N246" t="s">
        <v>918</v>
      </c>
      <c r="O246" t="s">
        <v>25</v>
      </c>
      <c r="Q246">
        <v>1</v>
      </c>
      <c r="R246" t="b">
        <v>0</v>
      </c>
      <c r="S246" t="s">
        <v>119</v>
      </c>
      <c r="T246">
        <v>0</v>
      </c>
    </row>
    <row r="247" spans="1:20" x14ac:dyDescent="0.25">
      <c r="A247" t="s">
        <v>5208</v>
      </c>
      <c r="B247">
        <v>11</v>
      </c>
      <c r="C247" t="s">
        <v>19</v>
      </c>
      <c r="D247">
        <v>14</v>
      </c>
      <c r="E247">
        <v>80</v>
      </c>
      <c r="F247">
        <v>196</v>
      </c>
      <c r="G247">
        <v>83</v>
      </c>
      <c r="H247" t="s">
        <v>102</v>
      </c>
      <c r="I247">
        <v>12</v>
      </c>
      <c r="J247">
        <v>1</v>
      </c>
      <c r="K247">
        <v>0</v>
      </c>
      <c r="L247">
        <v>0</v>
      </c>
      <c r="N247" t="s">
        <v>918</v>
      </c>
      <c r="O247" t="s">
        <v>25</v>
      </c>
      <c r="Q247">
        <v>3</v>
      </c>
      <c r="R247" t="b">
        <v>0</v>
      </c>
      <c r="S247" t="s">
        <v>119</v>
      </c>
      <c r="T247">
        <v>0</v>
      </c>
    </row>
    <row r="248" spans="1:20" x14ac:dyDescent="0.25">
      <c r="A248" t="s">
        <v>774</v>
      </c>
      <c r="B248">
        <v>11</v>
      </c>
      <c r="C248" t="s">
        <v>19</v>
      </c>
      <c r="D248">
        <v>113</v>
      </c>
      <c r="E248">
        <v>77</v>
      </c>
      <c r="F248">
        <v>140</v>
      </c>
      <c r="G248">
        <v>82</v>
      </c>
      <c r="H248" t="s">
        <v>102</v>
      </c>
      <c r="I248">
        <v>10</v>
      </c>
      <c r="J248">
        <v>1</v>
      </c>
      <c r="K248">
        <v>0</v>
      </c>
      <c r="L248">
        <v>0</v>
      </c>
      <c r="N248" t="s">
        <v>918</v>
      </c>
      <c r="O248" t="s">
        <v>27</v>
      </c>
      <c r="Q248">
        <v>3</v>
      </c>
      <c r="R248" t="b">
        <v>1</v>
      </c>
      <c r="S248" t="s">
        <v>119</v>
      </c>
      <c r="T248">
        <v>0</v>
      </c>
    </row>
    <row r="249" spans="1:20" x14ac:dyDescent="0.25">
      <c r="A249" t="s">
        <v>775</v>
      </c>
      <c r="B249">
        <v>11</v>
      </c>
      <c r="C249" t="s">
        <v>19</v>
      </c>
      <c r="D249">
        <v>140</v>
      </c>
      <c r="E249">
        <v>77</v>
      </c>
      <c r="F249">
        <v>169</v>
      </c>
      <c r="G249">
        <v>82</v>
      </c>
      <c r="H249" t="s">
        <v>102</v>
      </c>
      <c r="I249">
        <v>10</v>
      </c>
      <c r="J249">
        <v>1</v>
      </c>
      <c r="K249">
        <v>0</v>
      </c>
      <c r="L249">
        <v>0</v>
      </c>
      <c r="N249" t="s">
        <v>918</v>
      </c>
      <c r="O249" t="s">
        <v>27</v>
      </c>
      <c r="Q249">
        <v>3</v>
      </c>
      <c r="R249" t="b">
        <v>1</v>
      </c>
      <c r="S249" t="s">
        <v>119</v>
      </c>
      <c r="T249">
        <v>0</v>
      </c>
    </row>
    <row r="250" spans="1:20" x14ac:dyDescent="0.25">
      <c r="A250" t="s">
        <v>776</v>
      </c>
      <c r="B250">
        <v>11</v>
      </c>
      <c r="C250" t="s">
        <v>19</v>
      </c>
      <c r="D250">
        <v>168</v>
      </c>
      <c r="E250">
        <v>77</v>
      </c>
      <c r="F250">
        <v>194</v>
      </c>
      <c r="G250">
        <v>82</v>
      </c>
      <c r="H250" t="s">
        <v>102</v>
      </c>
      <c r="I250">
        <v>10</v>
      </c>
      <c r="J250">
        <v>1</v>
      </c>
      <c r="K250">
        <v>0</v>
      </c>
      <c r="L250">
        <v>0</v>
      </c>
      <c r="N250" t="s">
        <v>918</v>
      </c>
      <c r="O250" t="s">
        <v>27</v>
      </c>
      <c r="Q250">
        <v>3</v>
      </c>
      <c r="R250" t="b">
        <v>1</v>
      </c>
      <c r="S250" t="s">
        <v>119</v>
      </c>
      <c r="T250">
        <v>0</v>
      </c>
    </row>
    <row r="251" spans="1:20" x14ac:dyDescent="0.25">
      <c r="A251" t="s">
        <v>44</v>
      </c>
      <c r="B251">
        <v>11</v>
      </c>
      <c r="C251" t="s">
        <v>25</v>
      </c>
      <c r="D251">
        <v>114</v>
      </c>
      <c r="E251">
        <v>75</v>
      </c>
      <c r="F251">
        <v>114</v>
      </c>
      <c r="G251">
        <v>123</v>
      </c>
      <c r="I251">
        <v>0.5</v>
      </c>
      <c r="J251">
        <v>0</v>
      </c>
      <c r="K251">
        <v>0</v>
      </c>
      <c r="L251">
        <v>0</v>
      </c>
      <c r="M251" t="s">
        <v>21</v>
      </c>
      <c r="N251" t="s">
        <v>918</v>
      </c>
      <c r="O251" t="s">
        <v>25</v>
      </c>
      <c r="Q251">
        <v>4</v>
      </c>
      <c r="R251" t="b">
        <v>0</v>
      </c>
      <c r="S251" t="s">
        <v>119</v>
      </c>
      <c r="T251">
        <v>0</v>
      </c>
    </row>
    <row r="252" spans="1:20" x14ac:dyDescent="0.25">
      <c r="A252" t="s">
        <v>45</v>
      </c>
      <c r="B252">
        <v>11</v>
      </c>
      <c r="C252" t="s">
        <v>25</v>
      </c>
      <c r="D252">
        <v>141</v>
      </c>
      <c r="E252">
        <v>75</v>
      </c>
      <c r="F252">
        <v>141</v>
      </c>
      <c r="G252">
        <v>123</v>
      </c>
      <c r="I252">
        <v>0.5</v>
      </c>
      <c r="J252">
        <v>0</v>
      </c>
      <c r="K252">
        <v>0</v>
      </c>
      <c r="L252">
        <v>0</v>
      </c>
      <c r="M252" t="s">
        <v>21</v>
      </c>
      <c r="N252" t="s">
        <v>918</v>
      </c>
      <c r="O252" t="s">
        <v>25</v>
      </c>
      <c r="Q252">
        <v>4</v>
      </c>
      <c r="R252" t="b">
        <v>0</v>
      </c>
      <c r="S252" t="s">
        <v>119</v>
      </c>
      <c r="T252">
        <v>0</v>
      </c>
    </row>
    <row r="253" spans="1:20" x14ac:dyDescent="0.25">
      <c r="A253" t="s">
        <v>46</v>
      </c>
      <c r="B253">
        <v>11</v>
      </c>
      <c r="C253" t="s">
        <v>25</v>
      </c>
      <c r="D253">
        <v>168</v>
      </c>
      <c r="E253">
        <v>75</v>
      </c>
      <c r="F253">
        <v>168</v>
      </c>
      <c r="G253">
        <v>123</v>
      </c>
      <c r="I253">
        <v>0.5</v>
      </c>
      <c r="J253">
        <v>0</v>
      </c>
      <c r="K253">
        <v>0</v>
      </c>
      <c r="L253">
        <v>0</v>
      </c>
      <c r="M253" t="s">
        <v>21</v>
      </c>
      <c r="N253" t="s">
        <v>918</v>
      </c>
      <c r="O253" t="s">
        <v>25</v>
      </c>
      <c r="Q253">
        <v>4</v>
      </c>
      <c r="R253" t="b">
        <v>0</v>
      </c>
      <c r="S253" t="s">
        <v>119</v>
      </c>
      <c r="T253">
        <v>0</v>
      </c>
    </row>
    <row r="254" spans="1:20" x14ac:dyDescent="0.25">
      <c r="A254" t="s">
        <v>55</v>
      </c>
      <c r="B254">
        <v>11</v>
      </c>
      <c r="C254" t="s">
        <v>25</v>
      </c>
      <c r="D254">
        <v>14</v>
      </c>
      <c r="E254">
        <v>102</v>
      </c>
      <c r="F254">
        <v>196</v>
      </c>
      <c r="G254">
        <v>102</v>
      </c>
      <c r="I254">
        <v>0.5</v>
      </c>
      <c r="J254">
        <v>0</v>
      </c>
      <c r="K254">
        <v>0</v>
      </c>
      <c r="L254">
        <v>0</v>
      </c>
      <c r="M254" t="s">
        <v>21</v>
      </c>
      <c r="N254" t="s">
        <v>918</v>
      </c>
      <c r="O254" t="s">
        <v>25</v>
      </c>
      <c r="Q254">
        <v>4</v>
      </c>
      <c r="R254" t="b">
        <v>0</v>
      </c>
      <c r="S254" t="s">
        <v>119</v>
      </c>
      <c r="T254">
        <v>0</v>
      </c>
    </row>
    <row r="255" spans="1:20" x14ac:dyDescent="0.25">
      <c r="A255" t="s">
        <v>920</v>
      </c>
      <c r="B255">
        <v>11</v>
      </c>
      <c r="C255" t="s">
        <v>19</v>
      </c>
      <c r="D255">
        <v>14</v>
      </c>
      <c r="E255">
        <v>125</v>
      </c>
      <c r="F255">
        <v>196</v>
      </c>
      <c r="G255">
        <v>129</v>
      </c>
      <c r="H255" t="s">
        <v>102</v>
      </c>
      <c r="I255">
        <v>10</v>
      </c>
      <c r="J255">
        <v>0</v>
      </c>
      <c r="K255">
        <v>0</v>
      </c>
      <c r="L255">
        <v>0</v>
      </c>
      <c r="N255" t="s">
        <v>21</v>
      </c>
      <c r="O255" t="s">
        <v>22</v>
      </c>
      <c r="Q255">
        <v>2</v>
      </c>
      <c r="R255" t="b">
        <v>0</v>
      </c>
      <c r="S255" t="s">
        <v>119</v>
      </c>
      <c r="T255">
        <v>0</v>
      </c>
    </row>
    <row r="256" spans="1:20" x14ac:dyDescent="0.25">
      <c r="A256" t="s">
        <v>5209</v>
      </c>
      <c r="B256">
        <v>11</v>
      </c>
      <c r="C256" t="s">
        <v>19</v>
      </c>
      <c r="D256">
        <v>14</v>
      </c>
      <c r="E256">
        <v>104</v>
      </c>
      <c r="F256">
        <v>112</v>
      </c>
      <c r="G256">
        <v>109</v>
      </c>
      <c r="H256" t="s">
        <v>102</v>
      </c>
      <c r="I256">
        <v>12</v>
      </c>
      <c r="J256">
        <v>0</v>
      </c>
      <c r="K256">
        <v>0</v>
      </c>
      <c r="L256">
        <v>0</v>
      </c>
      <c r="N256" t="s">
        <v>918</v>
      </c>
      <c r="O256" t="s">
        <v>25</v>
      </c>
      <c r="Q256">
        <v>3</v>
      </c>
      <c r="R256" t="b">
        <v>1</v>
      </c>
      <c r="S256" t="s">
        <v>119</v>
      </c>
      <c r="T256">
        <v>0</v>
      </c>
    </row>
    <row r="257" spans="1:20" x14ac:dyDescent="0.25">
      <c r="A257" t="s">
        <v>5210</v>
      </c>
      <c r="B257">
        <v>11</v>
      </c>
      <c r="C257" t="s">
        <v>19</v>
      </c>
      <c r="D257">
        <v>113</v>
      </c>
      <c r="E257">
        <v>105</v>
      </c>
      <c r="F257">
        <v>140</v>
      </c>
      <c r="G257">
        <v>108</v>
      </c>
      <c r="H257" t="s">
        <v>20</v>
      </c>
      <c r="I257">
        <v>16</v>
      </c>
      <c r="J257">
        <v>1</v>
      </c>
      <c r="K257">
        <v>0</v>
      </c>
      <c r="L257">
        <v>0</v>
      </c>
      <c r="N257" t="s">
        <v>918</v>
      </c>
      <c r="O257" t="s">
        <v>27</v>
      </c>
      <c r="Q257">
        <v>2</v>
      </c>
      <c r="R257" t="b">
        <v>0</v>
      </c>
      <c r="S257" t="s">
        <v>119</v>
      </c>
      <c r="T257">
        <v>0</v>
      </c>
    </row>
    <row r="258" spans="1:20" x14ac:dyDescent="0.25">
      <c r="A258" t="s">
        <v>5211</v>
      </c>
      <c r="B258">
        <v>11</v>
      </c>
      <c r="C258" t="s">
        <v>19</v>
      </c>
      <c r="D258">
        <v>140</v>
      </c>
      <c r="E258">
        <v>105</v>
      </c>
      <c r="F258">
        <v>169</v>
      </c>
      <c r="G258">
        <v>108</v>
      </c>
      <c r="H258" t="s">
        <v>20</v>
      </c>
      <c r="I258">
        <v>16</v>
      </c>
      <c r="J258">
        <v>1</v>
      </c>
      <c r="K258">
        <v>0</v>
      </c>
      <c r="L258">
        <v>0</v>
      </c>
      <c r="N258" t="s">
        <v>918</v>
      </c>
      <c r="O258" t="s">
        <v>27</v>
      </c>
      <c r="Q258">
        <v>2</v>
      </c>
      <c r="R258" t="b">
        <v>0</v>
      </c>
      <c r="S258" t="s">
        <v>119</v>
      </c>
      <c r="T258">
        <v>0</v>
      </c>
    </row>
    <row r="259" spans="1:20" x14ac:dyDescent="0.25">
      <c r="A259" t="s">
        <v>5212</v>
      </c>
      <c r="B259">
        <v>11</v>
      </c>
      <c r="C259" t="s">
        <v>19</v>
      </c>
      <c r="D259">
        <v>168</v>
      </c>
      <c r="E259">
        <v>105</v>
      </c>
      <c r="F259">
        <v>194</v>
      </c>
      <c r="G259">
        <v>108</v>
      </c>
      <c r="H259" t="s">
        <v>20</v>
      </c>
      <c r="I259">
        <v>16</v>
      </c>
      <c r="J259">
        <v>1</v>
      </c>
      <c r="K259">
        <v>0</v>
      </c>
      <c r="L259">
        <v>0</v>
      </c>
      <c r="N259" t="s">
        <v>918</v>
      </c>
      <c r="O259" t="s">
        <v>27</v>
      </c>
      <c r="Q259">
        <v>2</v>
      </c>
      <c r="R259" t="b">
        <v>0</v>
      </c>
      <c r="S259" t="s">
        <v>119</v>
      </c>
      <c r="T259">
        <v>0</v>
      </c>
    </row>
    <row r="260" spans="1:20" x14ac:dyDescent="0.25">
      <c r="A260" t="s">
        <v>1027</v>
      </c>
      <c r="B260">
        <v>11</v>
      </c>
      <c r="C260" t="s">
        <v>24</v>
      </c>
      <c r="D260">
        <v>30</v>
      </c>
      <c r="E260">
        <v>130</v>
      </c>
      <c r="F260">
        <v>180</v>
      </c>
      <c r="G260">
        <v>280</v>
      </c>
      <c r="I260">
        <v>0</v>
      </c>
      <c r="J260">
        <v>0</v>
      </c>
      <c r="K260">
        <v>0</v>
      </c>
      <c r="L260">
        <v>0</v>
      </c>
      <c r="N260" t="s">
        <v>21</v>
      </c>
      <c r="O260" t="s">
        <v>25</v>
      </c>
      <c r="Q260">
        <v>0</v>
      </c>
      <c r="R260" t="b">
        <v>0</v>
      </c>
      <c r="S260" t="s">
        <v>119</v>
      </c>
      <c r="T260">
        <v>0</v>
      </c>
    </row>
    <row r="261" spans="1:20" x14ac:dyDescent="0.25">
      <c r="A261" t="s">
        <v>1028</v>
      </c>
      <c r="B261">
        <v>11</v>
      </c>
      <c r="C261" t="s">
        <v>19</v>
      </c>
      <c r="D261">
        <v>30</v>
      </c>
      <c r="E261">
        <v>130</v>
      </c>
      <c r="F261">
        <v>130</v>
      </c>
      <c r="G261">
        <v>280</v>
      </c>
      <c r="H261" t="s">
        <v>102</v>
      </c>
      <c r="I261">
        <v>12</v>
      </c>
      <c r="J261">
        <v>0</v>
      </c>
      <c r="K261">
        <v>1</v>
      </c>
      <c r="L261">
        <v>0</v>
      </c>
      <c r="N261" t="s">
        <v>21</v>
      </c>
      <c r="O261" t="s">
        <v>25</v>
      </c>
      <c r="Q261">
        <v>0</v>
      </c>
      <c r="R261" t="b">
        <v>1</v>
      </c>
      <c r="S261" t="s">
        <v>119</v>
      </c>
      <c r="T261">
        <v>0</v>
      </c>
    </row>
    <row r="262" spans="1:20" x14ac:dyDescent="0.25">
      <c r="A262" t="s">
        <v>1029</v>
      </c>
      <c r="B262">
        <v>11</v>
      </c>
      <c r="C262" t="s">
        <v>19</v>
      </c>
      <c r="D262">
        <v>30</v>
      </c>
      <c r="E262">
        <v>280</v>
      </c>
      <c r="F262">
        <v>180</v>
      </c>
      <c r="G262">
        <v>283</v>
      </c>
      <c r="H262" t="s">
        <v>102</v>
      </c>
      <c r="I262">
        <v>8</v>
      </c>
      <c r="J262">
        <v>0</v>
      </c>
      <c r="K262">
        <v>1</v>
      </c>
      <c r="L262">
        <v>0</v>
      </c>
      <c r="M262" t="s">
        <v>884</v>
      </c>
      <c r="N262" t="s">
        <v>21</v>
      </c>
      <c r="O262" t="s">
        <v>22</v>
      </c>
      <c r="Q262">
        <v>0</v>
      </c>
      <c r="R262" t="b">
        <v>1</v>
      </c>
      <c r="S262" t="s">
        <v>119</v>
      </c>
      <c r="T262">
        <v>0</v>
      </c>
    </row>
    <row r="263" spans="1:20" x14ac:dyDescent="0.25">
      <c r="A263" t="s">
        <v>127</v>
      </c>
      <c r="B263">
        <v>12</v>
      </c>
      <c r="C263" t="s">
        <v>19</v>
      </c>
      <c r="D263">
        <v>14</v>
      </c>
      <c r="E263">
        <v>20</v>
      </c>
      <c r="F263">
        <v>196</v>
      </c>
      <c r="G263">
        <v>25</v>
      </c>
      <c r="H263" t="s">
        <v>102</v>
      </c>
      <c r="I263">
        <v>14</v>
      </c>
      <c r="J263">
        <v>1</v>
      </c>
      <c r="K263">
        <v>0</v>
      </c>
      <c r="L263">
        <v>0</v>
      </c>
      <c r="N263" t="s">
        <v>21</v>
      </c>
      <c r="O263" t="s">
        <v>25</v>
      </c>
      <c r="Q263">
        <v>2</v>
      </c>
      <c r="R263" t="b">
        <v>1</v>
      </c>
      <c r="S263" t="s">
        <v>119</v>
      </c>
      <c r="T263">
        <v>0</v>
      </c>
    </row>
    <row r="264" spans="1:20" x14ac:dyDescent="0.25">
      <c r="A264" t="s">
        <v>5023</v>
      </c>
      <c r="B264">
        <v>12</v>
      </c>
      <c r="C264" t="s">
        <v>19</v>
      </c>
      <c r="D264">
        <v>14</v>
      </c>
      <c r="E264">
        <v>33</v>
      </c>
      <c r="F264">
        <v>196</v>
      </c>
      <c r="G264">
        <v>38</v>
      </c>
      <c r="H264" t="s">
        <v>102</v>
      </c>
      <c r="I264">
        <v>12</v>
      </c>
      <c r="J264">
        <v>0</v>
      </c>
      <c r="K264">
        <v>0</v>
      </c>
      <c r="L264">
        <v>0</v>
      </c>
      <c r="N264" t="s">
        <v>21</v>
      </c>
      <c r="O264" t="s">
        <v>25</v>
      </c>
      <c r="Q264">
        <v>2</v>
      </c>
      <c r="R264" t="b">
        <v>1</v>
      </c>
      <c r="T264">
        <v>0</v>
      </c>
    </row>
    <row r="265" spans="1:20" x14ac:dyDescent="0.25">
      <c r="A265" t="s">
        <v>29</v>
      </c>
      <c r="B265">
        <v>12</v>
      </c>
      <c r="C265" t="s">
        <v>25</v>
      </c>
      <c r="D265">
        <v>14</v>
      </c>
      <c r="E265">
        <v>200</v>
      </c>
      <c r="F265">
        <v>196</v>
      </c>
      <c r="G265">
        <v>200</v>
      </c>
      <c r="I265">
        <v>0</v>
      </c>
      <c r="J265">
        <v>0</v>
      </c>
      <c r="K265">
        <v>0</v>
      </c>
      <c r="L265">
        <v>0</v>
      </c>
      <c r="N265" t="s">
        <v>21</v>
      </c>
      <c r="O265" t="s">
        <v>25</v>
      </c>
      <c r="Q265">
        <v>2</v>
      </c>
      <c r="R265" t="b">
        <v>0</v>
      </c>
      <c r="S265" t="s">
        <v>119</v>
      </c>
      <c r="T265">
        <v>0</v>
      </c>
    </row>
    <row r="266" spans="1:20" x14ac:dyDescent="0.25">
      <c r="A266" t="s">
        <v>334</v>
      </c>
      <c r="B266">
        <v>12</v>
      </c>
      <c r="C266" t="s">
        <v>19</v>
      </c>
      <c r="D266">
        <v>14</v>
      </c>
      <c r="E266">
        <v>208</v>
      </c>
      <c r="F266">
        <v>196</v>
      </c>
      <c r="G266">
        <v>212</v>
      </c>
      <c r="H266" t="s">
        <v>102</v>
      </c>
      <c r="I266">
        <v>12</v>
      </c>
      <c r="J266">
        <v>1</v>
      </c>
      <c r="K266">
        <v>0</v>
      </c>
      <c r="L266">
        <v>0</v>
      </c>
      <c r="N266" t="s">
        <v>21</v>
      </c>
      <c r="O266" t="s">
        <v>25</v>
      </c>
      <c r="P266" s="1"/>
      <c r="Q266">
        <v>2</v>
      </c>
      <c r="R266" t="b">
        <v>1</v>
      </c>
      <c r="S266" t="s">
        <v>119</v>
      </c>
      <c r="T266">
        <v>0</v>
      </c>
    </row>
    <row r="267" spans="1:20" x14ac:dyDescent="0.25">
      <c r="A267" t="s">
        <v>666</v>
      </c>
      <c r="B267">
        <v>12</v>
      </c>
      <c r="C267" t="s">
        <v>19</v>
      </c>
      <c r="D267">
        <v>14</v>
      </c>
      <c r="E267">
        <v>214</v>
      </c>
      <c r="F267">
        <v>196</v>
      </c>
      <c r="G267">
        <v>218</v>
      </c>
      <c r="H267" t="s">
        <v>102</v>
      </c>
      <c r="I267">
        <v>10</v>
      </c>
      <c r="J267">
        <v>0</v>
      </c>
      <c r="K267">
        <v>0</v>
      </c>
      <c r="L267">
        <v>0</v>
      </c>
      <c r="N267" t="s">
        <v>21</v>
      </c>
      <c r="O267" t="s">
        <v>25</v>
      </c>
      <c r="P267" s="1"/>
      <c r="Q267">
        <v>2</v>
      </c>
      <c r="R267" t="b">
        <v>1</v>
      </c>
      <c r="S267" t="s">
        <v>119</v>
      </c>
      <c r="T267">
        <v>0</v>
      </c>
    </row>
    <row r="268" spans="1:20" ht="15" customHeight="1" x14ac:dyDescent="0.25">
      <c r="A268" t="s">
        <v>934</v>
      </c>
      <c r="B268">
        <v>12</v>
      </c>
      <c r="C268" t="s">
        <v>24</v>
      </c>
      <c r="D268">
        <v>14</v>
      </c>
      <c r="E268">
        <v>248</v>
      </c>
      <c r="F268">
        <v>24</v>
      </c>
      <c r="G268">
        <v>258</v>
      </c>
      <c r="I268">
        <v>12</v>
      </c>
      <c r="J268">
        <v>0</v>
      </c>
      <c r="K268">
        <v>0</v>
      </c>
      <c r="L268">
        <v>0</v>
      </c>
      <c r="M268" t="s">
        <v>935</v>
      </c>
      <c r="N268" t="s">
        <v>936</v>
      </c>
      <c r="O268" t="s">
        <v>25</v>
      </c>
      <c r="P268" s="5" t="s">
        <v>5274</v>
      </c>
      <c r="Q268">
        <v>2</v>
      </c>
      <c r="R268" t="b">
        <v>1</v>
      </c>
      <c r="T268">
        <v>0</v>
      </c>
    </row>
    <row r="269" spans="1:20" ht="15" customHeight="1" x14ac:dyDescent="0.25">
      <c r="A269" t="s">
        <v>937</v>
      </c>
      <c r="B269">
        <v>12</v>
      </c>
      <c r="C269" t="s">
        <v>24</v>
      </c>
      <c r="D269">
        <v>26</v>
      </c>
      <c r="E269">
        <v>248</v>
      </c>
      <c r="F269">
        <v>36</v>
      </c>
      <c r="G269">
        <v>258</v>
      </c>
      <c r="I269">
        <v>12</v>
      </c>
      <c r="J269">
        <v>0</v>
      </c>
      <c r="K269">
        <v>0</v>
      </c>
      <c r="L269">
        <v>0</v>
      </c>
      <c r="M269" t="s">
        <v>935</v>
      </c>
      <c r="N269" t="s">
        <v>936</v>
      </c>
      <c r="O269" t="s">
        <v>25</v>
      </c>
      <c r="P269" s="5" t="s">
        <v>5275</v>
      </c>
      <c r="Q269">
        <v>2</v>
      </c>
      <c r="R269" t="b">
        <v>1</v>
      </c>
      <c r="T269">
        <v>0</v>
      </c>
    </row>
    <row r="270" spans="1:20" ht="15" customHeight="1" x14ac:dyDescent="0.25">
      <c r="A270" t="s">
        <v>938</v>
      </c>
      <c r="B270">
        <v>12</v>
      </c>
      <c r="C270" t="s">
        <v>24</v>
      </c>
      <c r="D270">
        <v>38</v>
      </c>
      <c r="E270">
        <v>248</v>
      </c>
      <c r="F270">
        <v>48</v>
      </c>
      <c r="G270">
        <v>258</v>
      </c>
      <c r="I270">
        <v>12</v>
      </c>
      <c r="J270">
        <v>0</v>
      </c>
      <c r="K270">
        <v>0</v>
      </c>
      <c r="L270">
        <v>0</v>
      </c>
      <c r="M270" t="s">
        <v>935</v>
      </c>
      <c r="N270" t="s">
        <v>936</v>
      </c>
      <c r="O270" t="s">
        <v>25</v>
      </c>
      <c r="P270" s="5" t="s">
        <v>5276</v>
      </c>
      <c r="Q270">
        <v>2</v>
      </c>
      <c r="R270" t="b">
        <v>1</v>
      </c>
      <c r="T270">
        <v>0</v>
      </c>
    </row>
    <row r="271" spans="1:20" ht="18" customHeight="1" x14ac:dyDescent="0.25">
      <c r="A271" t="s">
        <v>115</v>
      </c>
      <c r="B271">
        <v>12</v>
      </c>
      <c r="C271" t="s">
        <v>116</v>
      </c>
      <c r="D271">
        <v>14</v>
      </c>
      <c r="E271">
        <v>263</v>
      </c>
      <c r="F271">
        <v>196</v>
      </c>
      <c r="G271">
        <v>266</v>
      </c>
      <c r="H271" t="s">
        <v>102</v>
      </c>
      <c r="I271">
        <v>10</v>
      </c>
      <c r="J271">
        <v>0</v>
      </c>
      <c r="K271">
        <v>0</v>
      </c>
      <c r="L271">
        <v>0</v>
      </c>
      <c r="N271" t="s">
        <v>21</v>
      </c>
      <c r="O271" t="s">
        <v>25</v>
      </c>
      <c r="P271" s="5" t="s">
        <v>939</v>
      </c>
      <c r="Q271">
        <v>2</v>
      </c>
      <c r="R271" t="b">
        <v>1</v>
      </c>
      <c r="S271" t="s">
        <v>118</v>
      </c>
      <c r="T271">
        <v>0</v>
      </c>
    </row>
    <row r="272" spans="1:20" x14ac:dyDescent="0.25">
      <c r="A272" t="s">
        <v>29</v>
      </c>
      <c r="B272">
        <v>12</v>
      </c>
      <c r="C272" t="s">
        <v>25</v>
      </c>
      <c r="D272">
        <v>14</v>
      </c>
      <c r="E272">
        <v>274</v>
      </c>
      <c r="F272">
        <v>196</v>
      </c>
      <c r="G272">
        <v>274</v>
      </c>
      <c r="I272">
        <v>0</v>
      </c>
      <c r="J272">
        <v>0</v>
      </c>
      <c r="K272">
        <v>0</v>
      </c>
      <c r="L272">
        <v>0</v>
      </c>
      <c r="N272" t="s">
        <v>21</v>
      </c>
      <c r="O272" t="s">
        <v>25</v>
      </c>
      <c r="Q272">
        <v>2</v>
      </c>
      <c r="R272" t="b">
        <v>0</v>
      </c>
      <c r="S272" t="s">
        <v>119</v>
      </c>
      <c r="T272">
        <v>0</v>
      </c>
    </row>
  </sheetData>
  <autoFilter ref="A1:T1" xr:uid="{00000000-0001-0000-0000-000000000000}"/>
  <phoneticPr fontId="0"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FD248-C206-4C14-AC73-7CE020030FDF}">
  <dimension ref="A1:T342"/>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3</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899</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20</v>
      </c>
      <c r="F21">
        <v>196</v>
      </c>
      <c r="G21">
        <v>25</v>
      </c>
      <c r="H21" t="s">
        <v>102</v>
      </c>
      <c r="I21">
        <v>10</v>
      </c>
      <c r="J21">
        <v>0</v>
      </c>
      <c r="K21">
        <v>0</v>
      </c>
      <c r="L21">
        <v>0</v>
      </c>
      <c r="M21" t="s">
        <v>903</v>
      </c>
      <c r="N21" t="s">
        <v>947</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947</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947</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947</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947</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947</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947</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98</v>
      </c>
      <c r="F36">
        <v>210</v>
      </c>
      <c r="G36">
        <v>50</v>
      </c>
      <c r="I36">
        <v>0</v>
      </c>
      <c r="J36">
        <v>1</v>
      </c>
      <c r="K36">
        <v>0</v>
      </c>
      <c r="L36">
        <v>0</v>
      </c>
      <c r="N36" t="s">
        <v>21</v>
      </c>
      <c r="O36" t="s">
        <v>25</v>
      </c>
      <c r="Q36">
        <v>0</v>
      </c>
      <c r="R36" t="b">
        <v>0</v>
      </c>
      <c r="S36" t="s">
        <v>119</v>
      </c>
      <c r="T36">
        <v>0</v>
      </c>
    </row>
    <row r="37" spans="1:20" x14ac:dyDescent="0.25">
      <c r="A37" t="s">
        <v>1020</v>
      </c>
      <c r="B37">
        <v>3</v>
      </c>
      <c r="C37" t="s">
        <v>19</v>
      </c>
      <c r="D37">
        <v>14</v>
      </c>
      <c r="E37">
        <v>92</v>
      </c>
      <c r="F37">
        <v>196</v>
      </c>
      <c r="G37">
        <v>97</v>
      </c>
      <c r="H37" t="s">
        <v>102</v>
      </c>
      <c r="I37">
        <v>14</v>
      </c>
      <c r="J37">
        <v>1</v>
      </c>
      <c r="K37">
        <v>0</v>
      </c>
      <c r="L37">
        <v>0</v>
      </c>
      <c r="N37" t="s">
        <v>21</v>
      </c>
      <c r="O37" t="s">
        <v>25</v>
      </c>
      <c r="Q37">
        <v>3</v>
      </c>
      <c r="R37" t="b">
        <v>1</v>
      </c>
      <c r="S37" t="s">
        <v>119</v>
      </c>
      <c r="T37">
        <v>0</v>
      </c>
    </row>
    <row r="38" spans="1:20" x14ac:dyDescent="0.25">
      <c r="A38" t="s">
        <v>1021</v>
      </c>
      <c r="B38">
        <v>3</v>
      </c>
      <c r="C38" t="s">
        <v>19</v>
      </c>
      <c r="D38">
        <v>14</v>
      </c>
      <c r="E38">
        <v>101</v>
      </c>
      <c r="F38">
        <v>196</v>
      </c>
      <c r="G38">
        <v>106</v>
      </c>
      <c r="H38" t="s">
        <v>102</v>
      </c>
      <c r="I38">
        <v>12</v>
      </c>
      <c r="J38">
        <v>0</v>
      </c>
      <c r="K38">
        <v>0</v>
      </c>
      <c r="L38">
        <v>0</v>
      </c>
      <c r="N38" t="s">
        <v>21</v>
      </c>
      <c r="O38" t="s">
        <v>25</v>
      </c>
      <c r="Q38">
        <v>3</v>
      </c>
      <c r="R38" t="b">
        <v>1</v>
      </c>
      <c r="S38" t="s">
        <v>119</v>
      </c>
      <c r="T38">
        <v>0</v>
      </c>
    </row>
    <row r="39" spans="1:20" x14ac:dyDescent="0.25">
      <c r="A39" t="s">
        <v>976</v>
      </c>
      <c r="B39">
        <v>3</v>
      </c>
      <c r="C39" t="s">
        <v>19</v>
      </c>
      <c r="D39">
        <v>14</v>
      </c>
      <c r="E39">
        <v>132</v>
      </c>
      <c r="F39">
        <v>196</v>
      </c>
      <c r="G39">
        <v>137</v>
      </c>
      <c r="H39" t="s">
        <v>102</v>
      </c>
      <c r="I39">
        <v>12</v>
      </c>
      <c r="J39">
        <v>1</v>
      </c>
      <c r="K39">
        <v>0</v>
      </c>
      <c r="L39">
        <v>0</v>
      </c>
      <c r="N39" t="s">
        <v>21</v>
      </c>
      <c r="O39" t="s">
        <v>25</v>
      </c>
      <c r="Q39">
        <v>3</v>
      </c>
      <c r="R39" t="b">
        <v>1</v>
      </c>
      <c r="S39" t="s">
        <v>119</v>
      </c>
      <c r="T39">
        <v>0</v>
      </c>
    </row>
    <row r="40" spans="1:20" x14ac:dyDescent="0.25">
      <c r="A40" t="s">
        <v>5021</v>
      </c>
      <c r="B40">
        <v>3</v>
      </c>
      <c r="C40" t="s">
        <v>19</v>
      </c>
      <c r="D40">
        <v>14</v>
      </c>
      <c r="E40">
        <v>141</v>
      </c>
      <c r="F40">
        <v>196</v>
      </c>
      <c r="G40">
        <v>146</v>
      </c>
      <c r="H40" t="s">
        <v>102</v>
      </c>
      <c r="I40">
        <v>12</v>
      </c>
      <c r="J40">
        <v>0</v>
      </c>
      <c r="K40">
        <v>0</v>
      </c>
      <c r="L40">
        <v>0</v>
      </c>
      <c r="N40" t="s">
        <v>21</v>
      </c>
      <c r="O40" t="s">
        <v>25</v>
      </c>
      <c r="Q40">
        <v>3</v>
      </c>
      <c r="R40" t="b">
        <v>1</v>
      </c>
      <c r="S40" t="s">
        <v>119</v>
      </c>
      <c r="T40">
        <v>0</v>
      </c>
    </row>
    <row r="41" spans="1:20" x14ac:dyDescent="0.25">
      <c r="A41" t="s">
        <v>969</v>
      </c>
      <c r="B41">
        <v>3</v>
      </c>
      <c r="C41" t="s">
        <v>19</v>
      </c>
      <c r="D41">
        <v>14</v>
      </c>
      <c r="E41">
        <v>158</v>
      </c>
      <c r="F41">
        <v>196</v>
      </c>
      <c r="G41">
        <v>163</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167</v>
      </c>
      <c r="F42">
        <v>196</v>
      </c>
      <c r="G42">
        <v>172</v>
      </c>
      <c r="H42" t="s">
        <v>102</v>
      </c>
      <c r="I42">
        <v>12</v>
      </c>
      <c r="J42">
        <v>0</v>
      </c>
      <c r="K42">
        <v>0</v>
      </c>
      <c r="L42">
        <v>0</v>
      </c>
      <c r="N42" t="s">
        <v>21</v>
      </c>
      <c r="O42" t="s">
        <v>25</v>
      </c>
      <c r="Q42">
        <v>3</v>
      </c>
      <c r="R42" t="b">
        <v>1</v>
      </c>
      <c r="S42" t="s">
        <v>119</v>
      </c>
      <c r="T42">
        <v>0</v>
      </c>
    </row>
    <row r="43" spans="1:20" x14ac:dyDescent="0.25">
      <c r="A43" t="s">
        <v>970</v>
      </c>
      <c r="B43">
        <v>3</v>
      </c>
      <c r="C43" t="s">
        <v>19</v>
      </c>
      <c r="D43">
        <v>14</v>
      </c>
      <c r="E43">
        <v>200</v>
      </c>
      <c r="F43">
        <v>196</v>
      </c>
      <c r="G43">
        <v>205</v>
      </c>
      <c r="H43" t="s">
        <v>102</v>
      </c>
      <c r="I43">
        <v>12</v>
      </c>
      <c r="J43">
        <v>1</v>
      </c>
      <c r="K43">
        <v>0</v>
      </c>
      <c r="L43">
        <v>0</v>
      </c>
      <c r="N43" t="s">
        <v>21</v>
      </c>
      <c r="O43" t="s">
        <v>25</v>
      </c>
      <c r="Q43">
        <v>3</v>
      </c>
      <c r="R43" t="b">
        <v>1</v>
      </c>
      <c r="S43" t="s">
        <v>119</v>
      </c>
      <c r="T43">
        <v>0</v>
      </c>
    </row>
    <row r="44" spans="1:20" x14ac:dyDescent="0.25">
      <c r="A44" t="s">
        <v>1018</v>
      </c>
      <c r="B44">
        <v>3</v>
      </c>
      <c r="C44" t="s">
        <v>19</v>
      </c>
      <c r="D44">
        <v>14</v>
      </c>
      <c r="E44">
        <v>209</v>
      </c>
      <c r="F44">
        <v>196</v>
      </c>
      <c r="G44">
        <v>214</v>
      </c>
      <c r="H44" t="s">
        <v>102</v>
      </c>
      <c r="I44">
        <v>12</v>
      </c>
      <c r="J44">
        <v>0</v>
      </c>
      <c r="K44">
        <v>0</v>
      </c>
      <c r="L44">
        <v>0</v>
      </c>
      <c r="N44" t="s">
        <v>21</v>
      </c>
      <c r="O44" t="s">
        <v>25</v>
      </c>
      <c r="Q44">
        <v>3</v>
      </c>
      <c r="R44" t="b">
        <v>1</v>
      </c>
      <c r="S44" t="s">
        <v>119</v>
      </c>
      <c r="T44">
        <v>0</v>
      </c>
    </row>
    <row r="45" spans="1:20" x14ac:dyDescent="0.25">
      <c r="A45" t="s">
        <v>994</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910</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727</v>
      </c>
      <c r="B47">
        <v>4</v>
      </c>
      <c r="C47" t="s">
        <v>24</v>
      </c>
      <c r="D47">
        <v>15</v>
      </c>
      <c r="E47">
        <v>55</v>
      </c>
      <c r="F47">
        <v>196</v>
      </c>
      <c r="G47">
        <v>190</v>
      </c>
      <c r="I47">
        <v>0</v>
      </c>
      <c r="J47">
        <v>0</v>
      </c>
      <c r="K47">
        <v>0</v>
      </c>
      <c r="L47">
        <v>0</v>
      </c>
      <c r="N47" t="s">
        <v>21</v>
      </c>
      <c r="O47" t="s">
        <v>25</v>
      </c>
      <c r="Q47">
        <v>2</v>
      </c>
      <c r="R47" t="b">
        <v>0</v>
      </c>
      <c r="S47" t="s">
        <v>119</v>
      </c>
      <c r="T47">
        <v>0</v>
      </c>
    </row>
    <row r="48" spans="1:20" x14ac:dyDescent="0.25">
      <c r="A48" t="s">
        <v>989</v>
      </c>
      <c r="B48">
        <v>-999</v>
      </c>
      <c r="C48" t="s">
        <v>26</v>
      </c>
      <c r="D48">
        <v>40</v>
      </c>
      <c r="E48">
        <v>200</v>
      </c>
      <c r="F48">
        <v>170</v>
      </c>
      <c r="G48">
        <v>240</v>
      </c>
      <c r="I48">
        <v>0</v>
      </c>
      <c r="J48">
        <v>1</v>
      </c>
      <c r="K48">
        <v>0</v>
      </c>
      <c r="L48">
        <v>0</v>
      </c>
      <c r="N48" t="s">
        <v>988</v>
      </c>
      <c r="O48" t="s">
        <v>25</v>
      </c>
      <c r="Q48">
        <v>0</v>
      </c>
      <c r="R48" t="b">
        <v>0</v>
      </c>
      <c r="S48" t="s">
        <v>119</v>
      </c>
      <c r="T48">
        <v>0</v>
      </c>
    </row>
    <row r="49" spans="1:20" x14ac:dyDescent="0.25">
      <c r="A49" t="s">
        <v>990</v>
      </c>
      <c r="B49">
        <v>4</v>
      </c>
      <c r="C49" t="s">
        <v>19</v>
      </c>
      <c r="D49">
        <v>14</v>
      </c>
      <c r="E49">
        <v>202</v>
      </c>
      <c r="F49">
        <v>196</v>
      </c>
      <c r="G49">
        <v>207</v>
      </c>
      <c r="H49" t="s">
        <v>102</v>
      </c>
      <c r="I49">
        <v>10</v>
      </c>
      <c r="J49">
        <v>1</v>
      </c>
      <c r="K49">
        <v>0</v>
      </c>
      <c r="L49">
        <v>0</v>
      </c>
      <c r="N49" t="s">
        <v>21</v>
      </c>
      <c r="O49" t="s">
        <v>25</v>
      </c>
      <c r="Q49">
        <v>2</v>
      </c>
      <c r="R49" t="b">
        <v>1</v>
      </c>
      <c r="T49">
        <v>0</v>
      </c>
    </row>
    <row r="50" spans="1:20" x14ac:dyDescent="0.25">
      <c r="A50" t="s">
        <v>995</v>
      </c>
      <c r="B50">
        <v>4</v>
      </c>
      <c r="C50" t="s">
        <v>24</v>
      </c>
      <c r="D50">
        <v>14</v>
      </c>
      <c r="E50">
        <v>210</v>
      </c>
      <c r="F50">
        <v>24</v>
      </c>
      <c r="G50">
        <v>220</v>
      </c>
      <c r="I50">
        <v>0</v>
      </c>
      <c r="J50">
        <v>0</v>
      </c>
      <c r="K50">
        <v>0</v>
      </c>
      <c r="L50">
        <v>0</v>
      </c>
      <c r="N50" t="s">
        <v>21</v>
      </c>
      <c r="O50" t="s">
        <v>25</v>
      </c>
      <c r="P50" t="s">
        <v>5277</v>
      </c>
      <c r="Q50">
        <v>2</v>
      </c>
      <c r="R50" t="b">
        <v>0</v>
      </c>
      <c r="S50" t="s">
        <v>119</v>
      </c>
      <c r="T50">
        <v>0</v>
      </c>
    </row>
    <row r="51" spans="1:20" x14ac:dyDescent="0.25">
      <c r="A51" t="s">
        <v>996</v>
      </c>
      <c r="B51">
        <v>4</v>
      </c>
      <c r="C51" t="s">
        <v>24</v>
      </c>
      <c r="D51">
        <v>75</v>
      </c>
      <c r="E51">
        <v>210</v>
      </c>
      <c r="F51">
        <v>85</v>
      </c>
      <c r="G51">
        <v>220</v>
      </c>
      <c r="I51">
        <v>0</v>
      </c>
      <c r="J51">
        <v>0</v>
      </c>
      <c r="K51">
        <v>0</v>
      </c>
      <c r="L51">
        <v>0</v>
      </c>
      <c r="N51" t="s">
        <v>21</v>
      </c>
      <c r="O51" t="s">
        <v>25</v>
      </c>
      <c r="P51" t="s">
        <v>5278</v>
      </c>
      <c r="Q51">
        <v>2</v>
      </c>
      <c r="R51" t="b">
        <v>0</v>
      </c>
      <c r="S51" t="s">
        <v>119</v>
      </c>
      <c r="T51">
        <v>0</v>
      </c>
    </row>
    <row r="52" spans="1:20" x14ac:dyDescent="0.25">
      <c r="A52" t="s">
        <v>997</v>
      </c>
      <c r="B52">
        <v>4</v>
      </c>
      <c r="C52" t="s">
        <v>24</v>
      </c>
      <c r="D52">
        <v>136</v>
      </c>
      <c r="E52">
        <v>210</v>
      </c>
      <c r="F52">
        <v>146</v>
      </c>
      <c r="G52">
        <v>220</v>
      </c>
      <c r="I52">
        <v>0</v>
      </c>
      <c r="J52">
        <v>0</v>
      </c>
      <c r="K52">
        <v>0</v>
      </c>
      <c r="L52">
        <v>0</v>
      </c>
      <c r="N52" t="s">
        <v>21</v>
      </c>
      <c r="O52" t="s">
        <v>25</v>
      </c>
      <c r="P52" t="s">
        <v>5279</v>
      </c>
      <c r="Q52">
        <v>2</v>
      </c>
      <c r="R52" t="b">
        <v>0</v>
      </c>
      <c r="S52" t="s">
        <v>119</v>
      </c>
      <c r="T52">
        <v>0</v>
      </c>
    </row>
    <row r="53" spans="1:20" x14ac:dyDescent="0.25">
      <c r="A53" t="s">
        <v>991</v>
      </c>
      <c r="B53">
        <v>4</v>
      </c>
      <c r="C53" t="s">
        <v>19</v>
      </c>
      <c r="D53">
        <v>14</v>
      </c>
      <c r="E53">
        <v>222</v>
      </c>
      <c r="F53">
        <v>70</v>
      </c>
      <c r="G53">
        <v>227</v>
      </c>
      <c r="H53" t="s">
        <v>102</v>
      </c>
      <c r="I53">
        <v>10</v>
      </c>
      <c r="J53">
        <v>0</v>
      </c>
      <c r="K53">
        <v>0</v>
      </c>
      <c r="L53">
        <v>0</v>
      </c>
      <c r="N53" t="s">
        <v>21</v>
      </c>
      <c r="O53" t="s">
        <v>25</v>
      </c>
      <c r="Q53">
        <v>2</v>
      </c>
      <c r="R53" t="b">
        <v>1</v>
      </c>
      <c r="T53">
        <v>0</v>
      </c>
    </row>
    <row r="54" spans="1:20" x14ac:dyDescent="0.25">
      <c r="A54" t="s">
        <v>992</v>
      </c>
      <c r="B54">
        <v>4</v>
      </c>
      <c r="C54" t="s">
        <v>19</v>
      </c>
      <c r="D54">
        <v>75</v>
      </c>
      <c r="E54">
        <v>222</v>
      </c>
      <c r="F54">
        <v>131</v>
      </c>
      <c r="G54">
        <v>227</v>
      </c>
      <c r="H54" t="s">
        <v>102</v>
      </c>
      <c r="I54">
        <v>10</v>
      </c>
      <c r="J54">
        <v>0</v>
      </c>
      <c r="K54">
        <v>0</v>
      </c>
      <c r="L54">
        <v>0</v>
      </c>
      <c r="N54" t="s">
        <v>21</v>
      </c>
      <c r="O54" t="s">
        <v>25</v>
      </c>
      <c r="Q54">
        <v>2</v>
      </c>
      <c r="R54" t="b">
        <v>1</v>
      </c>
      <c r="T54">
        <v>0</v>
      </c>
    </row>
    <row r="55" spans="1:20" x14ac:dyDescent="0.25">
      <c r="A55" t="s">
        <v>993</v>
      </c>
      <c r="B55">
        <v>4</v>
      </c>
      <c r="C55" t="s">
        <v>19</v>
      </c>
      <c r="D55">
        <v>136</v>
      </c>
      <c r="E55">
        <v>222</v>
      </c>
      <c r="F55">
        <v>196</v>
      </c>
      <c r="G55">
        <v>227</v>
      </c>
      <c r="H55" t="s">
        <v>102</v>
      </c>
      <c r="I55">
        <v>10</v>
      </c>
      <c r="J55">
        <v>0</v>
      </c>
      <c r="K55">
        <v>0</v>
      </c>
      <c r="L55">
        <v>0</v>
      </c>
      <c r="N55" t="s">
        <v>21</v>
      </c>
      <c r="O55" t="s">
        <v>25</v>
      </c>
      <c r="Q55">
        <v>2</v>
      </c>
      <c r="R55" t="b">
        <v>1</v>
      </c>
      <c r="T55">
        <v>0</v>
      </c>
    </row>
    <row r="56" spans="1:20" x14ac:dyDescent="0.25">
      <c r="A56" t="s">
        <v>863</v>
      </c>
      <c r="B56">
        <v>5</v>
      </c>
      <c r="C56" t="s">
        <v>19</v>
      </c>
      <c r="D56">
        <v>14</v>
      </c>
      <c r="E56">
        <v>20</v>
      </c>
      <c r="F56">
        <v>196</v>
      </c>
      <c r="G56">
        <v>25</v>
      </c>
      <c r="H56" t="s">
        <v>102</v>
      </c>
      <c r="I56">
        <v>14</v>
      </c>
      <c r="J56">
        <v>1</v>
      </c>
      <c r="K56">
        <v>0</v>
      </c>
      <c r="L56">
        <v>0</v>
      </c>
      <c r="N56" t="s">
        <v>21</v>
      </c>
      <c r="O56" t="s">
        <v>25</v>
      </c>
      <c r="Q56">
        <v>3</v>
      </c>
      <c r="R56" t="b">
        <v>1</v>
      </c>
      <c r="S56" t="s">
        <v>119</v>
      </c>
      <c r="T56">
        <v>0</v>
      </c>
    </row>
    <row r="57" spans="1:20" x14ac:dyDescent="0.25">
      <c r="A57" t="s">
        <v>801</v>
      </c>
      <c r="B57">
        <v>5</v>
      </c>
      <c r="C57" t="s">
        <v>19</v>
      </c>
      <c r="D57">
        <v>14</v>
      </c>
      <c r="E57">
        <v>33</v>
      </c>
      <c r="F57">
        <v>196</v>
      </c>
      <c r="G57">
        <v>38</v>
      </c>
      <c r="H57" t="s">
        <v>102</v>
      </c>
      <c r="I57">
        <v>12</v>
      </c>
      <c r="J57">
        <v>0</v>
      </c>
      <c r="K57">
        <v>0</v>
      </c>
      <c r="L57">
        <v>0</v>
      </c>
      <c r="N57" t="s">
        <v>21</v>
      </c>
      <c r="O57" t="s">
        <v>25</v>
      </c>
      <c r="Q57">
        <v>3</v>
      </c>
      <c r="R57" t="b">
        <v>1</v>
      </c>
      <c r="S57" t="s">
        <v>119</v>
      </c>
      <c r="T57">
        <v>0</v>
      </c>
    </row>
    <row r="58" spans="1:20" x14ac:dyDescent="0.25">
      <c r="A58" t="s">
        <v>966</v>
      </c>
      <c r="B58">
        <v>5</v>
      </c>
      <c r="C58" t="s">
        <v>26</v>
      </c>
      <c r="D58">
        <v>30</v>
      </c>
      <c r="E58">
        <v>85</v>
      </c>
      <c r="F58">
        <v>170</v>
      </c>
      <c r="G58">
        <v>152</v>
      </c>
      <c r="I58">
        <v>0</v>
      </c>
      <c r="J58">
        <v>1</v>
      </c>
      <c r="K58">
        <v>0</v>
      </c>
      <c r="L58">
        <v>0</v>
      </c>
      <c r="M58" t="s">
        <v>665</v>
      </c>
      <c r="N58" t="s">
        <v>665</v>
      </c>
      <c r="O58" t="s">
        <v>25</v>
      </c>
      <c r="Q58">
        <v>1</v>
      </c>
      <c r="R58" t="b">
        <v>0</v>
      </c>
      <c r="S58" t="s">
        <v>119</v>
      </c>
      <c r="T58">
        <v>0</v>
      </c>
    </row>
    <row r="59" spans="1:20" x14ac:dyDescent="0.25">
      <c r="A59" t="s">
        <v>35</v>
      </c>
      <c r="B59">
        <v>5</v>
      </c>
      <c r="C59" t="s">
        <v>19</v>
      </c>
      <c r="D59">
        <v>40</v>
      </c>
      <c r="E59">
        <v>93</v>
      </c>
      <c r="F59">
        <v>160</v>
      </c>
      <c r="G59">
        <v>98</v>
      </c>
      <c r="H59" t="s">
        <v>102</v>
      </c>
      <c r="I59">
        <v>16</v>
      </c>
      <c r="J59">
        <v>1</v>
      </c>
      <c r="K59">
        <v>0</v>
      </c>
      <c r="L59">
        <v>0</v>
      </c>
      <c r="N59" t="s">
        <v>665</v>
      </c>
      <c r="O59" t="s">
        <v>27</v>
      </c>
      <c r="Q59">
        <v>3</v>
      </c>
      <c r="R59" t="b">
        <v>1</v>
      </c>
      <c r="S59" t="s">
        <v>119</v>
      </c>
      <c r="T59">
        <v>0</v>
      </c>
    </row>
    <row r="60" spans="1:20" x14ac:dyDescent="0.25">
      <c r="A60" t="s">
        <v>104</v>
      </c>
      <c r="B60">
        <v>5</v>
      </c>
      <c r="C60" t="s">
        <v>19</v>
      </c>
      <c r="D60">
        <v>40</v>
      </c>
      <c r="E60">
        <v>106</v>
      </c>
      <c r="F60">
        <v>160</v>
      </c>
      <c r="G60">
        <v>114</v>
      </c>
      <c r="H60" t="s">
        <v>102</v>
      </c>
      <c r="I60">
        <v>16</v>
      </c>
      <c r="J60">
        <v>0</v>
      </c>
      <c r="K60">
        <v>1</v>
      </c>
      <c r="L60">
        <v>0</v>
      </c>
      <c r="N60" t="s">
        <v>665</v>
      </c>
      <c r="O60" t="s">
        <v>27</v>
      </c>
      <c r="Q60">
        <v>2</v>
      </c>
      <c r="R60" t="b">
        <v>1</v>
      </c>
      <c r="S60" t="s">
        <v>119</v>
      </c>
      <c r="T60">
        <v>0</v>
      </c>
    </row>
    <row r="61" spans="1:20" x14ac:dyDescent="0.25">
      <c r="A61" t="s">
        <v>56</v>
      </c>
      <c r="B61">
        <v>5</v>
      </c>
      <c r="C61" t="s">
        <v>19</v>
      </c>
      <c r="D61">
        <v>40</v>
      </c>
      <c r="E61">
        <v>134</v>
      </c>
      <c r="F61">
        <v>160</v>
      </c>
      <c r="G61">
        <v>140</v>
      </c>
      <c r="H61" t="s">
        <v>102</v>
      </c>
      <c r="I61">
        <v>20</v>
      </c>
      <c r="J61">
        <v>1</v>
      </c>
      <c r="K61">
        <v>0</v>
      </c>
      <c r="L61">
        <v>0</v>
      </c>
      <c r="N61" t="s">
        <v>665</v>
      </c>
      <c r="O61" t="s">
        <v>27</v>
      </c>
      <c r="P61" t="s">
        <v>963</v>
      </c>
      <c r="Q61">
        <v>3</v>
      </c>
      <c r="R61" t="b">
        <v>1</v>
      </c>
      <c r="S61" t="s">
        <v>119</v>
      </c>
      <c r="T61">
        <v>0</v>
      </c>
    </row>
    <row r="62" spans="1:20" x14ac:dyDescent="0.25">
      <c r="A62" t="s">
        <v>965</v>
      </c>
      <c r="B62">
        <v>5</v>
      </c>
      <c r="C62" t="s">
        <v>26</v>
      </c>
      <c r="D62">
        <v>30</v>
      </c>
      <c r="E62">
        <v>182</v>
      </c>
      <c r="F62">
        <v>170</v>
      </c>
      <c r="G62">
        <v>249</v>
      </c>
      <c r="I62">
        <v>0</v>
      </c>
      <c r="J62">
        <v>1</v>
      </c>
      <c r="K62">
        <v>0</v>
      </c>
      <c r="L62">
        <v>0</v>
      </c>
      <c r="M62" t="s">
        <v>967</v>
      </c>
      <c r="N62" t="s">
        <v>967</v>
      </c>
      <c r="O62" t="s">
        <v>25</v>
      </c>
      <c r="Q62">
        <v>1</v>
      </c>
      <c r="R62" t="b">
        <v>0</v>
      </c>
      <c r="S62" t="s">
        <v>119</v>
      </c>
      <c r="T62">
        <v>0</v>
      </c>
    </row>
    <row r="63" spans="1:20" x14ac:dyDescent="0.25">
      <c r="A63" t="s">
        <v>36</v>
      </c>
      <c r="B63">
        <v>5</v>
      </c>
      <c r="C63" t="s">
        <v>19</v>
      </c>
      <c r="D63">
        <v>40</v>
      </c>
      <c r="E63">
        <v>190</v>
      </c>
      <c r="F63">
        <v>160</v>
      </c>
      <c r="G63">
        <v>195</v>
      </c>
      <c r="H63" t="s">
        <v>102</v>
      </c>
      <c r="I63">
        <v>16</v>
      </c>
      <c r="J63">
        <v>1</v>
      </c>
      <c r="K63">
        <v>0</v>
      </c>
      <c r="L63">
        <v>0</v>
      </c>
      <c r="N63" t="s">
        <v>967</v>
      </c>
      <c r="O63" t="s">
        <v>27</v>
      </c>
      <c r="Q63">
        <v>3</v>
      </c>
      <c r="R63" t="b">
        <v>1</v>
      </c>
      <c r="S63" t="s">
        <v>119</v>
      </c>
      <c r="T63">
        <v>0</v>
      </c>
    </row>
    <row r="64" spans="1:20" x14ac:dyDescent="0.25">
      <c r="A64" t="s">
        <v>105</v>
      </c>
      <c r="B64">
        <v>5</v>
      </c>
      <c r="C64" t="s">
        <v>19</v>
      </c>
      <c r="D64">
        <v>40</v>
      </c>
      <c r="E64">
        <v>203</v>
      </c>
      <c r="F64">
        <v>160</v>
      </c>
      <c r="G64">
        <v>211</v>
      </c>
      <c r="H64" t="s">
        <v>102</v>
      </c>
      <c r="I64">
        <v>16</v>
      </c>
      <c r="J64">
        <v>0</v>
      </c>
      <c r="K64">
        <v>1</v>
      </c>
      <c r="L64">
        <v>0</v>
      </c>
      <c r="N64" t="s">
        <v>967</v>
      </c>
      <c r="O64" t="s">
        <v>27</v>
      </c>
      <c r="Q64">
        <v>2</v>
      </c>
      <c r="R64" t="b">
        <v>1</v>
      </c>
      <c r="S64" t="s">
        <v>119</v>
      </c>
      <c r="T64">
        <v>0</v>
      </c>
    </row>
    <row r="65" spans="1:20" x14ac:dyDescent="0.25">
      <c r="A65" t="s">
        <v>57</v>
      </c>
      <c r="B65">
        <v>5</v>
      </c>
      <c r="C65" t="s">
        <v>19</v>
      </c>
      <c r="D65">
        <v>40</v>
      </c>
      <c r="E65">
        <v>231</v>
      </c>
      <c r="F65">
        <v>160</v>
      </c>
      <c r="G65">
        <v>237</v>
      </c>
      <c r="H65" t="s">
        <v>102</v>
      </c>
      <c r="I65">
        <v>20</v>
      </c>
      <c r="J65">
        <v>1</v>
      </c>
      <c r="K65">
        <v>0</v>
      </c>
      <c r="L65">
        <v>0</v>
      </c>
      <c r="N65" t="s">
        <v>967</v>
      </c>
      <c r="O65" t="s">
        <v>27</v>
      </c>
      <c r="P65" t="s">
        <v>964</v>
      </c>
      <c r="Q65">
        <v>3</v>
      </c>
      <c r="R65" t="b">
        <v>1</v>
      </c>
      <c r="S65" t="s">
        <v>119</v>
      </c>
      <c r="T65">
        <v>0</v>
      </c>
    </row>
    <row r="66" spans="1:20" x14ac:dyDescent="0.25">
      <c r="A66" t="s">
        <v>972</v>
      </c>
      <c r="B66">
        <v>6</v>
      </c>
      <c r="C66" t="s">
        <v>26</v>
      </c>
      <c r="D66">
        <v>14</v>
      </c>
      <c r="E66">
        <v>45</v>
      </c>
      <c r="F66">
        <v>196</v>
      </c>
      <c r="G66">
        <v>244</v>
      </c>
      <c r="I66">
        <v>0</v>
      </c>
      <c r="J66">
        <v>0</v>
      </c>
      <c r="K66">
        <v>0</v>
      </c>
      <c r="L66">
        <v>0</v>
      </c>
      <c r="N66" t="s">
        <v>21</v>
      </c>
      <c r="O66" t="s">
        <v>25</v>
      </c>
      <c r="Q66">
        <v>1</v>
      </c>
      <c r="R66" t="b">
        <v>0</v>
      </c>
      <c r="S66" t="s">
        <v>119</v>
      </c>
      <c r="T66">
        <v>0</v>
      </c>
    </row>
    <row r="67" spans="1:20" x14ac:dyDescent="0.25">
      <c r="A67" t="s">
        <v>805</v>
      </c>
      <c r="B67">
        <v>6</v>
      </c>
      <c r="C67" t="s">
        <v>19</v>
      </c>
      <c r="D67">
        <v>20</v>
      </c>
      <c r="E67">
        <v>51</v>
      </c>
      <c r="F67">
        <v>194</v>
      </c>
      <c r="G67">
        <v>56</v>
      </c>
      <c r="H67" t="s">
        <v>102</v>
      </c>
      <c r="I67">
        <v>12</v>
      </c>
      <c r="J67">
        <v>1</v>
      </c>
      <c r="K67">
        <v>0</v>
      </c>
      <c r="L67">
        <v>0</v>
      </c>
      <c r="N67" t="s">
        <v>21</v>
      </c>
      <c r="O67" t="s">
        <v>25</v>
      </c>
      <c r="Q67">
        <v>2</v>
      </c>
      <c r="R67" t="b">
        <v>1</v>
      </c>
      <c r="S67" t="s">
        <v>119</v>
      </c>
      <c r="T67">
        <v>0</v>
      </c>
    </row>
    <row r="68" spans="1:20" x14ac:dyDescent="0.25">
      <c r="A68" t="s">
        <v>804</v>
      </c>
      <c r="B68">
        <v>6</v>
      </c>
      <c r="C68" t="s">
        <v>19</v>
      </c>
      <c r="D68">
        <v>20</v>
      </c>
      <c r="E68">
        <v>64</v>
      </c>
      <c r="F68">
        <v>194</v>
      </c>
      <c r="G68">
        <v>69</v>
      </c>
      <c r="H68" t="s">
        <v>102</v>
      </c>
      <c r="I68">
        <v>12</v>
      </c>
      <c r="J68">
        <v>0</v>
      </c>
      <c r="K68">
        <v>0</v>
      </c>
      <c r="L68">
        <v>0</v>
      </c>
      <c r="N68" t="s">
        <v>21</v>
      </c>
      <c r="O68" t="s">
        <v>25</v>
      </c>
      <c r="P68" s="1"/>
      <c r="Q68">
        <v>1</v>
      </c>
      <c r="R68" t="b">
        <v>1</v>
      </c>
      <c r="S68" t="s">
        <v>119</v>
      </c>
      <c r="T68">
        <v>0</v>
      </c>
    </row>
    <row r="69" spans="1:20" x14ac:dyDescent="0.25">
      <c r="A69" t="s">
        <v>1005</v>
      </c>
      <c r="B69">
        <v>6</v>
      </c>
      <c r="C69" t="s">
        <v>24</v>
      </c>
      <c r="D69">
        <v>14</v>
      </c>
      <c r="E69">
        <v>130</v>
      </c>
      <c r="F69">
        <v>196</v>
      </c>
      <c r="G69">
        <v>225</v>
      </c>
      <c r="I69">
        <v>0</v>
      </c>
      <c r="J69">
        <v>0</v>
      </c>
      <c r="K69">
        <v>0</v>
      </c>
      <c r="L69">
        <v>0</v>
      </c>
      <c r="N69" t="s">
        <v>21</v>
      </c>
      <c r="O69" t="s">
        <v>25</v>
      </c>
      <c r="P69" s="1" t="s">
        <v>1006</v>
      </c>
      <c r="Q69">
        <v>1</v>
      </c>
      <c r="R69" t="b">
        <v>1</v>
      </c>
      <c r="S69" t="s">
        <v>119</v>
      </c>
      <c r="T69">
        <v>0</v>
      </c>
    </row>
    <row r="70" spans="1:20" x14ac:dyDescent="0.25">
      <c r="A70" t="s">
        <v>81</v>
      </c>
      <c r="B70">
        <v>6</v>
      </c>
      <c r="C70" t="s">
        <v>19</v>
      </c>
      <c r="D70">
        <v>78</v>
      </c>
      <c r="E70">
        <v>223</v>
      </c>
      <c r="F70">
        <v>102</v>
      </c>
      <c r="G70">
        <v>226</v>
      </c>
      <c r="H70" t="s">
        <v>102</v>
      </c>
      <c r="I70">
        <v>8</v>
      </c>
      <c r="J70">
        <v>0</v>
      </c>
      <c r="K70">
        <v>0</v>
      </c>
      <c r="L70">
        <v>0</v>
      </c>
      <c r="M70" t="s">
        <v>884</v>
      </c>
      <c r="O70" t="s">
        <v>25</v>
      </c>
      <c r="Q70">
        <v>3</v>
      </c>
      <c r="R70" t="b">
        <v>1</v>
      </c>
      <c r="T70">
        <v>0</v>
      </c>
    </row>
    <row r="71" spans="1:20" x14ac:dyDescent="0.25">
      <c r="A71" t="s">
        <v>83</v>
      </c>
      <c r="B71">
        <v>6</v>
      </c>
      <c r="C71" t="s">
        <v>19</v>
      </c>
      <c r="D71">
        <v>114</v>
      </c>
      <c r="E71">
        <v>223</v>
      </c>
      <c r="F71">
        <v>129</v>
      </c>
      <c r="G71">
        <v>226</v>
      </c>
      <c r="H71" t="s">
        <v>102</v>
      </c>
      <c r="I71">
        <v>8</v>
      </c>
      <c r="J71">
        <v>0</v>
      </c>
      <c r="K71">
        <v>0</v>
      </c>
      <c r="L71">
        <v>0</v>
      </c>
      <c r="M71" t="s">
        <v>884</v>
      </c>
      <c r="O71" t="s">
        <v>22</v>
      </c>
      <c r="Q71">
        <v>3</v>
      </c>
      <c r="R71" t="b">
        <v>1</v>
      </c>
      <c r="T71">
        <v>0</v>
      </c>
    </row>
    <row r="72" spans="1:20" x14ac:dyDescent="0.25">
      <c r="A72" t="s">
        <v>614</v>
      </c>
      <c r="B72">
        <v>6</v>
      </c>
      <c r="C72" t="s">
        <v>19</v>
      </c>
      <c r="D72">
        <v>66</v>
      </c>
      <c r="E72">
        <v>228</v>
      </c>
      <c r="F72">
        <v>141</v>
      </c>
      <c r="G72">
        <v>231</v>
      </c>
      <c r="H72" t="s">
        <v>102</v>
      </c>
      <c r="I72">
        <v>8</v>
      </c>
      <c r="J72">
        <v>0</v>
      </c>
      <c r="K72">
        <v>1</v>
      </c>
      <c r="L72">
        <v>0</v>
      </c>
      <c r="M72" t="s">
        <v>884</v>
      </c>
      <c r="O72" t="s">
        <v>27</v>
      </c>
      <c r="Q72">
        <v>3</v>
      </c>
      <c r="R72" t="b">
        <v>1</v>
      </c>
      <c r="T72">
        <v>0</v>
      </c>
    </row>
    <row r="73" spans="1:20" x14ac:dyDescent="0.25">
      <c r="A73" t="s">
        <v>1026</v>
      </c>
      <c r="B73">
        <v>6</v>
      </c>
      <c r="C73" t="s">
        <v>26</v>
      </c>
      <c r="D73">
        <v>64</v>
      </c>
      <c r="E73">
        <v>214</v>
      </c>
      <c r="F73">
        <v>143</v>
      </c>
      <c r="G73">
        <v>236</v>
      </c>
      <c r="I73">
        <v>0</v>
      </c>
      <c r="J73">
        <v>0</v>
      </c>
      <c r="K73">
        <v>0</v>
      </c>
      <c r="L73">
        <v>0</v>
      </c>
      <c r="O73" t="s">
        <v>25</v>
      </c>
      <c r="Q73">
        <v>1</v>
      </c>
      <c r="R73" t="b">
        <v>0</v>
      </c>
      <c r="S73" t="s">
        <v>119</v>
      </c>
      <c r="T73">
        <v>0</v>
      </c>
    </row>
    <row r="74" spans="1:20" x14ac:dyDescent="0.25">
      <c r="A74" t="s">
        <v>777</v>
      </c>
      <c r="B74">
        <v>7</v>
      </c>
      <c r="C74" t="s">
        <v>19</v>
      </c>
      <c r="D74">
        <v>14</v>
      </c>
      <c r="E74">
        <v>20</v>
      </c>
      <c r="F74">
        <v>196</v>
      </c>
      <c r="G74">
        <v>25</v>
      </c>
      <c r="H74" t="s">
        <v>102</v>
      </c>
      <c r="I74">
        <v>14</v>
      </c>
      <c r="J74">
        <v>1</v>
      </c>
      <c r="K74">
        <v>0</v>
      </c>
      <c r="L74">
        <v>0</v>
      </c>
      <c r="N74" t="s">
        <v>21</v>
      </c>
      <c r="O74" t="s">
        <v>25</v>
      </c>
      <c r="Q74">
        <v>3</v>
      </c>
      <c r="R74" t="b">
        <v>1</v>
      </c>
      <c r="S74" t="s">
        <v>119</v>
      </c>
      <c r="T74">
        <v>0</v>
      </c>
    </row>
    <row r="75" spans="1:20" x14ac:dyDescent="0.25">
      <c r="A75" t="s">
        <v>917</v>
      </c>
      <c r="B75">
        <v>7</v>
      </c>
      <c r="C75" t="s">
        <v>19</v>
      </c>
      <c r="D75">
        <v>14</v>
      </c>
      <c r="E75">
        <v>33</v>
      </c>
      <c r="F75">
        <v>196</v>
      </c>
      <c r="G75">
        <v>38</v>
      </c>
      <c r="H75" t="s">
        <v>102</v>
      </c>
      <c r="I75">
        <v>12</v>
      </c>
      <c r="J75">
        <v>0</v>
      </c>
      <c r="K75">
        <v>0</v>
      </c>
      <c r="L75">
        <v>0</v>
      </c>
      <c r="N75" t="s">
        <v>21</v>
      </c>
      <c r="O75" t="s">
        <v>25</v>
      </c>
      <c r="Q75">
        <v>3</v>
      </c>
      <c r="R75" t="b">
        <v>1</v>
      </c>
      <c r="T75">
        <v>0</v>
      </c>
    </row>
    <row r="76" spans="1:20" x14ac:dyDescent="0.25">
      <c r="A76" t="s">
        <v>769</v>
      </c>
      <c r="B76">
        <v>7</v>
      </c>
      <c r="C76" t="s">
        <v>26</v>
      </c>
      <c r="D76">
        <v>0</v>
      </c>
      <c r="E76">
        <v>85</v>
      </c>
      <c r="F76">
        <v>210</v>
      </c>
      <c r="G76">
        <v>198</v>
      </c>
      <c r="I76">
        <v>0</v>
      </c>
      <c r="J76">
        <v>1</v>
      </c>
      <c r="K76">
        <v>0</v>
      </c>
      <c r="L76">
        <v>0</v>
      </c>
      <c r="M76" t="s">
        <v>918</v>
      </c>
      <c r="N76" t="s">
        <v>918</v>
      </c>
      <c r="O76" t="s">
        <v>25</v>
      </c>
      <c r="Q76">
        <v>1</v>
      </c>
      <c r="R76" t="b">
        <v>0</v>
      </c>
      <c r="S76" t="s">
        <v>119</v>
      </c>
      <c r="T76">
        <v>0</v>
      </c>
    </row>
    <row r="77" spans="1:20" x14ac:dyDescent="0.25">
      <c r="A77" t="s">
        <v>770</v>
      </c>
      <c r="B77">
        <v>7</v>
      </c>
      <c r="C77" t="s">
        <v>19</v>
      </c>
      <c r="D77">
        <v>14</v>
      </c>
      <c r="E77">
        <v>90</v>
      </c>
      <c r="F77">
        <v>196</v>
      </c>
      <c r="G77">
        <v>93</v>
      </c>
      <c r="H77" t="s">
        <v>102</v>
      </c>
      <c r="I77">
        <v>12</v>
      </c>
      <c r="J77">
        <v>1</v>
      </c>
      <c r="K77">
        <v>0</v>
      </c>
      <c r="L77">
        <v>0</v>
      </c>
      <c r="N77" t="s">
        <v>918</v>
      </c>
      <c r="O77" t="s">
        <v>25</v>
      </c>
      <c r="Q77">
        <v>3</v>
      </c>
      <c r="R77" t="b">
        <v>0</v>
      </c>
      <c r="S77" t="s">
        <v>119</v>
      </c>
      <c r="T77">
        <v>0</v>
      </c>
    </row>
    <row r="78" spans="1:20" x14ac:dyDescent="0.25">
      <c r="A78" t="s">
        <v>774</v>
      </c>
      <c r="B78">
        <v>7</v>
      </c>
      <c r="C78" t="s">
        <v>19</v>
      </c>
      <c r="D78">
        <v>113</v>
      </c>
      <c r="E78">
        <v>87</v>
      </c>
      <c r="F78">
        <v>140</v>
      </c>
      <c r="G78">
        <v>92</v>
      </c>
      <c r="H78" t="s">
        <v>102</v>
      </c>
      <c r="I78">
        <v>10</v>
      </c>
      <c r="J78">
        <v>1</v>
      </c>
      <c r="K78">
        <v>0</v>
      </c>
      <c r="L78">
        <v>0</v>
      </c>
      <c r="N78" t="s">
        <v>918</v>
      </c>
      <c r="O78" t="s">
        <v>27</v>
      </c>
      <c r="Q78">
        <v>3</v>
      </c>
      <c r="R78" t="b">
        <v>1</v>
      </c>
      <c r="S78" t="s">
        <v>119</v>
      </c>
      <c r="T78">
        <v>0</v>
      </c>
    </row>
    <row r="79" spans="1:20" x14ac:dyDescent="0.25">
      <c r="A79" t="s">
        <v>775</v>
      </c>
      <c r="B79">
        <v>7</v>
      </c>
      <c r="C79" t="s">
        <v>19</v>
      </c>
      <c r="D79">
        <v>140</v>
      </c>
      <c r="E79">
        <v>87</v>
      </c>
      <c r="F79">
        <v>169</v>
      </c>
      <c r="G79">
        <v>92</v>
      </c>
      <c r="H79" t="s">
        <v>102</v>
      </c>
      <c r="I79">
        <v>10</v>
      </c>
      <c r="J79">
        <v>1</v>
      </c>
      <c r="K79">
        <v>0</v>
      </c>
      <c r="L79">
        <v>0</v>
      </c>
      <c r="N79" t="s">
        <v>918</v>
      </c>
      <c r="O79" t="s">
        <v>27</v>
      </c>
      <c r="Q79">
        <v>3</v>
      </c>
      <c r="R79" t="b">
        <v>1</v>
      </c>
      <c r="S79" t="s">
        <v>119</v>
      </c>
      <c r="T79">
        <v>0</v>
      </c>
    </row>
    <row r="80" spans="1:20" x14ac:dyDescent="0.25">
      <c r="A80" t="s">
        <v>776</v>
      </c>
      <c r="B80">
        <v>7</v>
      </c>
      <c r="C80" t="s">
        <v>19</v>
      </c>
      <c r="D80">
        <v>168</v>
      </c>
      <c r="E80">
        <v>87</v>
      </c>
      <c r="F80">
        <v>194</v>
      </c>
      <c r="G80">
        <v>92</v>
      </c>
      <c r="H80" t="s">
        <v>102</v>
      </c>
      <c r="I80">
        <v>10</v>
      </c>
      <c r="J80">
        <v>1</v>
      </c>
      <c r="K80">
        <v>0</v>
      </c>
      <c r="L80">
        <v>0</v>
      </c>
      <c r="N80" t="s">
        <v>918</v>
      </c>
      <c r="O80" t="s">
        <v>27</v>
      </c>
      <c r="Q80">
        <v>3</v>
      </c>
      <c r="R80" t="b">
        <v>1</v>
      </c>
      <c r="S80" t="s">
        <v>119</v>
      </c>
      <c r="T80">
        <v>0</v>
      </c>
    </row>
    <row r="81" spans="1:20" x14ac:dyDescent="0.25">
      <c r="A81" t="s">
        <v>44</v>
      </c>
      <c r="B81">
        <v>7</v>
      </c>
      <c r="C81" t="s">
        <v>25</v>
      </c>
      <c r="D81">
        <v>114</v>
      </c>
      <c r="E81">
        <v>85</v>
      </c>
      <c r="F81">
        <v>114</v>
      </c>
      <c r="G81">
        <v>198</v>
      </c>
      <c r="I81">
        <v>0.5</v>
      </c>
      <c r="J81">
        <v>0</v>
      </c>
      <c r="K81">
        <v>0</v>
      </c>
      <c r="L81">
        <v>0</v>
      </c>
      <c r="M81" t="s">
        <v>21</v>
      </c>
      <c r="N81" t="s">
        <v>918</v>
      </c>
      <c r="O81" t="s">
        <v>25</v>
      </c>
      <c r="Q81">
        <v>4</v>
      </c>
      <c r="R81" t="b">
        <v>0</v>
      </c>
      <c r="S81" t="s">
        <v>119</v>
      </c>
      <c r="T81">
        <v>0</v>
      </c>
    </row>
    <row r="82" spans="1:20" x14ac:dyDescent="0.25">
      <c r="A82" t="s">
        <v>45</v>
      </c>
      <c r="B82">
        <v>7</v>
      </c>
      <c r="C82" t="s">
        <v>25</v>
      </c>
      <c r="D82">
        <v>141</v>
      </c>
      <c r="E82">
        <v>85</v>
      </c>
      <c r="F82">
        <v>141</v>
      </c>
      <c r="G82">
        <v>198</v>
      </c>
      <c r="I82">
        <v>0.5</v>
      </c>
      <c r="J82">
        <v>0</v>
      </c>
      <c r="K82">
        <v>0</v>
      </c>
      <c r="L82">
        <v>0</v>
      </c>
      <c r="M82" t="s">
        <v>21</v>
      </c>
      <c r="N82" t="s">
        <v>918</v>
      </c>
      <c r="O82" t="s">
        <v>25</v>
      </c>
      <c r="Q82">
        <v>4</v>
      </c>
      <c r="R82" t="b">
        <v>0</v>
      </c>
      <c r="S82" t="s">
        <v>119</v>
      </c>
      <c r="T82">
        <v>0</v>
      </c>
    </row>
    <row r="83" spans="1:20" x14ac:dyDescent="0.25">
      <c r="A83" t="s">
        <v>46</v>
      </c>
      <c r="B83">
        <v>7</v>
      </c>
      <c r="C83" t="s">
        <v>25</v>
      </c>
      <c r="D83">
        <v>168</v>
      </c>
      <c r="E83">
        <v>85</v>
      </c>
      <c r="F83">
        <v>168</v>
      </c>
      <c r="G83">
        <v>198</v>
      </c>
      <c r="I83">
        <v>0.5</v>
      </c>
      <c r="J83">
        <v>0</v>
      </c>
      <c r="K83">
        <v>0</v>
      </c>
      <c r="L83">
        <v>0</v>
      </c>
      <c r="M83" t="s">
        <v>21</v>
      </c>
      <c r="N83" t="s">
        <v>918</v>
      </c>
      <c r="O83" t="s">
        <v>25</v>
      </c>
      <c r="Q83">
        <v>4</v>
      </c>
      <c r="R83" t="b">
        <v>0</v>
      </c>
      <c r="S83" t="s">
        <v>119</v>
      </c>
      <c r="T83">
        <v>0</v>
      </c>
    </row>
    <row r="84" spans="1:20" x14ac:dyDescent="0.25">
      <c r="A84" t="s">
        <v>55</v>
      </c>
      <c r="B84">
        <v>7</v>
      </c>
      <c r="C84" t="s">
        <v>25</v>
      </c>
      <c r="D84">
        <v>14</v>
      </c>
      <c r="E84">
        <v>112</v>
      </c>
      <c r="F84">
        <v>196</v>
      </c>
      <c r="G84">
        <v>112</v>
      </c>
      <c r="I84">
        <v>0.5</v>
      </c>
      <c r="J84">
        <v>0</v>
      </c>
      <c r="K84">
        <v>0</v>
      </c>
      <c r="L84">
        <v>0</v>
      </c>
      <c r="M84" t="s">
        <v>21</v>
      </c>
      <c r="N84" t="s">
        <v>918</v>
      </c>
      <c r="O84" t="s">
        <v>25</v>
      </c>
      <c r="Q84">
        <v>4</v>
      </c>
      <c r="R84" t="b">
        <v>0</v>
      </c>
      <c r="S84" t="s">
        <v>119</v>
      </c>
      <c r="T84">
        <v>0</v>
      </c>
    </row>
    <row r="85" spans="1:20" x14ac:dyDescent="0.25">
      <c r="A85" t="s">
        <v>920</v>
      </c>
      <c r="B85">
        <v>7</v>
      </c>
      <c r="C85" t="s">
        <v>19</v>
      </c>
      <c r="D85">
        <v>114</v>
      </c>
      <c r="E85">
        <v>200</v>
      </c>
      <c r="F85">
        <v>196</v>
      </c>
      <c r="G85">
        <v>204</v>
      </c>
      <c r="H85" t="s">
        <v>102</v>
      </c>
      <c r="I85">
        <v>10</v>
      </c>
      <c r="J85">
        <v>0</v>
      </c>
      <c r="K85">
        <v>0</v>
      </c>
      <c r="L85">
        <v>0</v>
      </c>
      <c r="N85" t="s">
        <v>21</v>
      </c>
      <c r="O85" t="s">
        <v>22</v>
      </c>
      <c r="Q85">
        <v>2</v>
      </c>
      <c r="R85" t="b">
        <v>0</v>
      </c>
      <c r="S85" t="s">
        <v>119</v>
      </c>
      <c r="T85">
        <v>0</v>
      </c>
    </row>
    <row r="86" spans="1:20" x14ac:dyDescent="0.25">
      <c r="A86" t="s">
        <v>729</v>
      </c>
      <c r="B86">
        <v>7</v>
      </c>
      <c r="C86" t="s">
        <v>19</v>
      </c>
      <c r="D86">
        <v>14</v>
      </c>
      <c r="E86">
        <v>114</v>
      </c>
      <c r="F86">
        <v>112</v>
      </c>
      <c r="G86">
        <v>119</v>
      </c>
      <c r="H86" t="s">
        <v>102</v>
      </c>
      <c r="I86">
        <v>12</v>
      </c>
      <c r="J86">
        <v>0</v>
      </c>
      <c r="K86">
        <v>0</v>
      </c>
      <c r="L86">
        <v>0</v>
      </c>
      <c r="N86" t="s">
        <v>918</v>
      </c>
      <c r="O86" t="s">
        <v>25</v>
      </c>
      <c r="Q86">
        <v>3</v>
      </c>
      <c r="R86" t="b">
        <v>1</v>
      </c>
      <c r="S86" t="s">
        <v>119</v>
      </c>
      <c r="T86">
        <v>0</v>
      </c>
    </row>
    <row r="87" spans="1:20" x14ac:dyDescent="0.25">
      <c r="A87" t="s">
        <v>730</v>
      </c>
      <c r="B87">
        <v>7</v>
      </c>
      <c r="C87" t="s">
        <v>19</v>
      </c>
      <c r="D87">
        <v>113</v>
      </c>
      <c r="E87">
        <v>115</v>
      </c>
      <c r="F87">
        <v>140</v>
      </c>
      <c r="G87">
        <v>118</v>
      </c>
      <c r="H87" t="s">
        <v>20</v>
      </c>
      <c r="I87">
        <v>16</v>
      </c>
      <c r="J87">
        <v>1</v>
      </c>
      <c r="K87">
        <v>0</v>
      </c>
      <c r="L87">
        <v>0</v>
      </c>
      <c r="N87" t="s">
        <v>918</v>
      </c>
      <c r="O87" t="s">
        <v>27</v>
      </c>
      <c r="Q87">
        <v>2</v>
      </c>
      <c r="R87" t="b">
        <v>0</v>
      </c>
      <c r="S87" t="s">
        <v>119</v>
      </c>
      <c r="T87">
        <v>0</v>
      </c>
    </row>
    <row r="88" spans="1:20" x14ac:dyDescent="0.25">
      <c r="A88" t="s">
        <v>731</v>
      </c>
      <c r="B88">
        <v>7</v>
      </c>
      <c r="C88" t="s">
        <v>19</v>
      </c>
      <c r="D88">
        <v>140</v>
      </c>
      <c r="E88">
        <v>115</v>
      </c>
      <c r="F88">
        <v>169</v>
      </c>
      <c r="G88">
        <v>118</v>
      </c>
      <c r="H88" t="s">
        <v>20</v>
      </c>
      <c r="I88">
        <v>16</v>
      </c>
      <c r="J88">
        <v>1</v>
      </c>
      <c r="K88">
        <v>0</v>
      </c>
      <c r="L88">
        <v>0</v>
      </c>
      <c r="N88" t="s">
        <v>918</v>
      </c>
      <c r="O88" t="s">
        <v>27</v>
      </c>
      <c r="Q88">
        <v>2</v>
      </c>
      <c r="R88" t="b">
        <v>0</v>
      </c>
      <c r="S88" t="s">
        <v>119</v>
      </c>
      <c r="T88">
        <v>0</v>
      </c>
    </row>
    <row r="89" spans="1:20" x14ac:dyDescent="0.25">
      <c r="A89" t="s">
        <v>732</v>
      </c>
      <c r="B89">
        <v>7</v>
      </c>
      <c r="C89" t="s">
        <v>19</v>
      </c>
      <c r="D89">
        <v>168</v>
      </c>
      <c r="E89">
        <v>115</v>
      </c>
      <c r="F89">
        <v>194</v>
      </c>
      <c r="G89">
        <v>118</v>
      </c>
      <c r="H89" t="s">
        <v>20</v>
      </c>
      <c r="I89">
        <v>16</v>
      </c>
      <c r="J89">
        <v>1</v>
      </c>
      <c r="K89">
        <v>0</v>
      </c>
      <c r="L89">
        <v>0</v>
      </c>
      <c r="N89" t="s">
        <v>918</v>
      </c>
      <c r="O89" t="s">
        <v>27</v>
      </c>
      <c r="Q89">
        <v>2</v>
      </c>
      <c r="R89" t="b">
        <v>0</v>
      </c>
      <c r="S89" t="s">
        <v>119</v>
      </c>
      <c r="T89">
        <v>0</v>
      </c>
    </row>
    <row r="90" spans="1:20" x14ac:dyDescent="0.25">
      <c r="A90" t="s">
        <v>733</v>
      </c>
      <c r="B90">
        <v>7</v>
      </c>
      <c r="C90" t="s">
        <v>19</v>
      </c>
      <c r="D90">
        <v>14</v>
      </c>
      <c r="E90">
        <v>130</v>
      </c>
      <c r="F90">
        <v>112</v>
      </c>
      <c r="G90">
        <v>135</v>
      </c>
      <c r="H90" t="s">
        <v>102</v>
      </c>
      <c r="I90">
        <v>12</v>
      </c>
      <c r="J90">
        <v>0</v>
      </c>
      <c r="K90">
        <v>0</v>
      </c>
      <c r="L90">
        <v>0</v>
      </c>
      <c r="N90" t="s">
        <v>918</v>
      </c>
      <c r="O90" t="s">
        <v>25</v>
      </c>
      <c r="Q90">
        <v>3</v>
      </c>
      <c r="R90" t="b">
        <v>1</v>
      </c>
      <c r="S90" t="s">
        <v>119</v>
      </c>
      <c r="T90">
        <v>0</v>
      </c>
    </row>
    <row r="91" spans="1:20" x14ac:dyDescent="0.25">
      <c r="A91" t="s">
        <v>734</v>
      </c>
      <c r="B91">
        <v>7</v>
      </c>
      <c r="C91" t="s">
        <v>19</v>
      </c>
      <c r="D91">
        <v>113</v>
      </c>
      <c r="E91">
        <v>131</v>
      </c>
      <c r="F91">
        <v>140</v>
      </c>
      <c r="G91">
        <v>134</v>
      </c>
      <c r="H91" t="s">
        <v>20</v>
      </c>
      <c r="I91">
        <v>16</v>
      </c>
      <c r="J91">
        <v>1</v>
      </c>
      <c r="K91">
        <v>0</v>
      </c>
      <c r="L91">
        <v>0</v>
      </c>
      <c r="N91" t="s">
        <v>918</v>
      </c>
      <c r="O91" t="s">
        <v>27</v>
      </c>
      <c r="Q91">
        <v>2</v>
      </c>
      <c r="R91" t="b">
        <v>0</v>
      </c>
      <c r="S91" t="s">
        <v>119</v>
      </c>
      <c r="T91">
        <v>0</v>
      </c>
    </row>
    <row r="92" spans="1:20" x14ac:dyDescent="0.25">
      <c r="A92" t="s">
        <v>735</v>
      </c>
      <c r="B92">
        <v>7</v>
      </c>
      <c r="C92" t="s">
        <v>19</v>
      </c>
      <c r="D92">
        <v>140</v>
      </c>
      <c r="E92">
        <v>131</v>
      </c>
      <c r="F92">
        <v>169</v>
      </c>
      <c r="G92">
        <v>134</v>
      </c>
      <c r="H92" t="s">
        <v>20</v>
      </c>
      <c r="I92">
        <v>16</v>
      </c>
      <c r="J92">
        <v>1</v>
      </c>
      <c r="K92">
        <v>0</v>
      </c>
      <c r="L92">
        <v>0</v>
      </c>
      <c r="N92" t="s">
        <v>918</v>
      </c>
      <c r="O92" t="s">
        <v>27</v>
      </c>
      <c r="Q92">
        <v>2</v>
      </c>
      <c r="R92" t="b">
        <v>0</v>
      </c>
      <c r="S92" t="s">
        <v>119</v>
      </c>
      <c r="T92">
        <v>0</v>
      </c>
    </row>
    <row r="93" spans="1:20" x14ac:dyDescent="0.25">
      <c r="A93" t="s">
        <v>736</v>
      </c>
      <c r="B93">
        <v>7</v>
      </c>
      <c r="C93" t="s">
        <v>19</v>
      </c>
      <c r="D93">
        <v>168</v>
      </c>
      <c r="E93">
        <v>131</v>
      </c>
      <c r="F93">
        <v>194</v>
      </c>
      <c r="G93">
        <v>134</v>
      </c>
      <c r="H93" t="s">
        <v>20</v>
      </c>
      <c r="I93">
        <v>16</v>
      </c>
      <c r="J93">
        <v>1</v>
      </c>
      <c r="K93">
        <v>0</v>
      </c>
      <c r="L93">
        <v>0</v>
      </c>
      <c r="N93" t="s">
        <v>918</v>
      </c>
      <c r="O93" t="s">
        <v>27</v>
      </c>
      <c r="Q93">
        <v>2</v>
      </c>
      <c r="R93" t="b">
        <v>0</v>
      </c>
      <c r="S93" t="s">
        <v>119</v>
      </c>
      <c r="T93">
        <v>0</v>
      </c>
    </row>
    <row r="94" spans="1:20" x14ac:dyDescent="0.25">
      <c r="A94" t="s">
        <v>737</v>
      </c>
      <c r="B94">
        <v>7</v>
      </c>
      <c r="C94" t="s">
        <v>19</v>
      </c>
      <c r="D94">
        <v>14</v>
      </c>
      <c r="E94">
        <v>146</v>
      </c>
      <c r="F94">
        <v>112</v>
      </c>
      <c r="G94">
        <v>151</v>
      </c>
      <c r="H94" t="s">
        <v>102</v>
      </c>
      <c r="I94">
        <v>12</v>
      </c>
      <c r="J94">
        <v>0</v>
      </c>
      <c r="K94">
        <v>0</v>
      </c>
      <c r="L94">
        <v>0</v>
      </c>
      <c r="N94" t="s">
        <v>918</v>
      </c>
      <c r="O94" t="s">
        <v>25</v>
      </c>
      <c r="Q94">
        <v>3</v>
      </c>
      <c r="R94" t="b">
        <v>1</v>
      </c>
      <c r="S94" t="s">
        <v>119</v>
      </c>
      <c r="T94">
        <v>0</v>
      </c>
    </row>
    <row r="95" spans="1:20" x14ac:dyDescent="0.25">
      <c r="A95" t="s">
        <v>738</v>
      </c>
      <c r="B95">
        <v>7</v>
      </c>
      <c r="C95" t="s">
        <v>19</v>
      </c>
      <c r="D95">
        <v>113</v>
      </c>
      <c r="E95">
        <v>147</v>
      </c>
      <c r="F95">
        <v>140</v>
      </c>
      <c r="G95">
        <v>150</v>
      </c>
      <c r="H95" t="s">
        <v>20</v>
      </c>
      <c r="I95">
        <v>16</v>
      </c>
      <c r="J95">
        <v>1</v>
      </c>
      <c r="K95">
        <v>0</v>
      </c>
      <c r="L95">
        <v>0</v>
      </c>
      <c r="N95" t="s">
        <v>918</v>
      </c>
      <c r="O95" t="s">
        <v>27</v>
      </c>
      <c r="Q95">
        <v>2</v>
      </c>
      <c r="R95" t="b">
        <v>0</v>
      </c>
      <c r="S95" t="s">
        <v>119</v>
      </c>
      <c r="T95">
        <v>0</v>
      </c>
    </row>
    <row r="96" spans="1:20" x14ac:dyDescent="0.25">
      <c r="A96" t="s">
        <v>739</v>
      </c>
      <c r="B96">
        <v>7</v>
      </c>
      <c r="C96" t="s">
        <v>19</v>
      </c>
      <c r="D96">
        <v>140</v>
      </c>
      <c r="E96">
        <v>147</v>
      </c>
      <c r="F96">
        <v>169</v>
      </c>
      <c r="G96">
        <v>150</v>
      </c>
      <c r="H96" t="s">
        <v>20</v>
      </c>
      <c r="I96">
        <v>16</v>
      </c>
      <c r="J96">
        <v>1</v>
      </c>
      <c r="K96">
        <v>0</v>
      </c>
      <c r="L96">
        <v>0</v>
      </c>
      <c r="N96" t="s">
        <v>918</v>
      </c>
      <c r="O96" t="s">
        <v>27</v>
      </c>
      <c r="Q96">
        <v>2</v>
      </c>
      <c r="R96" t="b">
        <v>0</v>
      </c>
      <c r="S96" t="s">
        <v>119</v>
      </c>
      <c r="T96">
        <v>0</v>
      </c>
    </row>
    <row r="97" spans="1:20" x14ac:dyDescent="0.25">
      <c r="A97" t="s">
        <v>740</v>
      </c>
      <c r="B97">
        <v>7</v>
      </c>
      <c r="C97" t="s">
        <v>19</v>
      </c>
      <c r="D97">
        <v>168</v>
      </c>
      <c r="E97">
        <v>147</v>
      </c>
      <c r="F97">
        <v>194</v>
      </c>
      <c r="G97">
        <v>150</v>
      </c>
      <c r="H97" t="s">
        <v>20</v>
      </c>
      <c r="I97">
        <v>16</v>
      </c>
      <c r="J97">
        <v>1</v>
      </c>
      <c r="K97">
        <v>0</v>
      </c>
      <c r="L97">
        <v>0</v>
      </c>
      <c r="N97" t="s">
        <v>918</v>
      </c>
      <c r="O97" t="s">
        <v>27</v>
      </c>
      <c r="Q97">
        <v>2</v>
      </c>
      <c r="R97" t="b">
        <v>0</v>
      </c>
      <c r="S97" t="s">
        <v>119</v>
      </c>
      <c r="T97">
        <v>0</v>
      </c>
    </row>
    <row r="98" spans="1:20" x14ac:dyDescent="0.25">
      <c r="A98" t="s">
        <v>741</v>
      </c>
      <c r="B98">
        <v>7</v>
      </c>
      <c r="C98" t="s">
        <v>19</v>
      </c>
      <c r="D98">
        <v>14</v>
      </c>
      <c r="E98">
        <v>162</v>
      </c>
      <c r="F98">
        <v>112</v>
      </c>
      <c r="G98">
        <v>167</v>
      </c>
      <c r="H98" t="s">
        <v>102</v>
      </c>
      <c r="I98">
        <v>12</v>
      </c>
      <c r="J98">
        <v>0</v>
      </c>
      <c r="K98">
        <v>0</v>
      </c>
      <c r="L98">
        <v>0</v>
      </c>
      <c r="N98" t="s">
        <v>918</v>
      </c>
      <c r="O98" t="s">
        <v>25</v>
      </c>
      <c r="Q98">
        <v>3</v>
      </c>
      <c r="R98" t="b">
        <v>1</v>
      </c>
      <c r="S98" t="s">
        <v>119</v>
      </c>
      <c r="T98">
        <v>0</v>
      </c>
    </row>
    <row r="99" spans="1:20" x14ac:dyDescent="0.25">
      <c r="A99" t="s">
        <v>742</v>
      </c>
      <c r="B99">
        <v>7</v>
      </c>
      <c r="C99" t="s">
        <v>19</v>
      </c>
      <c r="D99">
        <v>113</v>
      </c>
      <c r="E99">
        <v>163</v>
      </c>
      <c r="F99">
        <v>140</v>
      </c>
      <c r="G99">
        <v>166</v>
      </c>
      <c r="H99" t="s">
        <v>20</v>
      </c>
      <c r="I99">
        <v>16</v>
      </c>
      <c r="J99">
        <v>1</v>
      </c>
      <c r="K99">
        <v>0</v>
      </c>
      <c r="L99">
        <v>0</v>
      </c>
      <c r="N99" t="s">
        <v>918</v>
      </c>
      <c r="O99" t="s">
        <v>27</v>
      </c>
      <c r="Q99">
        <v>2</v>
      </c>
      <c r="R99" t="b">
        <v>0</v>
      </c>
      <c r="S99" t="s">
        <v>119</v>
      </c>
      <c r="T99">
        <v>0</v>
      </c>
    </row>
    <row r="100" spans="1:20" x14ac:dyDescent="0.25">
      <c r="A100" t="s">
        <v>743</v>
      </c>
      <c r="B100">
        <v>7</v>
      </c>
      <c r="C100" t="s">
        <v>19</v>
      </c>
      <c r="D100">
        <v>140</v>
      </c>
      <c r="E100">
        <v>163</v>
      </c>
      <c r="F100">
        <v>169</v>
      </c>
      <c r="G100">
        <v>166</v>
      </c>
      <c r="H100" t="s">
        <v>20</v>
      </c>
      <c r="I100">
        <v>16</v>
      </c>
      <c r="J100">
        <v>1</v>
      </c>
      <c r="K100">
        <v>0</v>
      </c>
      <c r="L100">
        <v>0</v>
      </c>
      <c r="N100" t="s">
        <v>918</v>
      </c>
      <c r="O100" t="s">
        <v>27</v>
      </c>
      <c r="Q100">
        <v>2</v>
      </c>
      <c r="R100" t="b">
        <v>0</v>
      </c>
      <c r="S100" t="s">
        <v>119</v>
      </c>
      <c r="T100">
        <v>0</v>
      </c>
    </row>
    <row r="101" spans="1:20" x14ac:dyDescent="0.25">
      <c r="A101" t="s">
        <v>744</v>
      </c>
      <c r="B101">
        <v>7</v>
      </c>
      <c r="C101" t="s">
        <v>19</v>
      </c>
      <c r="D101">
        <v>168</v>
      </c>
      <c r="E101">
        <v>163</v>
      </c>
      <c r="F101">
        <v>194</v>
      </c>
      <c r="G101">
        <v>166</v>
      </c>
      <c r="H101" t="s">
        <v>20</v>
      </c>
      <c r="I101">
        <v>16</v>
      </c>
      <c r="J101">
        <v>1</v>
      </c>
      <c r="K101">
        <v>0</v>
      </c>
      <c r="L101">
        <v>0</v>
      </c>
      <c r="N101" t="s">
        <v>918</v>
      </c>
      <c r="O101" t="s">
        <v>27</v>
      </c>
      <c r="Q101">
        <v>2</v>
      </c>
      <c r="R101" t="b">
        <v>0</v>
      </c>
      <c r="S101" t="s">
        <v>119</v>
      </c>
      <c r="T101">
        <v>0</v>
      </c>
    </row>
    <row r="102" spans="1:20" x14ac:dyDescent="0.25">
      <c r="A102" t="s">
        <v>745</v>
      </c>
      <c r="B102">
        <v>7</v>
      </c>
      <c r="C102" t="s">
        <v>19</v>
      </c>
      <c r="D102">
        <v>14</v>
      </c>
      <c r="E102">
        <v>178</v>
      </c>
      <c r="F102">
        <v>112</v>
      </c>
      <c r="G102">
        <v>183</v>
      </c>
      <c r="H102" t="s">
        <v>102</v>
      </c>
      <c r="I102">
        <v>12</v>
      </c>
      <c r="J102">
        <v>0</v>
      </c>
      <c r="K102">
        <v>0</v>
      </c>
      <c r="L102">
        <v>0</v>
      </c>
      <c r="N102" t="s">
        <v>918</v>
      </c>
      <c r="O102" t="s">
        <v>25</v>
      </c>
      <c r="Q102">
        <v>3</v>
      </c>
      <c r="R102" t="b">
        <v>1</v>
      </c>
      <c r="S102" t="s">
        <v>119</v>
      </c>
      <c r="T102">
        <v>0</v>
      </c>
    </row>
    <row r="103" spans="1:20" x14ac:dyDescent="0.25">
      <c r="A103" t="s">
        <v>746</v>
      </c>
      <c r="B103">
        <v>7</v>
      </c>
      <c r="C103" t="s">
        <v>19</v>
      </c>
      <c r="D103">
        <v>113</v>
      </c>
      <c r="E103">
        <v>179</v>
      </c>
      <c r="F103">
        <v>140</v>
      </c>
      <c r="G103">
        <v>182</v>
      </c>
      <c r="H103" t="s">
        <v>20</v>
      </c>
      <c r="I103">
        <v>16</v>
      </c>
      <c r="J103">
        <v>1</v>
      </c>
      <c r="K103">
        <v>0</v>
      </c>
      <c r="L103">
        <v>0</v>
      </c>
      <c r="N103" t="s">
        <v>918</v>
      </c>
      <c r="O103" t="s">
        <v>27</v>
      </c>
      <c r="Q103">
        <v>2</v>
      </c>
      <c r="R103" t="b">
        <v>0</v>
      </c>
      <c r="S103" t="s">
        <v>119</v>
      </c>
      <c r="T103">
        <v>0</v>
      </c>
    </row>
    <row r="104" spans="1:20" x14ac:dyDescent="0.25">
      <c r="A104" t="s">
        <v>747</v>
      </c>
      <c r="B104">
        <v>7</v>
      </c>
      <c r="C104" t="s">
        <v>19</v>
      </c>
      <c r="D104">
        <v>140</v>
      </c>
      <c r="E104">
        <v>179</v>
      </c>
      <c r="F104">
        <v>169</v>
      </c>
      <c r="G104">
        <v>182</v>
      </c>
      <c r="H104" t="s">
        <v>20</v>
      </c>
      <c r="I104">
        <v>16</v>
      </c>
      <c r="J104">
        <v>1</v>
      </c>
      <c r="K104">
        <v>0</v>
      </c>
      <c r="L104">
        <v>0</v>
      </c>
      <c r="N104" t="s">
        <v>918</v>
      </c>
      <c r="O104" t="s">
        <v>27</v>
      </c>
      <c r="Q104">
        <v>2</v>
      </c>
      <c r="R104" t="b">
        <v>0</v>
      </c>
      <c r="S104" t="s">
        <v>119</v>
      </c>
      <c r="T104">
        <v>0</v>
      </c>
    </row>
    <row r="105" spans="1:20" x14ac:dyDescent="0.25">
      <c r="A105" t="s">
        <v>748</v>
      </c>
      <c r="B105">
        <v>7</v>
      </c>
      <c r="C105" t="s">
        <v>19</v>
      </c>
      <c r="D105">
        <v>168</v>
      </c>
      <c r="E105">
        <v>179</v>
      </c>
      <c r="F105">
        <v>194</v>
      </c>
      <c r="G105">
        <v>182</v>
      </c>
      <c r="H105" t="s">
        <v>20</v>
      </c>
      <c r="I105">
        <v>16</v>
      </c>
      <c r="J105">
        <v>1</v>
      </c>
      <c r="K105">
        <v>0</v>
      </c>
      <c r="L105">
        <v>0</v>
      </c>
      <c r="N105" t="s">
        <v>918</v>
      </c>
      <c r="O105" t="s">
        <v>27</v>
      </c>
      <c r="Q105">
        <v>2</v>
      </c>
      <c r="R105" t="b">
        <v>0</v>
      </c>
      <c r="S105" t="s">
        <v>119</v>
      </c>
      <c r="T105">
        <v>0</v>
      </c>
    </row>
    <row r="106" spans="1:20" x14ac:dyDescent="0.25">
      <c r="A106" t="s">
        <v>827</v>
      </c>
      <c r="B106">
        <v>-999</v>
      </c>
      <c r="C106" t="s">
        <v>19</v>
      </c>
      <c r="D106">
        <v>127</v>
      </c>
      <c r="E106">
        <v>13</v>
      </c>
      <c r="F106">
        <v>205</v>
      </c>
      <c r="G106">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v>228</v>
      </c>
      <c r="F108">
        <v>196</v>
      </c>
      <c r="G108">
        <v>233</v>
      </c>
      <c r="H108" t="s">
        <v>102</v>
      </c>
      <c r="I108">
        <v>12</v>
      </c>
      <c r="J108">
        <v>0</v>
      </c>
      <c r="K108">
        <v>0</v>
      </c>
      <c r="L108">
        <v>0</v>
      </c>
      <c r="N108" t="s">
        <v>21</v>
      </c>
      <c r="O108" t="s">
        <v>25</v>
      </c>
      <c r="P108" s="1"/>
      <c r="Q108">
        <v>1</v>
      </c>
      <c r="R108" t="b">
        <v>1</v>
      </c>
      <c r="S108" t="s">
        <v>119</v>
      </c>
      <c r="T108">
        <v>0</v>
      </c>
    </row>
    <row r="109" spans="1:20" x14ac:dyDescent="0.25">
      <c r="A109" t="s">
        <v>820</v>
      </c>
      <c r="B109">
        <v>8</v>
      </c>
      <c r="C109" t="s">
        <v>26</v>
      </c>
      <c r="D109">
        <v>0</v>
      </c>
      <c r="E109">
        <v>30</v>
      </c>
      <c r="F109">
        <v>210</v>
      </c>
      <c r="G109">
        <v>267</v>
      </c>
      <c r="I109">
        <v>0</v>
      </c>
      <c r="J109">
        <v>1</v>
      </c>
      <c r="K109">
        <v>0</v>
      </c>
      <c r="L109">
        <v>0</v>
      </c>
      <c r="M109" t="s">
        <v>665</v>
      </c>
      <c r="N109" t="s">
        <v>918</v>
      </c>
      <c r="O109" t="s">
        <v>25</v>
      </c>
      <c r="Q109">
        <v>2</v>
      </c>
      <c r="R109" t="b">
        <v>0</v>
      </c>
      <c r="S109" t="s">
        <v>119</v>
      </c>
      <c r="T109">
        <v>0</v>
      </c>
    </row>
    <row r="110" spans="1:20" x14ac:dyDescent="0.25">
      <c r="A110" t="s">
        <v>771</v>
      </c>
      <c r="B110">
        <v>8</v>
      </c>
      <c r="C110" t="s">
        <v>19</v>
      </c>
      <c r="D110">
        <v>14</v>
      </c>
      <c r="E110">
        <v>20</v>
      </c>
      <c r="F110">
        <v>196</v>
      </c>
      <c r="G110">
        <v>25</v>
      </c>
      <c r="H110" t="s">
        <v>102</v>
      </c>
      <c r="I110">
        <v>12</v>
      </c>
      <c r="J110">
        <v>1</v>
      </c>
      <c r="K110">
        <v>0</v>
      </c>
      <c r="L110">
        <v>0</v>
      </c>
      <c r="N110" t="s">
        <v>21</v>
      </c>
      <c r="O110" t="s">
        <v>25</v>
      </c>
      <c r="Q110">
        <v>3</v>
      </c>
      <c r="R110" t="b">
        <v>1</v>
      </c>
      <c r="S110" t="s">
        <v>119</v>
      </c>
      <c r="T110">
        <v>0</v>
      </c>
    </row>
    <row r="111" spans="1:20" x14ac:dyDescent="0.25">
      <c r="A111" t="s">
        <v>774</v>
      </c>
      <c r="B111">
        <v>8</v>
      </c>
      <c r="C111" t="s">
        <v>19</v>
      </c>
      <c r="D111">
        <v>113</v>
      </c>
      <c r="E111">
        <v>32</v>
      </c>
      <c r="F111">
        <v>140</v>
      </c>
      <c r="G111">
        <v>37</v>
      </c>
      <c r="H111" t="s">
        <v>102</v>
      </c>
      <c r="I111">
        <v>10</v>
      </c>
      <c r="J111">
        <v>1</v>
      </c>
      <c r="K111">
        <v>0</v>
      </c>
      <c r="L111">
        <v>0</v>
      </c>
      <c r="N111" t="s">
        <v>918</v>
      </c>
      <c r="O111" t="s">
        <v>27</v>
      </c>
      <c r="Q111">
        <v>3</v>
      </c>
      <c r="R111" t="b">
        <v>1</v>
      </c>
      <c r="S111" t="s">
        <v>119</v>
      </c>
      <c r="T111">
        <v>0</v>
      </c>
    </row>
    <row r="112" spans="1:20" x14ac:dyDescent="0.25">
      <c r="A112" t="s">
        <v>775</v>
      </c>
      <c r="B112">
        <v>8</v>
      </c>
      <c r="C112" t="s">
        <v>19</v>
      </c>
      <c r="D112">
        <v>140</v>
      </c>
      <c r="E112">
        <v>32</v>
      </c>
      <c r="F112">
        <v>169</v>
      </c>
      <c r="G112">
        <v>37</v>
      </c>
      <c r="H112" t="s">
        <v>102</v>
      </c>
      <c r="I112">
        <v>10</v>
      </c>
      <c r="J112">
        <v>1</v>
      </c>
      <c r="K112">
        <v>0</v>
      </c>
      <c r="L112">
        <v>0</v>
      </c>
      <c r="N112" t="s">
        <v>918</v>
      </c>
      <c r="O112" t="s">
        <v>27</v>
      </c>
      <c r="Q112">
        <v>3</v>
      </c>
      <c r="R112" t="b">
        <v>1</v>
      </c>
      <c r="S112" t="s">
        <v>119</v>
      </c>
      <c r="T112">
        <v>0</v>
      </c>
    </row>
    <row r="113" spans="1:20" x14ac:dyDescent="0.25">
      <c r="A113" t="s">
        <v>776</v>
      </c>
      <c r="B113">
        <v>8</v>
      </c>
      <c r="C113" t="s">
        <v>19</v>
      </c>
      <c r="D113">
        <v>168</v>
      </c>
      <c r="E113">
        <v>32</v>
      </c>
      <c r="F113">
        <v>194</v>
      </c>
      <c r="G113">
        <v>37</v>
      </c>
      <c r="H113" t="s">
        <v>102</v>
      </c>
      <c r="I113">
        <v>10</v>
      </c>
      <c r="J113">
        <v>1</v>
      </c>
      <c r="K113">
        <v>0</v>
      </c>
      <c r="L113">
        <v>0</v>
      </c>
      <c r="N113" t="s">
        <v>918</v>
      </c>
      <c r="O113" t="s">
        <v>27</v>
      </c>
      <c r="Q113">
        <v>3</v>
      </c>
      <c r="R113" t="b">
        <v>1</v>
      </c>
      <c r="S113" t="s">
        <v>119</v>
      </c>
      <c r="T113">
        <v>0</v>
      </c>
    </row>
    <row r="114" spans="1:20" x14ac:dyDescent="0.25">
      <c r="A114" t="s">
        <v>44</v>
      </c>
      <c r="B114">
        <v>8</v>
      </c>
      <c r="C114" t="s">
        <v>25</v>
      </c>
      <c r="D114">
        <v>114</v>
      </c>
      <c r="E114">
        <v>30</v>
      </c>
      <c r="F114">
        <v>114</v>
      </c>
      <c r="G114">
        <v>267</v>
      </c>
      <c r="I114">
        <v>0.5</v>
      </c>
      <c r="J114">
        <v>0</v>
      </c>
      <c r="K114">
        <v>0</v>
      </c>
      <c r="L114">
        <v>0</v>
      </c>
      <c r="M114" t="s">
        <v>21</v>
      </c>
      <c r="N114" t="s">
        <v>918</v>
      </c>
      <c r="O114" t="s">
        <v>25</v>
      </c>
      <c r="Q114">
        <v>4</v>
      </c>
      <c r="R114" t="b">
        <v>0</v>
      </c>
      <c r="S114" t="s">
        <v>119</v>
      </c>
      <c r="T114">
        <v>0</v>
      </c>
    </row>
    <row r="115" spans="1:20" x14ac:dyDescent="0.25">
      <c r="A115" t="s">
        <v>45</v>
      </c>
      <c r="B115">
        <v>8</v>
      </c>
      <c r="C115" t="s">
        <v>25</v>
      </c>
      <c r="D115">
        <v>141</v>
      </c>
      <c r="E115">
        <v>30</v>
      </c>
      <c r="F115">
        <v>141</v>
      </c>
      <c r="G115">
        <v>267</v>
      </c>
      <c r="I115">
        <v>0.5</v>
      </c>
      <c r="J115">
        <v>0</v>
      </c>
      <c r="K115">
        <v>0</v>
      </c>
      <c r="L115">
        <v>0</v>
      </c>
      <c r="M115" t="s">
        <v>21</v>
      </c>
      <c r="N115" t="s">
        <v>918</v>
      </c>
      <c r="O115" t="s">
        <v>25</v>
      </c>
      <c r="Q115">
        <v>4</v>
      </c>
      <c r="R115" t="b">
        <v>0</v>
      </c>
      <c r="S115" t="s">
        <v>119</v>
      </c>
      <c r="T115">
        <v>0</v>
      </c>
    </row>
    <row r="116" spans="1:20" x14ac:dyDescent="0.25">
      <c r="A116" t="s">
        <v>46</v>
      </c>
      <c r="B116">
        <v>8</v>
      </c>
      <c r="C116" t="s">
        <v>25</v>
      </c>
      <c r="D116">
        <v>168</v>
      </c>
      <c r="E116">
        <v>30</v>
      </c>
      <c r="F116">
        <v>168</v>
      </c>
      <c r="G116">
        <v>267</v>
      </c>
      <c r="I116">
        <v>0.5</v>
      </c>
      <c r="J116">
        <v>0</v>
      </c>
      <c r="K116">
        <v>0</v>
      </c>
      <c r="L116">
        <v>0</v>
      </c>
      <c r="M116" t="s">
        <v>21</v>
      </c>
      <c r="N116" t="s">
        <v>918</v>
      </c>
      <c r="O116" t="s">
        <v>25</v>
      </c>
      <c r="Q116">
        <v>4</v>
      </c>
      <c r="R116" t="b">
        <v>0</v>
      </c>
      <c r="S116" t="s">
        <v>119</v>
      </c>
      <c r="T116">
        <v>0</v>
      </c>
    </row>
    <row r="117" spans="1:20" x14ac:dyDescent="0.25">
      <c r="A117" t="s">
        <v>55</v>
      </c>
      <c r="B117">
        <v>8</v>
      </c>
      <c r="C117" t="s">
        <v>25</v>
      </c>
      <c r="D117">
        <v>14</v>
      </c>
      <c r="E117">
        <v>57</v>
      </c>
      <c r="F117">
        <v>196</v>
      </c>
      <c r="G117">
        <v>57</v>
      </c>
      <c r="I117">
        <v>0.5</v>
      </c>
      <c r="J117">
        <v>0</v>
      </c>
      <c r="K117">
        <v>0</v>
      </c>
      <c r="L117">
        <v>0</v>
      </c>
      <c r="M117" t="s">
        <v>21</v>
      </c>
      <c r="N117" t="s">
        <v>918</v>
      </c>
      <c r="O117" t="s">
        <v>25</v>
      </c>
      <c r="Q117">
        <v>4</v>
      </c>
      <c r="R117" t="b">
        <v>0</v>
      </c>
      <c r="S117" t="s">
        <v>119</v>
      </c>
      <c r="T117">
        <v>0</v>
      </c>
    </row>
    <row r="118" spans="1:20" x14ac:dyDescent="0.25">
      <c r="A118" t="s">
        <v>920</v>
      </c>
      <c r="B118">
        <v>8</v>
      </c>
      <c r="C118" t="s">
        <v>19</v>
      </c>
      <c r="D118">
        <v>114</v>
      </c>
      <c r="E118">
        <v>269</v>
      </c>
      <c r="F118">
        <v>196</v>
      </c>
      <c r="G118">
        <v>273</v>
      </c>
      <c r="H118" t="s">
        <v>102</v>
      </c>
      <c r="I118">
        <v>10</v>
      </c>
      <c r="J118">
        <v>0</v>
      </c>
      <c r="K118">
        <v>0</v>
      </c>
      <c r="L118">
        <v>0</v>
      </c>
      <c r="N118" t="s">
        <v>21</v>
      </c>
      <c r="O118" t="s">
        <v>22</v>
      </c>
      <c r="Q118">
        <v>2</v>
      </c>
      <c r="R118" t="b">
        <v>0</v>
      </c>
      <c r="S118" t="s">
        <v>119</v>
      </c>
      <c r="T118">
        <v>0</v>
      </c>
    </row>
    <row r="119" spans="1:20" x14ac:dyDescent="0.25">
      <c r="A119" t="s">
        <v>749</v>
      </c>
      <c r="B119">
        <v>8</v>
      </c>
      <c r="C119" t="s">
        <v>19</v>
      </c>
      <c r="D119">
        <v>14</v>
      </c>
      <c r="E119">
        <v>59</v>
      </c>
      <c r="F119">
        <v>112</v>
      </c>
      <c r="G119">
        <v>64</v>
      </c>
      <c r="H119" t="s">
        <v>102</v>
      </c>
      <c r="I119">
        <v>12</v>
      </c>
      <c r="J119">
        <v>0</v>
      </c>
      <c r="K119">
        <v>0</v>
      </c>
      <c r="L119">
        <v>0</v>
      </c>
      <c r="N119" t="s">
        <v>918</v>
      </c>
      <c r="O119" t="s">
        <v>25</v>
      </c>
      <c r="Q119">
        <v>3</v>
      </c>
      <c r="R119" t="b">
        <v>1</v>
      </c>
      <c r="S119" t="s">
        <v>119</v>
      </c>
      <c r="T119">
        <v>0</v>
      </c>
    </row>
    <row r="120" spans="1:20" x14ac:dyDescent="0.25">
      <c r="A120" t="s">
        <v>750</v>
      </c>
      <c r="B120">
        <v>8</v>
      </c>
      <c r="C120" t="s">
        <v>19</v>
      </c>
      <c r="D120">
        <v>113</v>
      </c>
      <c r="E120">
        <v>60</v>
      </c>
      <c r="F120">
        <v>140</v>
      </c>
      <c r="G120">
        <v>63</v>
      </c>
      <c r="H120" t="s">
        <v>20</v>
      </c>
      <c r="I120">
        <v>16</v>
      </c>
      <c r="J120">
        <v>1</v>
      </c>
      <c r="K120">
        <v>0</v>
      </c>
      <c r="L120">
        <v>0</v>
      </c>
      <c r="N120" t="s">
        <v>918</v>
      </c>
      <c r="O120" t="s">
        <v>27</v>
      </c>
      <c r="Q120">
        <v>2</v>
      </c>
      <c r="R120" t="b">
        <v>0</v>
      </c>
      <c r="S120" t="s">
        <v>119</v>
      </c>
      <c r="T120">
        <v>0</v>
      </c>
    </row>
    <row r="121" spans="1:20" x14ac:dyDescent="0.25">
      <c r="A121" t="s">
        <v>751</v>
      </c>
      <c r="B121">
        <v>8</v>
      </c>
      <c r="C121" t="s">
        <v>19</v>
      </c>
      <c r="D121">
        <v>140</v>
      </c>
      <c r="E121">
        <v>60</v>
      </c>
      <c r="F121">
        <v>169</v>
      </c>
      <c r="G121">
        <v>63</v>
      </c>
      <c r="H121" t="s">
        <v>20</v>
      </c>
      <c r="I121">
        <v>16</v>
      </c>
      <c r="J121">
        <v>1</v>
      </c>
      <c r="K121">
        <v>0</v>
      </c>
      <c r="L121">
        <v>0</v>
      </c>
      <c r="N121" t="s">
        <v>918</v>
      </c>
      <c r="O121" t="s">
        <v>27</v>
      </c>
      <c r="Q121">
        <v>2</v>
      </c>
      <c r="R121" t="b">
        <v>0</v>
      </c>
      <c r="S121" t="s">
        <v>119</v>
      </c>
      <c r="T121">
        <v>0</v>
      </c>
    </row>
    <row r="122" spans="1:20" x14ac:dyDescent="0.25">
      <c r="A122" t="s">
        <v>752</v>
      </c>
      <c r="B122">
        <v>8</v>
      </c>
      <c r="C122" t="s">
        <v>19</v>
      </c>
      <c r="D122">
        <v>168</v>
      </c>
      <c r="E122">
        <v>60</v>
      </c>
      <c r="F122">
        <v>194</v>
      </c>
      <c r="G122">
        <v>63</v>
      </c>
      <c r="H122" t="s">
        <v>20</v>
      </c>
      <c r="I122">
        <v>16</v>
      </c>
      <c r="J122">
        <v>1</v>
      </c>
      <c r="K122">
        <v>0</v>
      </c>
      <c r="L122">
        <v>0</v>
      </c>
      <c r="N122" t="s">
        <v>918</v>
      </c>
      <c r="O122" t="s">
        <v>27</v>
      </c>
      <c r="Q122">
        <v>2</v>
      </c>
      <c r="R122" t="b">
        <v>0</v>
      </c>
      <c r="S122" t="s">
        <v>119</v>
      </c>
      <c r="T122">
        <v>0</v>
      </c>
    </row>
    <row r="123" spans="1:20" x14ac:dyDescent="0.25">
      <c r="A123" t="s">
        <v>753</v>
      </c>
      <c r="B123">
        <v>8</v>
      </c>
      <c r="C123" t="s">
        <v>19</v>
      </c>
      <c r="D123">
        <v>14</v>
      </c>
      <c r="E123">
        <v>71</v>
      </c>
      <c r="F123">
        <v>112</v>
      </c>
      <c r="G123">
        <v>76</v>
      </c>
      <c r="H123" t="s">
        <v>102</v>
      </c>
      <c r="I123">
        <v>12</v>
      </c>
      <c r="J123">
        <v>0</v>
      </c>
      <c r="K123">
        <v>0</v>
      </c>
      <c r="L123">
        <v>0</v>
      </c>
      <c r="N123" t="s">
        <v>918</v>
      </c>
      <c r="O123" t="s">
        <v>25</v>
      </c>
      <c r="Q123">
        <v>3</v>
      </c>
      <c r="R123" t="b">
        <v>1</v>
      </c>
      <c r="S123" t="s">
        <v>119</v>
      </c>
      <c r="T123">
        <v>0</v>
      </c>
    </row>
    <row r="124" spans="1:20" x14ac:dyDescent="0.25">
      <c r="A124" t="s">
        <v>754</v>
      </c>
      <c r="B124">
        <v>8</v>
      </c>
      <c r="C124" t="s">
        <v>19</v>
      </c>
      <c r="D124">
        <v>113</v>
      </c>
      <c r="E124">
        <v>72</v>
      </c>
      <c r="F124">
        <v>140</v>
      </c>
      <c r="G124">
        <v>75</v>
      </c>
      <c r="H124" t="s">
        <v>20</v>
      </c>
      <c r="I124">
        <v>16</v>
      </c>
      <c r="J124">
        <v>1</v>
      </c>
      <c r="K124">
        <v>0</v>
      </c>
      <c r="L124">
        <v>0</v>
      </c>
      <c r="N124" t="s">
        <v>918</v>
      </c>
      <c r="O124" t="s">
        <v>27</v>
      </c>
      <c r="Q124">
        <v>2</v>
      </c>
      <c r="R124" t="b">
        <v>0</v>
      </c>
      <c r="S124" t="s">
        <v>119</v>
      </c>
      <c r="T124">
        <v>0</v>
      </c>
    </row>
    <row r="125" spans="1:20" x14ac:dyDescent="0.25">
      <c r="A125" t="s">
        <v>755</v>
      </c>
      <c r="B125">
        <v>8</v>
      </c>
      <c r="C125" t="s">
        <v>19</v>
      </c>
      <c r="D125">
        <v>140</v>
      </c>
      <c r="E125">
        <v>72</v>
      </c>
      <c r="F125">
        <v>169</v>
      </c>
      <c r="G125">
        <v>75</v>
      </c>
      <c r="H125" t="s">
        <v>20</v>
      </c>
      <c r="I125">
        <v>16</v>
      </c>
      <c r="J125">
        <v>1</v>
      </c>
      <c r="K125">
        <v>0</v>
      </c>
      <c r="L125">
        <v>0</v>
      </c>
      <c r="N125" t="s">
        <v>918</v>
      </c>
      <c r="O125" t="s">
        <v>27</v>
      </c>
      <c r="Q125">
        <v>2</v>
      </c>
      <c r="R125" t="b">
        <v>0</v>
      </c>
      <c r="S125" t="s">
        <v>119</v>
      </c>
      <c r="T125">
        <v>0</v>
      </c>
    </row>
    <row r="126" spans="1:20" x14ac:dyDescent="0.25">
      <c r="A126" t="s">
        <v>756</v>
      </c>
      <c r="B126">
        <v>8</v>
      </c>
      <c r="C126" t="s">
        <v>19</v>
      </c>
      <c r="D126">
        <v>168</v>
      </c>
      <c r="E126">
        <v>72</v>
      </c>
      <c r="F126">
        <v>194</v>
      </c>
      <c r="G126">
        <v>75</v>
      </c>
      <c r="H126" t="s">
        <v>20</v>
      </c>
      <c r="I126">
        <v>16</v>
      </c>
      <c r="J126">
        <v>1</v>
      </c>
      <c r="K126">
        <v>0</v>
      </c>
      <c r="L126">
        <v>0</v>
      </c>
      <c r="N126" t="s">
        <v>918</v>
      </c>
      <c r="O126" t="s">
        <v>27</v>
      </c>
      <c r="Q126">
        <v>2</v>
      </c>
      <c r="R126" t="b">
        <v>0</v>
      </c>
      <c r="S126" t="s">
        <v>119</v>
      </c>
      <c r="T126">
        <v>0</v>
      </c>
    </row>
    <row r="127" spans="1:20" x14ac:dyDescent="0.25">
      <c r="A127" t="s">
        <v>757</v>
      </c>
      <c r="B127">
        <v>8</v>
      </c>
      <c r="C127" t="s">
        <v>19</v>
      </c>
      <c r="D127">
        <v>14</v>
      </c>
      <c r="E127">
        <v>83</v>
      </c>
      <c r="F127">
        <v>112</v>
      </c>
      <c r="G127">
        <v>88</v>
      </c>
      <c r="H127" t="s">
        <v>102</v>
      </c>
      <c r="I127">
        <v>12</v>
      </c>
      <c r="J127">
        <v>0</v>
      </c>
      <c r="K127">
        <v>0</v>
      </c>
      <c r="L127">
        <v>0</v>
      </c>
      <c r="N127" t="s">
        <v>918</v>
      </c>
      <c r="O127" t="s">
        <v>25</v>
      </c>
      <c r="Q127">
        <v>3</v>
      </c>
      <c r="R127" t="b">
        <v>1</v>
      </c>
      <c r="S127" t="s">
        <v>119</v>
      </c>
      <c r="T127">
        <v>0</v>
      </c>
    </row>
    <row r="128" spans="1:20" x14ac:dyDescent="0.25">
      <c r="A128" t="s">
        <v>758</v>
      </c>
      <c r="B128">
        <v>8</v>
      </c>
      <c r="C128" t="s">
        <v>19</v>
      </c>
      <c r="D128">
        <v>113</v>
      </c>
      <c r="E128">
        <v>84</v>
      </c>
      <c r="F128">
        <v>140</v>
      </c>
      <c r="G128">
        <v>87</v>
      </c>
      <c r="H128" t="s">
        <v>20</v>
      </c>
      <c r="I128">
        <v>16</v>
      </c>
      <c r="J128">
        <v>1</v>
      </c>
      <c r="K128">
        <v>0</v>
      </c>
      <c r="L128">
        <v>0</v>
      </c>
      <c r="N128" t="s">
        <v>918</v>
      </c>
      <c r="O128" t="s">
        <v>27</v>
      </c>
      <c r="Q128">
        <v>2</v>
      </c>
      <c r="R128" t="b">
        <v>0</v>
      </c>
      <c r="S128" t="s">
        <v>119</v>
      </c>
      <c r="T128">
        <v>0</v>
      </c>
    </row>
    <row r="129" spans="1:20" x14ac:dyDescent="0.25">
      <c r="A129" t="s">
        <v>759</v>
      </c>
      <c r="B129">
        <v>8</v>
      </c>
      <c r="C129" t="s">
        <v>19</v>
      </c>
      <c r="D129">
        <v>140</v>
      </c>
      <c r="E129">
        <v>84</v>
      </c>
      <c r="F129">
        <v>169</v>
      </c>
      <c r="G129">
        <v>87</v>
      </c>
      <c r="H129" t="s">
        <v>20</v>
      </c>
      <c r="I129">
        <v>16</v>
      </c>
      <c r="J129">
        <v>1</v>
      </c>
      <c r="K129">
        <v>0</v>
      </c>
      <c r="L129">
        <v>0</v>
      </c>
      <c r="N129" t="s">
        <v>918</v>
      </c>
      <c r="O129" t="s">
        <v>27</v>
      </c>
      <c r="Q129">
        <v>2</v>
      </c>
      <c r="R129" t="b">
        <v>0</v>
      </c>
      <c r="S129" t="s">
        <v>119</v>
      </c>
      <c r="T129">
        <v>0</v>
      </c>
    </row>
    <row r="130" spans="1:20" x14ac:dyDescent="0.25">
      <c r="A130" t="s">
        <v>760</v>
      </c>
      <c r="B130">
        <v>8</v>
      </c>
      <c r="C130" t="s">
        <v>19</v>
      </c>
      <c r="D130">
        <v>168</v>
      </c>
      <c r="E130">
        <v>84</v>
      </c>
      <c r="F130">
        <v>194</v>
      </c>
      <c r="G130">
        <v>87</v>
      </c>
      <c r="H130" t="s">
        <v>20</v>
      </c>
      <c r="I130">
        <v>16</v>
      </c>
      <c r="J130">
        <v>1</v>
      </c>
      <c r="K130">
        <v>0</v>
      </c>
      <c r="L130">
        <v>0</v>
      </c>
      <c r="N130" t="s">
        <v>918</v>
      </c>
      <c r="O130" t="s">
        <v>27</v>
      </c>
      <c r="Q130">
        <v>2</v>
      </c>
      <c r="R130" t="b">
        <v>0</v>
      </c>
      <c r="S130" t="s">
        <v>119</v>
      </c>
      <c r="T130">
        <v>0</v>
      </c>
    </row>
    <row r="131" spans="1:20" x14ac:dyDescent="0.25">
      <c r="A131" t="s">
        <v>761</v>
      </c>
      <c r="B131">
        <v>8</v>
      </c>
      <c r="C131" t="s">
        <v>19</v>
      </c>
      <c r="D131">
        <v>14</v>
      </c>
      <c r="E131">
        <v>95</v>
      </c>
      <c r="F131">
        <v>112</v>
      </c>
      <c r="G131">
        <v>100</v>
      </c>
      <c r="H131" t="s">
        <v>102</v>
      </c>
      <c r="I131">
        <v>12</v>
      </c>
      <c r="J131">
        <v>0</v>
      </c>
      <c r="K131">
        <v>0</v>
      </c>
      <c r="L131">
        <v>0</v>
      </c>
      <c r="N131" t="s">
        <v>918</v>
      </c>
      <c r="O131" t="s">
        <v>25</v>
      </c>
      <c r="Q131">
        <v>3</v>
      </c>
      <c r="R131" t="b">
        <v>1</v>
      </c>
      <c r="S131" t="s">
        <v>119</v>
      </c>
      <c r="T131">
        <v>0</v>
      </c>
    </row>
    <row r="132" spans="1:20" x14ac:dyDescent="0.25">
      <c r="A132" t="s">
        <v>762</v>
      </c>
      <c r="B132">
        <v>8</v>
      </c>
      <c r="C132" t="s">
        <v>19</v>
      </c>
      <c r="D132">
        <v>113</v>
      </c>
      <c r="E132">
        <v>96</v>
      </c>
      <c r="F132">
        <v>140</v>
      </c>
      <c r="G132">
        <v>99</v>
      </c>
      <c r="H132" t="s">
        <v>20</v>
      </c>
      <c r="I132">
        <v>16</v>
      </c>
      <c r="J132">
        <v>1</v>
      </c>
      <c r="K132">
        <v>0</v>
      </c>
      <c r="L132">
        <v>0</v>
      </c>
      <c r="N132" t="s">
        <v>918</v>
      </c>
      <c r="O132" t="s">
        <v>27</v>
      </c>
      <c r="Q132">
        <v>2</v>
      </c>
      <c r="R132" t="b">
        <v>0</v>
      </c>
      <c r="S132" t="s">
        <v>119</v>
      </c>
      <c r="T132">
        <v>0</v>
      </c>
    </row>
    <row r="133" spans="1:20" x14ac:dyDescent="0.25">
      <c r="A133" t="s">
        <v>763</v>
      </c>
      <c r="B133">
        <v>8</v>
      </c>
      <c r="C133" t="s">
        <v>19</v>
      </c>
      <c r="D133">
        <v>140</v>
      </c>
      <c r="E133">
        <v>96</v>
      </c>
      <c r="F133">
        <v>169</v>
      </c>
      <c r="G133">
        <v>99</v>
      </c>
      <c r="H133" t="s">
        <v>20</v>
      </c>
      <c r="I133">
        <v>16</v>
      </c>
      <c r="J133">
        <v>1</v>
      </c>
      <c r="K133">
        <v>0</v>
      </c>
      <c r="L133">
        <v>0</v>
      </c>
      <c r="N133" t="s">
        <v>918</v>
      </c>
      <c r="O133" t="s">
        <v>27</v>
      </c>
      <c r="Q133">
        <v>2</v>
      </c>
      <c r="R133" t="b">
        <v>0</v>
      </c>
      <c r="S133" t="s">
        <v>119</v>
      </c>
      <c r="T133">
        <v>0</v>
      </c>
    </row>
    <row r="134" spans="1:20" x14ac:dyDescent="0.25">
      <c r="A134" t="s">
        <v>764</v>
      </c>
      <c r="B134">
        <v>8</v>
      </c>
      <c r="C134" t="s">
        <v>19</v>
      </c>
      <c r="D134">
        <v>168</v>
      </c>
      <c r="E134">
        <v>96</v>
      </c>
      <c r="F134">
        <v>194</v>
      </c>
      <c r="G134">
        <v>99</v>
      </c>
      <c r="H134" t="s">
        <v>20</v>
      </c>
      <c r="I134">
        <v>16</v>
      </c>
      <c r="J134">
        <v>1</v>
      </c>
      <c r="K134">
        <v>0</v>
      </c>
      <c r="L134">
        <v>0</v>
      </c>
      <c r="N134" t="s">
        <v>918</v>
      </c>
      <c r="O134" t="s">
        <v>27</v>
      </c>
      <c r="Q134">
        <v>2</v>
      </c>
      <c r="R134" t="b">
        <v>0</v>
      </c>
      <c r="S134" t="s">
        <v>119</v>
      </c>
      <c r="T134">
        <v>0</v>
      </c>
    </row>
    <row r="135" spans="1:20" x14ac:dyDescent="0.25">
      <c r="A135" t="s">
        <v>808</v>
      </c>
      <c r="B135">
        <v>8</v>
      </c>
      <c r="C135" t="s">
        <v>19</v>
      </c>
      <c r="D135">
        <v>14</v>
      </c>
      <c r="E135">
        <v>107</v>
      </c>
      <c r="F135">
        <v>112</v>
      </c>
      <c r="G135">
        <v>112</v>
      </c>
      <c r="H135" t="s">
        <v>102</v>
      </c>
      <c r="I135">
        <v>12</v>
      </c>
      <c r="J135">
        <v>0</v>
      </c>
      <c r="K135">
        <v>0</v>
      </c>
      <c r="L135">
        <v>0</v>
      </c>
      <c r="N135" t="s">
        <v>918</v>
      </c>
      <c r="O135" t="s">
        <v>25</v>
      </c>
      <c r="Q135">
        <v>3</v>
      </c>
      <c r="R135" t="b">
        <v>1</v>
      </c>
      <c r="S135" t="s">
        <v>119</v>
      </c>
      <c r="T135">
        <v>0</v>
      </c>
    </row>
    <row r="136" spans="1:20" x14ac:dyDescent="0.25">
      <c r="A136" t="s">
        <v>809</v>
      </c>
      <c r="B136">
        <v>8</v>
      </c>
      <c r="C136" t="s">
        <v>19</v>
      </c>
      <c r="D136">
        <v>113</v>
      </c>
      <c r="E136">
        <v>108</v>
      </c>
      <c r="F136">
        <v>140</v>
      </c>
      <c r="G136">
        <v>111</v>
      </c>
      <c r="H136" t="s">
        <v>20</v>
      </c>
      <c r="I136">
        <v>16</v>
      </c>
      <c r="J136">
        <v>1</v>
      </c>
      <c r="K136">
        <v>0</v>
      </c>
      <c r="L136">
        <v>0</v>
      </c>
      <c r="N136" t="s">
        <v>918</v>
      </c>
      <c r="O136" t="s">
        <v>27</v>
      </c>
      <c r="Q136">
        <v>2</v>
      </c>
      <c r="R136" t="b">
        <v>0</v>
      </c>
      <c r="S136" t="s">
        <v>119</v>
      </c>
      <c r="T136">
        <v>0</v>
      </c>
    </row>
    <row r="137" spans="1:20" x14ac:dyDescent="0.25">
      <c r="A137" t="s">
        <v>810</v>
      </c>
      <c r="B137">
        <v>8</v>
      </c>
      <c r="C137" t="s">
        <v>19</v>
      </c>
      <c r="D137">
        <v>140</v>
      </c>
      <c r="E137">
        <v>108</v>
      </c>
      <c r="F137">
        <v>169</v>
      </c>
      <c r="G137">
        <v>111</v>
      </c>
      <c r="H137" t="s">
        <v>20</v>
      </c>
      <c r="I137">
        <v>16</v>
      </c>
      <c r="J137">
        <v>1</v>
      </c>
      <c r="K137">
        <v>0</v>
      </c>
      <c r="L137">
        <v>0</v>
      </c>
      <c r="N137" t="s">
        <v>918</v>
      </c>
      <c r="O137" t="s">
        <v>27</v>
      </c>
      <c r="Q137">
        <v>2</v>
      </c>
      <c r="R137" t="b">
        <v>0</v>
      </c>
      <c r="S137" t="s">
        <v>119</v>
      </c>
      <c r="T137">
        <v>0</v>
      </c>
    </row>
    <row r="138" spans="1:20" x14ac:dyDescent="0.25">
      <c r="A138" t="s">
        <v>811</v>
      </c>
      <c r="B138">
        <v>8</v>
      </c>
      <c r="C138" t="s">
        <v>19</v>
      </c>
      <c r="D138">
        <v>168</v>
      </c>
      <c r="E138">
        <v>108</v>
      </c>
      <c r="F138">
        <v>194</v>
      </c>
      <c r="G138">
        <v>111</v>
      </c>
      <c r="H138" t="s">
        <v>20</v>
      </c>
      <c r="I138">
        <v>16</v>
      </c>
      <c r="J138">
        <v>1</v>
      </c>
      <c r="K138">
        <v>0</v>
      </c>
      <c r="L138">
        <v>0</v>
      </c>
      <c r="N138" t="s">
        <v>918</v>
      </c>
      <c r="O138" t="s">
        <v>27</v>
      </c>
      <c r="Q138">
        <v>2</v>
      </c>
      <c r="R138" t="b">
        <v>0</v>
      </c>
      <c r="S138" t="s">
        <v>119</v>
      </c>
      <c r="T138">
        <v>0</v>
      </c>
    </row>
    <row r="139" spans="1:20" x14ac:dyDescent="0.25">
      <c r="A139" t="s">
        <v>812</v>
      </c>
      <c r="B139">
        <v>8</v>
      </c>
      <c r="C139" t="s">
        <v>19</v>
      </c>
      <c r="D139">
        <v>14</v>
      </c>
      <c r="E139">
        <v>119</v>
      </c>
      <c r="F139">
        <v>112</v>
      </c>
      <c r="G139">
        <v>124</v>
      </c>
      <c r="H139" t="s">
        <v>102</v>
      </c>
      <c r="I139">
        <v>12</v>
      </c>
      <c r="J139">
        <v>0</v>
      </c>
      <c r="K139">
        <v>0</v>
      </c>
      <c r="L139">
        <v>0</v>
      </c>
      <c r="N139" t="s">
        <v>918</v>
      </c>
      <c r="O139" t="s">
        <v>25</v>
      </c>
      <c r="Q139">
        <v>3</v>
      </c>
      <c r="R139" t="b">
        <v>1</v>
      </c>
      <c r="S139" t="s">
        <v>119</v>
      </c>
      <c r="T139">
        <v>0</v>
      </c>
    </row>
    <row r="140" spans="1:20" x14ac:dyDescent="0.25">
      <c r="A140" t="s">
        <v>813</v>
      </c>
      <c r="B140">
        <v>8</v>
      </c>
      <c r="C140" t="s">
        <v>19</v>
      </c>
      <c r="D140">
        <v>113</v>
      </c>
      <c r="E140">
        <v>120</v>
      </c>
      <c r="F140">
        <v>140</v>
      </c>
      <c r="G140">
        <v>123</v>
      </c>
      <c r="H140" t="s">
        <v>20</v>
      </c>
      <c r="I140">
        <v>16</v>
      </c>
      <c r="J140">
        <v>1</v>
      </c>
      <c r="K140">
        <v>0</v>
      </c>
      <c r="L140">
        <v>0</v>
      </c>
      <c r="N140" t="s">
        <v>918</v>
      </c>
      <c r="O140" t="s">
        <v>27</v>
      </c>
      <c r="Q140">
        <v>2</v>
      </c>
      <c r="R140" t="b">
        <v>0</v>
      </c>
      <c r="S140" t="s">
        <v>119</v>
      </c>
      <c r="T140">
        <v>0</v>
      </c>
    </row>
    <row r="141" spans="1:20" x14ac:dyDescent="0.25">
      <c r="A141" t="s">
        <v>814</v>
      </c>
      <c r="B141">
        <v>8</v>
      </c>
      <c r="C141" t="s">
        <v>19</v>
      </c>
      <c r="D141">
        <v>140</v>
      </c>
      <c r="E141">
        <v>120</v>
      </c>
      <c r="F141">
        <v>169</v>
      </c>
      <c r="G141">
        <v>123</v>
      </c>
      <c r="H141" t="s">
        <v>20</v>
      </c>
      <c r="I141">
        <v>16</v>
      </c>
      <c r="J141">
        <v>1</v>
      </c>
      <c r="K141">
        <v>0</v>
      </c>
      <c r="L141">
        <v>0</v>
      </c>
      <c r="N141" t="s">
        <v>918</v>
      </c>
      <c r="O141" t="s">
        <v>27</v>
      </c>
      <c r="Q141">
        <v>2</v>
      </c>
      <c r="R141" t="b">
        <v>0</v>
      </c>
      <c r="S141" t="s">
        <v>119</v>
      </c>
      <c r="T141">
        <v>0</v>
      </c>
    </row>
    <row r="142" spans="1:20" x14ac:dyDescent="0.25">
      <c r="A142" t="s">
        <v>815</v>
      </c>
      <c r="B142">
        <v>8</v>
      </c>
      <c r="C142" t="s">
        <v>19</v>
      </c>
      <c r="D142">
        <v>168</v>
      </c>
      <c r="E142">
        <v>120</v>
      </c>
      <c r="F142">
        <v>194</v>
      </c>
      <c r="G142">
        <v>123</v>
      </c>
      <c r="H142" t="s">
        <v>20</v>
      </c>
      <c r="I142">
        <v>16</v>
      </c>
      <c r="J142">
        <v>1</v>
      </c>
      <c r="K142">
        <v>0</v>
      </c>
      <c r="L142">
        <v>0</v>
      </c>
      <c r="N142" t="s">
        <v>918</v>
      </c>
      <c r="O142" t="s">
        <v>27</v>
      </c>
      <c r="Q142">
        <v>2</v>
      </c>
      <c r="R142" t="b">
        <v>0</v>
      </c>
      <c r="S142" t="s">
        <v>119</v>
      </c>
      <c r="T142">
        <v>0</v>
      </c>
    </row>
    <row r="143" spans="1:20" x14ac:dyDescent="0.25">
      <c r="A143" t="s">
        <v>816</v>
      </c>
      <c r="B143">
        <v>8</v>
      </c>
      <c r="C143" t="s">
        <v>19</v>
      </c>
      <c r="D143">
        <v>14</v>
      </c>
      <c r="E143">
        <v>131</v>
      </c>
      <c r="F143">
        <v>112</v>
      </c>
      <c r="G143">
        <v>136</v>
      </c>
      <c r="H143" t="s">
        <v>102</v>
      </c>
      <c r="I143">
        <v>12</v>
      </c>
      <c r="J143">
        <v>0</v>
      </c>
      <c r="K143">
        <v>0</v>
      </c>
      <c r="L143">
        <v>0</v>
      </c>
      <c r="N143" t="s">
        <v>918</v>
      </c>
      <c r="O143" t="s">
        <v>25</v>
      </c>
      <c r="Q143">
        <v>3</v>
      </c>
      <c r="R143" t="b">
        <v>1</v>
      </c>
      <c r="S143" t="s">
        <v>119</v>
      </c>
      <c r="T143">
        <v>0</v>
      </c>
    </row>
    <row r="144" spans="1:20" x14ac:dyDescent="0.25">
      <c r="A144" t="s">
        <v>817</v>
      </c>
      <c r="B144">
        <v>8</v>
      </c>
      <c r="C144" t="s">
        <v>19</v>
      </c>
      <c r="D144">
        <v>113</v>
      </c>
      <c r="E144">
        <v>132</v>
      </c>
      <c r="F144">
        <v>140</v>
      </c>
      <c r="G144">
        <v>135</v>
      </c>
      <c r="H144" t="s">
        <v>20</v>
      </c>
      <c r="I144">
        <v>16</v>
      </c>
      <c r="J144">
        <v>1</v>
      </c>
      <c r="K144">
        <v>0</v>
      </c>
      <c r="L144">
        <v>0</v>
      </c>
      <c r="N144" t="s">
        <v>918</v>
      </c>
      <c r="O144" t="s">
        <v>27</v>
      </c>
      <c r="Q144">
        <v>2</v>
      </c>
      <c r="R144" t="b">
        <v>0</v>
      </c>
      <c r="S144" t="s">
        <v>119</v>
      </c>
      <c r="T144">
        <v>0</v>
      </c>
    </row>
    <row r="145" spans="1:20" x14ac:dyDescent="0.25">
      <c r="A145" t="s">
        <v>818</v>
      </c>
      <c r="B145">
        <v>8</v>
      </c>
      <c r="C145" t="s">
        <v>19</v>
      </c>
      <c r="D145">
        <v>140</v>
      </c>
      <c r="E145">
        <v>132</v>
      </c>
      <c r="F145">
        <v>169</v>
      </c>
      <c r="G145">
        <v>135</v>
      </c>
      <c r="H145" t="s">
        <v>20</v>
      </c>
      <c r="I145">
        <v>16</v>
      </c>
      <c r="J145">
        <v>1</v>
      </c>
      <c r="K145">
        <v>0</v>
      </c>
      <c r="L145">
        <v>0</v>
      </c>
      <c r="N145" t="s">
        <v>918</v>
      </c>
      <c r="O145" t="s">
        <v>27</v>
      </c>
      <c r="Q145">
        <v>2</v>
      </c>
      <c r="R145" t="b">
        <v>0</v>
      </c>
      <c r="S145" t="s">
        <v>119</v>
      </c>
      <c r="T145">
        <v>0</v>
      </c>
    </row>
    <row r="146" spans="1:20" x14ac:dyDescent="0.25">
      <c r="A146" t="s">
        <v>819</v>
      </c>
      <c r="B146">
        <v>8</v>
      </c>
      <c r="C146" t="s">
        <v>19</v>
      </c>
      <c r="D146">
        <v>168</v>
      </c>
      <c r="E146">
        <v>132</v>
      </c>
      <c r="F146">
        <v>194</v>
      </c>
      <c r="G146">
        <v>135</v>
      </c>
      <c r="H146" t="s">
        <v>20</v>
      </c>
      <c r="I146">
        <v>16</v>
      </c>
      <c r="J146">
        <v>1</v>
      </c>
      <c r="K146">
        <v>0</v>
      </c>
      <c r="L146">
        <v>0</v>
      </c>
      <c r="N146" t="s">
        <v>918</v>
      </c>
      <c r="O146" t="s">
        <v>27</v>
      </c>
      <c r="Q146">
        <v>2</v>
      </c>
      <c r="R146" t="b">
        <v>0</v>
      </c>
      <c r="S146" t="s">
        <v>119</v>
      </c>
      <c r="T146">
        <v>0</v>
      </c>
    </row>
    <row r="147" spans="1:20" x14ac:dyDescent="0.25">
      <c r="A147" t="s">
        <v>5234</v>
      </c>
      <c r="B147">
        <v>8</v>
      </c>
      <c r="C147" t="s">
        <v>19</v>
      </c>
      <c r="D147">
        <v>14</v>
      </c>
      <c r="E147">
        <v>143</v>
      </c>
      <c r="F147">
        <v>112</v>
      </c>
      <c r="G147">
        <v>148</v>
      </c>
      <c r="H147" t="s">
        <v>102</v>
      </c>
      <c r="I147">
        <v>12</v>
      </c>
      <c r="J147">
        <v>0</v>
      </c>
      <c r="K147">
        <v>0</v>
      </c>
      <c r="L147">
        <v>0</v>
      </c>
      <c r="N147" t="s">
        <v>918</v>
      </c>
      <c r="O147" t="s">
        <v>25</v>
      </c>
      <c r="Q147">
        <v>3</v>
      </c>
      <c r="R147" t="b">
        <v>1</v>
      </c>
      <c r="S147" t="s">
        <v>119</v>
      </c>
      <c r="T147">
        <v>0</v>
      </c>
    </row>
    <row r="148" spans="1:20" x14ac:dyDescent="0.25">
      <c r="A148" t="s">
        <v>5235</v>
      </c>
      <c r="B148">
        <v>8</v>
      </c>
      <c r="C148" t="s">
        <v>19</v>
      </c>
      <c r="D148">
        <v>113</v>
      </c>
      <c r="E148">
        <v>144</v>
      </c>
      <c r="F148">
        <v>140</v>
      </c>
      <c r="G148">
        <v>147</v>
      </c>
      <c r="H148" t="s">
        <v>20</v>
      </c>
      <c r="I148">
        <v>16</v>
      </c>
      <c r="J148">
        <v>1</v>
      </c>
      <c r="K148">
        <v>0</v>
      </c>
      <c r="L148">
        <v>0</v>
      </c>
      <c r="N148" t="s">
        <v>918</v>
      </c>
      <c r="O148" t="s">
        <v>27</v>
      </c>
      <c r="Q148">
        <v>2</v>
      </c>
      <c r="R148" t="b">
        <v>0</v>
      </c>
      <c r="S148" t="s">
        <v>119</v>
      </c>
      <c r="T148">
        <v>0</v>
      </c>
    </row>
    <row r="149" spans="1:20" x14ac:dyDescent="0.25">
      <c r="A149" t="s">
        <v>5236</v>
      </c>
      <c r="B149">
        <v>8</v>
      </c>
      <c r="C149" t="s">
        <v>19</v>
      </c>
      <c r="D149">
        <v>140</v>
      </c>
      <c r="E149">
        <v>144</v>
      </c>
      <c r="F149">
        <v>169</v>
      </c>
      <c r="G149">
        <v>147</v>
      </c>
      <c r="H149" t="s">
        <v>20</v>
      </c>
      <c r="I149">
        <v>16</v>
      </c>
      <c r="J149">
        <v>1</v>
      </c>
      <c r="K149">
        <v>0</v>
      </c>
      <c r="L149">
        <v>0</v>
      </c>
      <c r="N149" t="s">
        <v>918</v>
      </c>
      <c r="O149" t="s">
        <v>27</v>
      </c>
      <c r="Q149">
        <v>2</v>
      </c>
      <c r="R149" t="b">
        <v>0</v>
      </c>
      <c r="S149" t="s">
        <v>119</v>
      </c>
      <c r="T149">
        <v>0</v>
      </c>
    </row>
    <row r="150" spans="1:20" x14ac:dyDescent="0.25">
      <c r="A150" t="s">
        <v>5237</v>
      </c>
      <c r="B150">
        <v>8</v>
      </c>
      <c r="C150" t="s">
        <v>19</v>
      </c>
      <c r="D150">
        <v>168</v>
      </c>
      <c r="E150">
        <v>144</v>
      </c>
      <c r="F150">
        <v>194</v>
      </c>
      <c r="G150">
        <v>147</v>
      </c>
      <c r="H150" t="s">
        <v>20</v>
      </c>
      <c r="I150">
        <v>16</v>
      </c>
      <c r="J150">
        <v>1</v>
      </c>
      <c r="K150">
        <v>0</v>
      </c>
      <c r="L150">
        <v>0</v>
      </c>
      <c r="N150" t="s">
        <v>918</v>
      </c>
      <c r="O150" t="s">
        <v>27</v>
      </c>
      <c r="Q150">
        <v>2</v>
      </c>
      <c r="R150" t="b">
        <v>0</v>
      </c>
      <c r="S150" t="s">
        <v>119</v>
      </c>
      <c r="T150">
        <v>0</v>
      </c>
    </row>
    <row r="151" spans="1:20" x14ac:dyDescent="0.25">
      <c r="A151" t="s">
        <v>5238</v>
      </c>
      <c r="B151">
        <v>8</v>
      </c>
      <c r="C151" t="s">
        <v>19</v>
      </c>
      <c r="D151">
        <v>14</v>
      </c>
      <c r="E151">
        <v>155</v>
      </c>
      <c r="F151">
        <v>112</v>
      </c>
      <c r="G151">
        <v>160</v>
      </c>
      <c r="H151" t="s">
        <v>102</v>
      </c>
      <c r="I151">
        <v>12</v>
      </c>
      <c r="J151">
        <v>0</v>
      </c>
      <c r="K151">
        <v>0</v>
      </c>
      <c r="L151">
        <v>0</v>
      </c>
      <c r="N151" t="s">
        <v>918</v>
      </c>
      <c r="O151" t="s">
        <v>25</v>
      </c>
      <c r="Q151">
        <v>3</v>
      </c>
      <c r="R151" t="b">
        <v>1</v>
      </c>
      <c r="S151" t="s">
        <v>119</v>
      </c>
      <c r="T151">
        <v>0</v>
      </c>
    </row>
    <row r="152" spans="1:20" x14ac:dyDescent="0.25">
      <c r="A152" t="s">
        <v>5239</v>
      </c>
      <c r="B152">
        <v>8</v>
      </c>
      <c r="C152" t="s">
        <v>19</v>
      </c>
      <c r="D152">
        <v>113</v>
      </c>
      <c r="E152">
        <v>156</v>
      </c>
      <c r="F152">
        <v>140</v>
      </c>
      <c r="G152">
        <v>159</v>
      </c>
      <c r="H152" t="s">
        <v>20</v>
      </c>
      <c r="I152">
        <v>16</v>
      </c>
      <c r="J152">
        <v>1</v>
      </c>
      <c r="K152">
        <v>0</v>
      </c>
      <c r="L152">
        <v>0</v>
      </c>
      <c r="N152" t="s">
        <v>918</v>
      </c>
      <c r="O152" t="s">
        <v>27</v>
      </c>
      <c r="Q152">
        <v>2</v>
      </c>
      <c r="R152" t="b">
        <v>0</v>
      </c>
      <c r="S152" t="s">
        <v>119</v>
      </c>
      <c r="T152">
        <v>0</v>
      </c>
    </row>
    <row r="153" spans="1:20" x14ac:dyDescent="0.25">
      <c r="A153" t="s">
        <v>5240</v>
      </c>
      <c r="B153">
        <v>8</v>
      </c>
      <c r="C153" t="s">
        <v>19</v>
      </c>
      <c r="D153">
        <v>140</v>
      </c>
      <c r="E153">
        <v>156</v>
      </c>
      <c r="F153">
        <v>169</v>
      </c>
      <c r="G153">
        <v>159</v>
      </c>
      <c r="H153" t="s">
        <v>20</v>
      </c>
      <c r="I153">
        <v>16</v>
      </c>
      <c r="J153">
        <v>1</v>
      </c>
      <c r="K153">
        <v>0</v>
      </c>
      <c r="L153">
        <v>0</v>
      </c>
      <c r="N153" t="s">
        <v>918</v>
      </c>
      <c r="O153" t="s">
        <v>27</v>
      </c>
      <c r="Q153">
        <v>2</v>
      </c>
      <c r="R153" t="b">
        <v>0</v>
      </c>
      <c r="S153" t="s">
        <v>119</v>
      </c>
      <c r="T153">
        <v>0</v>
      </c>
    </row>
    <row r="154" spans="1:20" x14ac:dyDescent="0.25">
      <c r="A154" t="s">
        <v>5241</v>
      </c>
      <c r="B154">
        <v>8</v>
      </c>
      <c r="C154" t="s">
        <v>19</v>
      </c>
      <c r="D154">
        <v>168</v>
      </c>
      <c r="E154">
        <v>156</v>
      </c>
      <c r="F154">
        <v>194</v>
      </c>
      <c r="G154">
        <v>159</v>
      </c>
      <c r="H154" t="s">
        <v>20</v>
      </c>
      <c r="I154">
        <v>16</v>
      </c>
      <c r="J154">
        <v>1</v>
      </c>
      <c r="K154">
        <v>0</v>
      </c>
      <c r="L154">
        <v>0</v>
      </c>
      <c r="N154" t="s">
        <v>918</v>
      </c>
      <c r="O154" t="s">
        <v>27</v>
      </c>
      <c r="Q154">
        <v>2</v>
      </c>
      <c r="R154" t="b">
        <v>0</v>
      </c>
      <c r="S154" t="s">
        <v>119</v>
      </c>
      <c r="T154">
        <v>0</v>
      </c>
    </row>
    <row r="155" spans="1:20" x14ac:dyDescent="0.25">
      <c r="A155" t="s">
        <v>5242</v>
      </c>
      <c r="B155">
        <v>8</v>
      </c>
      <c r="C155" t="s">
        <v>19</v>
      </c>
      <c r="D155">
        <v>14</v>
      </c>
      <c r="E155">
        <v>167</v>
      </c>
      <c r="F155">
        <v>112</v>
      </c>
      <c r="G155">
        <v>172</v>
      </c>
      <c r="H155" t="s">
        <v>102</v>
      </c>
      <c r="I155">
        <v>12</v>
      </c>
      <c r="J155">
        <v>0</v>
      </c>
      <c r="K155">
        <v>0</v>
      </c>
      <c r="L155">
        <v>0</v>
      </c>
      <c r="N155" t="s">
        <v>918</v>
      </c>
      <c r="O155" t="s">
        <v>25</v>
      </c>
      <c r="Q155">
        <v>3</v>
      </c>
      <c r="R155" t="b">
        <v>1</v>
      </c>
      <c r="S155" t="s">
        <v>119</v>
      </c>
      <c r="T155">
        <v>0</v>
      </c>
    </row>
    <row r="156" spans="1:20" x14ac:dyDescent="0.25">
      <c r="A156" t="s">
        <v>5243</v>
      </c>
      <c r="B156">
        <v>8</v>
      </c>
      <c r="C156" t="s">
        <v>19</v>
      </c>
      <c r="D156">
        <v>113</v>
      </c>
      <c r="E156">
        <v>168</v>
      </c>
      <c r="F156">
        <v>140</v>
      </c>
      <c r="G156">
        <v>171</v>
      </c>
      <c r="H156" t="s">
        <v>20</v>
      </c>
      <c r="I156">
        <v>16</v>
      </c>
      <c r="J156">
        <v>1</v>
      </c>
      <c r="K156">
        <v>0</v>
      </c>
      <c r="L156">
        <v>0</v>
      </c>
      <c r="N156" t="s">
        <v>918</v>
      </c>
      <c r="O156" t="s">
        <v>27</v>
      </c>
      <c r="Q156">
        <v>2</v>
      </c>
      <c r="R156" t="b">
        <v>0</v>
      </c>
      <c r="S156" t="s">
        <v>119</v>
      </c>
      <c r="T156">
        <v>0</v>
      </c>
    </row>
    <row r="157" spans="1:20" x14ac:dyDescent="0.25">
      <c r="A157" t="s">
        <v>5244</v>
      </c>
      <c r="B157">
        <v>8</v>
      </c>
      <c r="C157" t="s">
        <v>19</v>
      </c>
      <c r="D157">
        <v>140</v>
      </c>
      <c r="E157">
        <v>168</v>
      </c>
      <c r="F157">
        <v>169</v>
      </c>
      <c r="G157">
        <v>171</v>
      </c>
      <c r="H157" t="s">
        <v>20</v>
      </c>
      <c r="I157">
        <v>16</v>
      </c>
      <c r="J157">
        <v>1</v>
      </c>
      <c r="K157">
        <v>0</v>
      </c>
      <c r="L157">
        <v>0</v>
      </c>
      <c r="N157" t="s">
        <v>918</v>
      </c>
      <c r="O157" t="s">
        <v>27</v>
      </c>
      <c r="Q157">
        <v>2</v>
      </c>
      <c r="R157" t="b">
        <v>0</v>
      </c>
      <c r="S157" t="s">
        <v>119</v>
      </c>
      <c r="T157">
        <v>0</v>
      </c>
    </row>
    <row r="158" spans="1:20" x14ac:dyDescent="0.25">
      <c r="A158" t="s">
        <v>5245</v>
      </c>
      <c r="B158">
        <v>8</v>
      </c>
      <c r="C158" t="s">
        <v>19</v>
      </c>
      <c r="D158">
        <v>168</v>
      </c>
      <c r="E158">
        <v>168</v>
      </c>
      <c r="F158">
        <v>194</v>
      </c>
      <c r="G158">
        <v>171</v>
      </c>
      <c r="H158" t="s">
        <v>20</v>
      </c>
      <c r="I158">
        <v>16</v>
      </c>
      <c r="J158">
        <v>1</v>
      </c>
      <c r="K158">
        <v>0</v>
      </c>
      <c r="L158">
        <v>0</v>
      </c>
      <c r="N158" t="s">
        <v>918</v>
      </c>
      <c r="O158" t="s">
        <v>27</v>
      </c>
      <c r="Q158">
        <v>2</v>
      </c>
      <c r="R158" t="b">
        <v>0</v>
      </c>
      <c r="S158" t="s">
        <v>119</v>
      </c>
      <c r="T158">
        <v>0</v>
      </c>
    </row>
    <row r="159" spans="1:20" x14ac:dyDescent="0.25">
      <c r="A159" t="s">
        <v>5246</v>
      </c>
      <c r="B159">
        <v>8</v>
      </c>
      <c r="C159" t="s">
        <v>19</v>
      </c>
      <c r="D159">
        <v>14</v>
      </c>
      <c r="E159">
        <v>179</v>
      </c>
      <c r="F159">
        <v>112</v>
      </c>
      <c r="G159">
        <v>184</v>
      </c>
      <c r="H159" t="s">
        <v>102</v>
      </c>
      <c r="I159">
        <v>12</v>
      </c>
      <c r="J159">
        <v>0</v>
      </c>
      <c r="K159">
        <v>0</v>
      </c>
      <c r="L159">
        <v>0</v>
      </c>
      <c r="N159" t="s">
        <v>918</v>
      </c>
      <c r="O159" t="s">
        <v>25</v>
      </c>
      <c r="Q159">
        <v>3</v>
      </c>
      <c r="R159" t="b">
        <v>1</v>
      </c>
      <c r="S159" t="s">
        <v>119</v>
      </c>
      <c r="T159">
        <v>0</v>
      </c>
    </row>
    <row r="160" spans="1:20" x14ac:dyDescent="0.25">
      <c r="A160" t="s">
        <v>5247</v>
      </c>
      <c r="B160">
        <v>8</v>
      </c>
      <c r="C160" t="s">
        <v>19</v>
      </c>
      <c r="D160">
        <v>113</v>
      </c>
      <c r="E160">
        <v>180</v>
      </c>
      <c r="F160">
        <v>140</v>
      </c>
      <c r="G160">
        <v>183</v>
      </c>
      <c r="H160" t="s">
        <v>20</v>
      </c>
      <c r="I160">
        <v>16</v>
      </c>
      <c r="J160">
        <v>1</v>
      </c>
      <c r="K160">
        <v>0</v>
      </c>
      <c r="L160">
        <v>0</v>
      </c>
      <c r="N160" t="s">
        <v>918</v>
      </c>
      <c r="O160" t="s">
        <v>27</v>
      </c>
      <c r="Q160">
        <v>2</v>
      </c>
      <c r="R160" t="b">
        <v>0</v>
      </c>
      <c r="S160" t="s">
        <v>119</v>
      </c>
      <c r="T160">
        <v>0</v>
      </c>
    </row>
    <row r="161" spans="1:20" x14ac:dyDescent="0.25">
      <c r="A161" t="s">
        <v>5248</v>
      </c>
      <c r="B161">
        <v>8</v>
      </c>
      <c r="C161" t="s">
        <v>19</v>
      </c>
      <c r="D161">
        <v>140</v>
      </c>
      <c r="E161">
        <v>180</v>
      </c>
      <c r="F161">
        <v>169</v>
      </c>
      <c r="G161">
        <v>183</v>
      </c>
      <c r="H161" t="s">
        <v>20</v>
      </c>
      <c r="I161">
        <v>16</v>
      </c>
      <c r="J161">
        <v>1</v>
      </c>
      <c r="K161">
        <v>0</v>
      </c>
      <c r="L161">
        <v>0</v>
      </c>
      <c r="N161" t="s">
        <v>918</v>
      </c>
      <c r="O161" t="s">
        <v>27</v>
      </c>
      <c r="Q161">
        <v>2</v>
      </c>
      <c r="R161" t="b">
        <v>0</v>
      </c>
      <c r="S161" t="s">
        <v>119</v>
      </c>
      <c r="T161">
        <v>0</v>
      </c>
    </row>
    <row r="162" spans="1:20" x14ac:dyDescent="0.25">
      <c r="A162" t="s">
        <v>5249</v>
      </c>
      <c r="B162">
        <v>8</v>
      </c>
      <c r="C162" t="s">
        <v>19</v>
      </c>
      <c r="D162">
        <v>168</v>
      </c>
      <c r="E162">
        <v>180</v>
      </c>
      <c r="F162">
        <v>194</v>
      </c>
      <c r="G162">
        <v>183</v>
      </c>
      <c r="H162" t="s">
        <v>20</v>
      </c>
      <c r="I162">
        <v>16</v>
      </c>
      <c r="J162">
        <v>1</v>
      </c>
      <c r="K162">
        <v>0</v>
      </c>
      <c r="L162">
        <v>0</v>
      </c>
      <c r="N162" t="s">
        <v>918</v>
      </c>
      <c r="O162" t="s">
        <v>27</v>
      </c>
      <c r="Q162">
        <v>2</v>
      </c>
      <c r="R162" t="b">
        <v>0</v>
      </c>
      <c r="S162" t="s">
        <v>119</v>
      </c>
      <c r="T162">
        <v>0</v>
      </c>
    </row>
    <row r="163" spans="1:20" x14ac:dyDescent="0.25">
      <c r="A163" t="s">
        <v>5250</v>
      </c>
      <c r="B163">
        <v>8</v>
      </c>
      <c r="C163" t="s">
        <v>19</v>
      </c>
      <c r="D163">
        <v>14</v>
      </c>
      <c r="E163">
        <v>191</v>
      </c>
      <c r="F163">
        <v>112</v>
      </c>
      <c r="G163">
        <v>196</v>
      </c>
      <c r="H163" t="s">
        <v>102</v>
      </c>
      <c r="I163">
        <v>12</v>
      </c>
      <c r="J163">
        <v>0</v>
      </c>
      <c r="K163">
        <v>0</v>
      </c>
      <c r="L163">
        <v>0</v>
      </c>
      <c r="N163" t="s">
        <v>918</v>
      </c>
      <c r="O163" t="s">
        <v>25</v>
      </c>
      <c r="Q163">
        <v>3</v>
      </c>
      <c r="R163" t="b">
        <v>1</v>
      </c>
      <c r="S163" t="s">
        <v>119</v>
      </c>
      <c r="T163">
        <v>0</v>
      </c>
    </row>
    <row r="164" spans="1:20" x14ac:dyDescent="0.25">
      <c r="A164" t="s">
        <v>5251</v>
      </c>
      <c r="B164">
        <v>8</v>
      </c>
      <c r="C164" t="s">
        <v>19</v>
      </c>
      <c r="D164">
        <v>113</v>
      </c>
      <c r="E164">
        <v>192</v>
      </c>
      <c r="F164">
        <v>140</v>
      </c>
      <c r="G164">
        <v>195</v>
      </c>
      <c r="H164" t="s">
        <v>20</v>
      </c>
      <c r="I164">
        <v>16</v>
      </c>
      <c r="J164">
        <v>1</v>
      </c>
      <c r="K164">
        <v>0</v>
      </c>
      <c r="L164">
        <v>0</v>
      </c>
      <c r="N164" t="s">
        <v>918</v>
      </c>
      <c r="O164" t="s">
        <v>27</v>
      </c>
      <c r="Q164">
        <v>2</v>
      </c>
      <c r="R164" t="b">
        <v>0</v>
      </c>
      <c r="S164" t="s">
        <v>119</v>
      </c>
      <c r="T164">
        <v>0</v>
      </c>
    </row>
    <row r="165" spans="1:20" x14ac:dyDescent="0.25">
      <c r="A165" t="s">
        <v>5252</v>
      </c>
      <c r="B165">
        <v>8</v>
      </c>
      <c r="C165" t="s">
        <v>19</v>
      </c>
      <c r="D165">
        <v>140</v>
      </c>
      <c r="E165">
        <v>192</v>
      </c>
      <c r="F165">
        <v>169</v>
      </c>
      <c r="G165">
        <v>195</v>
      </c>
      <c r="H165" t="s">
        <v>20</v>
      </c>
      <c r="I165">
        <v>16</v>
      </c>
      <c r="J165">
        <v>1</v>
      </c>
      <c r="K165">
        <v>0</v>
      </c>
      <c r="L165">
        <v>0</v>
      </c>
      <c r="N165" t="s">
        <v>918</v>
      </c>
      <c r="O165" t="s">
        <v>27</v>
      </c>
      <c r="Q165">
        <v>2</v>
      </c>
      <c r="R165" t="b">
        <v>0</v>
      </c>
      <c r="S165" t="s">
        <v>119</v>
      </c>
      <c r="T165">
        <v>0</v>
      </c>
    </row>
    <row r="166" spans="1:20" x14ac:dyDescent="0.25">
      <c r="A166" t="s">
        <v>5253</v>
      </c>
      <c r="B166">
        <v>8</v>
      </c>
      <c r="C166" t="s">
        <v>19</v>
      </c>
      <c r="D166">
        <v>168</v>
      </c>
      <c r="E166">
        <v>192</v>
      </c>
      <c r="F166">
        <v>194</v>
      </c>
      <c r="G166">
        <v>195</v>
      </c>
      <c r="H166" t="s">
        <v>20</v>
      </c>
      <c r="I166">
        <v>16</v>
      </c>
      <c r="J166">
        <v>1</v>
      </c>
      <c r="K166">
        <v>0</v>
      </c>
      <c r="L166">
        <v>0</v>
      </c>
      <c r="N166" t="s">
        <v>918</v>
      </c>
      <c r="O166" t="s">
        <v>27</v>
      </c>
      <c r="Q166">
        <v>2</v>
      </c>
      <c r="R166" t="b">
        <v>0</v>
      </c>
      <c r="S166" t="s">
        <v>119</v>
      </c>
      <c r="T166">
        <v>0</v>
      </c>
    </row>
    <row r="167" spans="1:20" x14ac:dyDescent="0.25">
      <c r="A167" t="s">
        <v>5254</v>
      </c>
      <c r="B167">
        <v>8</v>
      </c>
      <c r="C167" t="s">
        <v>19</v>
      </c>
      <c r="D167">
        <v>14</v>
      </c>
      <c r="E167">
        <v>203</v>
      </c>
      <c r="F167">
        <v>112</v>
      </c>
      <c r="G167">
        <v>208</v>
      </c>
      <c r="H167" t="s">
        <v>102</v>
      </c>
      <c r="I167">
        <v>12</v>
      </c>
      <c r="J167">
        <v>0</v>
      </c>
      <c r="K167">
        <v>0</v>
      </c>
      <c r="L167">
        <v>0</v>
      </c>
      <c r="N167" t="s">
        <v>918</v>
      </c>
      <c r="O167" t="s">
        <v>25</v>
      </c>
      <c r="Q167">
        <v>3</v>
      </c>
      <c r="R167" t="b">
        <v>1</v>
      </c>
      <c r="S167" t="s">
        <v>119</v>
      </c>
      <c r="T167">
        <v>0</v>
      </c>
    </row>
    <row r="168" spans="1:20" x14ac:dyDescent="0.25">
      <c r="A168" t="s">
        <v>5255</v>
      </c>
      <c r="B168">
        <v>8</v>
      </c>
      <c r="C168" t="s">
        <v>19</v>
      </c>
      <c r="D168">
        <v>113</v>
      </c>
      <c r="E168">
        <v>204</v>
      </c>
      <c r="F168">
        <v>140</v>
      </c>
      <c r="G168">
        <v>207</v>
      </c>
      <c r="H168" t="s">
        <v>20</v>
      </c>
      <c r="I168">
        <v>16</v>
      </c>
      <c r="J168">
        <v>1</v>
      </c>
      <c r="K168">
        <v>0</v>
      </c>
      <c r="L168">
        <v>0</v>
      </c>
      <c r="N168" t="s">
        <v>918</v>
      </c>
      <c r="O168" t="s">
        <v>27</v>
      </c>
      <c r="Q168">
        <v>2</v>
      </c>
      <c r="R168" t="b">
        <v>0</v>
      </c>
      <c r="S168" t="s">
        <v>119</v>
      </c>
      <c r="T168">
        <v>0</v>
      </c>
    </row>
    <row r="169" spans="1:20" x14ac:dyDescent="0.25">
      <c r="A169" t="s">
        <v>5256</v>
      </c>
      <c r="B169">
        <v>8</v>
      </c>
      <c r="C169" t="s">
        <v>19</v>
      </c>
      <c r="D169">
        <v>140</v>
      </c>
      <c r="E169">
        <v>204</v>
      </c>
      <c r="F169">
        <v>169</v>
      </c>
      <c r="G169">
        <v>207</v>
      </c>
      <c r="H169" t="s">
        <v>20</v>
      </c>
      <c r="I169">
        <v>16</v>
      </c>
      <c r="J169">
        <v>1</v>
      </c>
      <c r="K169">
        <v>0</v>
      </c>
      <c r="L169">
        <v>0</v>
      </c>
      <c r="N169" t="s">
        <v>918</v>
      </c>
      <c r="O169" t="s">
        <v>27</v>
      </c>
      <c r="Q169">
        <v>2</v>
      </c>
      <c r="R169" t="b">
        <v>0</v>
      </c>
      <c r="S169" t="s">
        <v>119</v>
      </c>
      <c r="T169">
        <v>0</v>
      </c>
    </row>
    <row r="170" spans="1:20" x14ac:dyDescent="0.25">
      <c r="A170" t="s">
        <v>5257</v>
      </c>
      <c r="B170">
        <v>8</v>
      </c>
      <c r="C170" t="s">
        <v>19</v>
      </c>
      <c r="D170">
        <v>168</v>
      </c>
      <c r="E170">
        <v>204</v>
      </c>
      <c r="F170">
        <v>194</v>
      </c>
      <c r="G170">
        <v>207</v>
      </c>
      <c r="H170" t="s">
        <v>20</v>
      </c>
      <c r="I170">
        <v>16</v>
      </c>
      <c r="J170">
        <v>1</v>
      </c>
      <c r="K170">
        <v>0</v>
      </c>
      <c r="L170">
        <v>0</v>
      </c>
      <c r="N170" t="s">
        <v>918</v>
      </c>
      <c r="O170" t="s">
        <v>27</v>
      </c>
      <c r="Q170">
        <v>2</v>
      </c>
      <c r="R170" t="b">
        <v>0</v>
      </c>
      <c r="S170" t="s">
        <v>119</v>
      </c>
      <c r="T170">
        <v>0</v>
      </c>
    </row>
    <row r="171" spans="1:20" x14ac:dyDescent="0.25">
      <c r="A171" t="s">
        <v>5258</v>
      </c>
      <c r="B171">
        <v>8</v>
      </c>
      <c r="C171" t="s">
        <v>19</v>
      </c>
      <c r="D171">
        <v>14</v>
      </c>
      <c r="E171">
        <v>215</v>
      </c>
      <c r="F171">
        <v>112</v>
      </c>
      <c r="G171">
        <v>220</v>
      </c>
      <c r="H171" t="s">
        <v>102</v>
      </c>
      <c r="I171">
        <v>12</v>
      </c>
      <c r="J171">
        <v>0</v>
      </c>
      <c r="K171">
        <v>0</v>
      </c>
      <c r="L171">
        <v>0</v>
      </c>
      <c r="N171" t="s">
        <v>918</v>
      </c>
      <c r="O171" t="s">
        <v>25</v>
      </c>
      <c r="Q171">
        <v>3</v>
      </c>
      <c r="R171" t="b">
        <v>1</v>
      </c>
      <c r="S171" t="s">
        <v>119</v>
      </c>
      <c r="T171">
        <v>0</v>
      </c>
    </row>
    <row r="172" spans="1:20" x14ac:dyDescent="0.25">
      <c r="A172" t="s">
        <v>5259</v>
      </c>
      <c r="B172">
        <v>8</v>
      </c>
      <c r="C172" t="s">
        <v>19</v>
      </c>
      <c r="D172">
        <v>113</v>
      </c>
      <c r="E172">
        <v>216</v>
      </c>
      <c r="F172">
        <v>140</v>
      </c>
      <c r="G172">
        <v>219</v>
      </c>
      <c r="H172" t="s">
        <v>20</v>
      </c>
      <c r="I172">
        <v>16</v>
      </c>
      <c r="J172">
        <v>1</v>
      </c>
      <c r="K172">
        <v>0</v>
      </c>
      <c r="L172">
        <v>0</v>
      </c>
      <c r="N172" t="s">
        <v>918</v>
      </c>
      <c r="O172" t="s">
        <v>27</v>
      </c>
      <c r="Q172">
        <v>2</v>
      </c>
      <c r="R172" t="b">
        <v>0</v>
      </c>
      <c r="S172" t="s">
        <v>119</v>
      </c>
      <c r="T172">
        <v>0</v>
      </c>
    </row>
    <row r="173" spans="1:20" x14ac:dyDescent="0.25">
      <c r="A173" t="s">
        <v>5260</v>
      </c>
      <c r="B173">
        <v>8</v>
      </c>
      <c r="C173" t="s">
        <v>19</v>
      </c>
      <c r="D173">
        <v>140</v>
      </c>
      <c r="E173">
        <v>216</v>
      </c>
      <c r="F173">
        <v>169</v>
      </c>
      <c r="G173">
        <v>219</v>
      </c>
      <c r="H173" t="s">
        <v>20</v>
      </c>
      <c r="I173">
        <v>16</v>
      </c>
      <c r="J173">
        <v>1</v>
      </c>
      <c r="K173">
        <v>0</v>
      </c>
      <c r="L173">
        <v>0</v>
      </c>
      <c r="N173" t="s">
        <v>918</v>
      </c>
      <c r="O173" t="s">
        <v>27</v>
      </c>
      <c r="Q173">
        <v>2</v>
      </c>
      <c r="R173" t="b">
        <v>0</v>
      </c>
      <c r="S173" t="s">
        <v>119</v>
      </c>
      <c r="T173">
        <v>0</v>
      </c>
    </row>
    <row r="174" spans="1:20" x14ac:dyDescent="0.25">
      <c r="A174" t="s">
        <v>5261</v>
      </c>
      <c r="B174">
        <v>8</v>
      </c>
      <c r="C174" t="s">
        <v>19</v>
      </c>
      <c r="D174">
        <v>168</v>
      </c>
      <c r="E174">
        <v>216</v>
      </c>
      <c r="F174">
        <v>194</v>
      </c>
      <c r="G174">
        <v>219</v>
      </c>
      <c r="H174" t="s">
        <v>20</v>
      </c>
      <c r="I174">
        <v>16</v>
      </c>
      <c r="J174">
        <v>1</v>
      </c>
      <c r="K174">
        <v>0</v>
      </c>
      <c r="L174">
        <v>0</v>
      </c>
      <c r="N174" t="s">
        <v>918</v>
      </c>
      <c r="O174" t="s">
        <v>27</v>
      </c>
      <c r="Q174">
        <v>2</v>
      </c>
      <c r="R174" t="b">
        <v>0</v>
      </c>
      <c r="S174" t="s">
        <v>119</v>
      </c>
      <c r="T174">
        <v>0</v>
      </c>
    </row>
    <row r="175" spans="1:20" x14ac:dyDescent="0.25">
      <c r="A175" t="s">
        <v>5262</v>
      </c>
      <c r="B175">
        <v>8</v>
      </c>
      <c r="C175" t="s">
        <v>19</v>
      </c>
      <c r="D175">
        <v>14</v>
      </c>
      <c r="E175">
        <v>227</v>
      </c>
      <c r="F175">
        <v>112</v>
      </c>
      <c r="G175">
        <v>232</v>
      </c>
      <c r="H175" t="s">
        <v>102</v>
      </c>
      <c r="I175">
        <v>12</v>
      </c>
      <c r="J175">
        <v>0</v>
      </c>
      <c r="K175">
        <v>0</v>
      </c>
      <c r="L175">
        <v>0</v>
      </c>
      <c r="N175" t="s">
        <v>918</v>
      </c>
      <c r="O175" t="s">
        <v>25</v>
      </c>
      <c r="Q175">
        <v>3</v>
      </c>
      <c r="R175" t="b">
        <v>1</v>
      </c>
      <c r="S175" t="s">
        <v>119</v>
      </c>
      <c r="T175">
        <v>0</v>
      </c>
    </row>
    <row r="176" spans="1:20" x14ac:dyDescent="0.25">
      <c r="A176" t="s">
        <v>5263</v>
      </c>
      <c r="B176">
        <v>8</v>
      </c>
      <c r="C176" t="s">
        <v>19</v>
      </c>
      <c r="D176">
        <v>113</v>
      </c>
      <c r="E176">
        <v>228</v>
      </c>
      <c r="F176">
        <v>140</v>
      </c>
      <c r="G176">
        <v>231</v>
      </c>
      <c r="H176" t="s">
        <v>20</v>
      </c>
      <c r="I176">
        <v>16</v>
      </c>
      <c r="J176">
        <v>1</v>
      </c>
      <c r="K176">
        <v>0</v>
      </c>
      <c r="L176">
        <v>0</v>
      </c>
      <c r="N176" t="s">
        <v>918</v>
      </c>
      <c r="O176" t="s">
        <v>27</v>
      </c>
      <c r="Q176">
        <v>2</v>
      </c>
      <c r="R176" t="b">
        <v>0</v>
      </c>
      <c r="S176" t="s">
        <v>119</v>
      </c>
      <c r="T176">
        <v>0</v>
      </c>
    </row>
    <row r="177" spans="1:20" x14ac:dyDescent="0.25">
      <c r="A177" t="s">
        <v>5264</v>
      </c>
      <c r="B177">
        <v>8</v>
      </c>
      <c r="C177" t="s">
        <v>19</v>
      </c>
      <c r="D177">
        <v>140</v>
      </c>
      <c r="E177">
        <v>228</v>
      </c>
      <c r="F177">
        <v>169</v>
      </c>
      <c r="G177">
        <v>231</v>
      </c>
      <c r="H177" t="s">
        <v>20</v>
      </c>
      <c r="I177">
        <v>16</v>
      </c>
      <c r="J177">
        <v>1</v>
      </c>
      <c r="K177">
        <v>0</v>
      </c>
      <c r="L177">
        <v>0</v>
      </c>
      <c r="N177" t="s">
        <v>918</v>
      </c>
      <c r="O177" t="s">
        <v>27</v>
      </c>
      <c r="Q177">
        <v>2</v>
      </c>
      <c r="R177" t="b">
        <v>0</v>
      </c>
      <c r="S177" t="s">
        <v>119</v>
      </c>
      <c r="T177">
        <v>0</v>
      </c>
    </row>
    <row r="178" spans="1:20" x14ac:dyDescent="0.25">
      <c r="A178" t="s">
        <v>5265</v>
      </c>
      <c r="B178">
        <v>8</v>
      </c>
      <c r="C178" t="s">
        <v>19</v>
      </c>
      <c r="D178">
        <v>168</v>
      </c>
      <c r="E178">
        <v>228</v>
      </c>
      <c r="F178">
        <v>194</v>
      </c>
      <c r="G178">
        <v>231</v>
      </c>
      <c r="H178" t="s">
        <v>20</v>
      </c>
      <c r="I178">
        <v>16</v>
      </c>
      <c r="J178">
        <v>1</v>
      </c>
      <c r="K178">
        <v>0</v>
      </c>
      <c r="L178">
        <v>0</v>
      </c>
      <c r="N178" t="s">
        <v>918</v>
      </c>
      <c r="O178" t="s">
        <v>27</v>
      </c>
      <c r="Q178">
        <v>2</v>
      </c>
      <c r="R178" t="b">
        <v>0</v>
      </c>
      <c r="S178" t="s">
        <v>119</v>
      </c>
      <c r="T178">
        <v>0</v>
      </c>
    </row>
    <row r="179" spans="1:20" x14ac:dyDescent="0.25">
      <c r="A179" t="s">
        <v>5266</v>
      </c>
      <c r="B179">
        <v>8</v>
      </c>
      <c r="C179" t="s">
        <v>19</v>
      </c>
      <c r="D179">
        <v>14</v>
      </c>
      <c r="E179">
        <v>239</v>
      </c>
      <c r="F179">
        <v>112</v>
      </c>
      <c r="G179">
        <v>244</v>
      </c>
      <c r="H179" t="s">
        <v>102</v>
      </c>
      <c r="I179">
        <v>12</v>
      </c>
      <c r="J179">
        <v>0</v>
      </c>
      <c r="K179">
        <v>0</v>
      </c>
      <c r="L179">
        <v>0</v>
      </c>
      <c r="N179" t="s">
        <v>918</v>
      </c>
      <c r="O179" t="s">
        <v>25</v>
      </c>
      <c r="Q179">
        <v>3</v>
      </c>
      <c r="R179" t="b">
        <v>1</v>
      </c>
      <c r="S179" t="s">
        <v>119</v>
      </c>
      <c r="T179">
        <v>0</v>
      </c>
    </row>
    <row r="180" spans="1:20" x14ac:dyDescent="0.25">
      <c r="A180" t="s">
        <v>5267</v>
      </c>
      <c r="B180">
        <v>8</v>
      </c>
      <c r="C180" t="s">
        <v>19</v>
      </c>
      <c r="D180">
        <v>113</v>
      </c>
      <c r="E180">
        <v>240</v>
      </c>
      <c r="F180">
        <v>140</v>
      </c>
      <c r="G180">
        <v>243</v>
      </c>
      <c r="H180" t="s">
        <v>20</v>
      </c>
      <c r="I180">
        <v>16</v>
      </c>
      <c r="J180">
        <v>1</v>
      </c>
      <c r="K180">
        <v>0</v>
      </c>
      <c r="L180">
        <v>0</v>
      </c>
      <c r="N180" t="s">
        <v>918</v>
      </c>
      <c r="O180" t="s">
        <v>27</v>
      </c>
      <c r="Q180">
        <v>2</v>
      </c>
      <c r="R180" t="b">
        <v>0</v>
      </c>
      <c r="S180" t="s">
        <v>119</v>
      </c>
      <c r="T180">
        <v>0</v>
      </c>
    </row>
    <row r="181" spans="1:20" x14ac:dyDescent="0.25">
      <c r="A181" t="s">
        <v>5268</v>
      </c>
      <c r="B181">
        <v>8</v>
      </c>
      <c r="C181" t="s">
        <v>19</v>
      </c>
      <c r="D181">
        <v>140</v>
      </c>
      <c r="E181">
        <v>240</v>
      </c>
      <c r="F181">
        <v>169</v>
      </c>
      <c r="G181">
        <v>243</v>
      </c>
      <c r="H181" t="s">
        <v>20</v>
      </c>
      <c r="I181">
        <v>16</v>
      </c>
      <c r="J181">
        <v>1</v>
      </c>
      <c r="K181">
        <v>0</v>
      </c>
      <c r="L181">
        <v>0</v>
      </c>
      <c r="N181" t="s">
        <v>918</v>
      </c>
      <c r="O181" t="s">
        <v>27</v>
      </c>
      <c r="Q181">
        <v>2</v>
      </c>
      <c r="R181" t="b">
        <v>0</v>
      </c>
      <c r="S181" t="s">
        <v>119</v>
      </c>
      <c r="T181">
        <v>0</v>
      </c>
    </row>
    <row r="182" spans="1:20" x14ac:dyDescent="0.25">
      <c r="A182" t="s">
        <v>5269</v>
      </c>
      <c r="B182">
        <v>8</v>
      </c>
      <c r="C182" t="s">
        <v>19</v>
      </c>
      <c r="D182">
        <v>168</v>
      </c>
      <c r="E182">
        <v>240</v>
      </c>
      <c r="F182">
        <v>194</v>
      </c>
      <c r="G182">
        <v>243</v>
      </c>
      <c r="H182" t="s">
        <v>20</v>
      </c>
      <c r="I182">
        <v>16</v>
      </c>
      <c r="J182">
        <v>1</v>
      </c>
      <c r="K182">
        <v>0</v>
      </c>
      <c r="L182">
        <v>0</v>
      </c>
      <c r="N182" t="s">
        <v>918</v>
      </c>
      <c r="O182" t="s">
        <v>27</v>
      </c>
      <c r="Q182">
        <v>2</v>
      </c>
      <c r="R182" t="b">
        <v>0</v>
      </c>
      <c r="S182" t="s">
        <v>119</v>
      </c>
      <c r="T182">
        <v>0</v>
      </c>
    </row>
    <row r="183" spans="1:20" x14ac:dyDescent="0.25">
      <c r="A183" t="s">
        <v>5270</v>
      </c>
      <c r="B183">
        <v>8</v>
      </c>
      <c r="C183" t="s">
        <v>19</v>
      </c>
      <c r="D183">
        <v>14</v>
      </c>
      <c r="E183">
        <v>251</v>
      </c>
      <c r="F183">
        <v>112</v>
      </c>
      <c r="G183">
        <v>256</v>
      </c>
      <c r="H183" t="s">
        <v>102</v>
      </c>
      <c r="I183">
        <v>12</v>
      </c>
      <c r="J183">
        <v>0</v>
      </c>
      <c r="K183">
        <v>0</v>
      </c>
      <c r="L183">
        <v>0</v>
      </c>
      <c r="N183" t="s">
        <v>918</v>
      </c>
      <c r="O183" t="s">
        <v>25</v>
      </c>
      <c r="Q183">
        <v>3</v>
      </c>
      <c r="R183" t="b">
        <v>1</v>
      </c>
      <c r="S183" t="s">
        <v>119</v>
      </c>
      <c r="T183">
        <v>0</v>
      </c>
    </row>
    <row r="184" spans="1:20" x14ac:dyDescent="0.25">
      <c r="A184" t="s">
        <v>5271</v>
      </c>
      <c r="B184">
        <v>8</v>
      </c>
      <c r="C184" t="s">
        <v>19</v>
      </c>
      <c r="D184">
        <v>113</v>
      </c>
      <c r="E184">
        <v>252</v>
      </c>
      <c r="F184">
        <v>140</v>
      </c>
      <c r="G184">
        <v>255</v>
      </c>
      <c r="H184" t="s">
        <v>20</v>
      </c>
      <c r="I184">
        <v>16</v>
      </c>
      <c r="J184">
        <v>1</v>
      </c>
      <c r="K184">
        <v>0</v>
      </c>
      <c r="L184">
        <v>0</v>
      </c>
      <c r="N184" t="s">
        <v>918</v>
      </c>
      <c r="O184" t="s">
        <v>27</v>
      </c>
      <c r="Q184">
        <v>2</v>
      </c>
      <c r="R184" t="b">
        <v>0</v>
      </c>
      <c r="S184" t="s">
        <v>119</v>
      </c>
      <c r="T184">
        <v>0</v>
      </c>
    </row>
    <row r="185" spans="1:20" x14ac:dyDescent="0.25">
      <c r="A185" t="s">
        <v>5272</v>
      </c>
      <c r="B185">
        <v>8</v>
      </c>
      <c r="C185" t="s">
        <v>19</v>
      </c>
      <c r="D185">
        <v>140</v>
      </c>
      <c r="E185">
        <v>252</v>
      </c>
      <c r="F185">
        <v>169</v>
      </c>
      <c r="G185">
        <v>255</v>
      </c>
      <c r="H185" t="s">
        <v>20</v>
      </c>
      <c r="I185">
        <v>16</v>
      </c>
      <c r="J185">
        <v>1</v>
      </c>
      <c r="K185">
        <v>0</v>
      </c>
      <c r="L185">
        <v>0</v>
      </c>
      <c r="N185" t="s">
        <v>918</v>
      </c>
      <c r="O185" t="s">
        <v>27</v>
      </c>
      <c r="Q185">
        <v>2</v>
      </c>
      <c r="R185" t="b">
        <v>0</v>
      </c>
      <c r="S185" t="s">
        <v>119</v>
      </c>
      <c r="T185">
        <v>0</v>
      </c>
    </row>
    <row r="186" spans="1:20" x14ac:dyDescent="0.25">
      <c r="A186" t="s">
        <v>5273</v>
      </c>
      <c r="B186">
        <v>8</v>
      </c>
      <c r="C186" t="s">
        <v>19</v>
      </c>
      <c r="D186">
        <v>168</v>
      </c>
      <c r="E186">
        <v>252</v>
      </c>
      <c r="F186">
        <v>194</v>
      </c>
      <c r="G186">
        <v>255</v>
      </c>
      <c r="H186" t="s">
        <v>20</v>
      </c>
      <c r="I186">
        <v>16</v>
      </c>
      <c r="J186">
        <v>1</v>
      </c>
      <c r="K186">
        <v>0</v>
      </c>
      <c r="L186">
        <v>0</v>
      </c>
      <c r="N186" t="s">
        <v>918</v>
      </c>
      <c r="O186" t="s">
        <v>27</v>
      </c>
      <c r="Q186">
        <v>2</v>
      </c>
      <c r="R186" t="b">
        <v>0</v>
      </c>
      <c r="S186" t="s">
        <v>119</v>
      </c>
      <c r="T186">
        <v>0</v>
      </c>
    </row>
    <row r="187" spans="1:20" x14ac:dyDescent="0.25">
      <c r="A187" t="s">
        <v>614</v>
      </c>
      <c r="B187">
        <v>9</v>
      </c>
      <c r="C187" t="s">
        <v>19</v>
      </c>
      <c r="D187">
        <v>14</v>
      </c>
      <c r="E187">
        <v>20</v>
      </c>
      <c r="F187">
        <v>196</v>
      </c>
      <c r="G187">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v>214</v>
      </c>
      <c r="I188">
        <v>0</v>
      </c>
      <c r="J188">
        <v>0</v>
      </c>
      <c r="K188">
        <v>0</v>
      </c>
      <c r="L188">
        <v>0</v>
      </c>
      <c r="N188" t="s">
        <v>21</v>
      </c>
      <c r="O188" t="s">
        <v>25</v>
      </c>
      <c r="Q188">
        <v>2</v>
      </c>
      <c r="R188" t="b">
        <v>0</v>
      </c>
      <c r="S188" t="s">
        <v>119</v>
      </c>
      <c r="T188">
        <v>0</v>
      </c>
    </row>
    <row r="189" spans="1:20" x14ac:dyDescent="0.25">
      <c r="A189" t="s">
        <v>5109</v>
      </c>
      <c r="B189">
        <v>9</v>
      </c>
      <c r="C189" t="s">
        <v>19</v>
      </c>
      <c r="D189">
        <v>14</v>
      </c>
      <c r="E189">
        <v>218</v>
      </c>
      <c r="F189">
        <v>196</v>
      </c>
      <c r="G189">
        <v>226</v>
      </c>
      <c r="H189" t="s">
        <v>102</v>
      </c>
      <c r="I189">
        <v>14</v>
      </c>
      <c r="J189">
        <v>0</v>
      </c>
      <c r="K189">
        <v>0</v>
      </c>
      <c r="L189">
        <v>0</v>
      </c>
      <c r="M189" t="s">
        <v>884</v>
      </c>
      <c r="N189" t="s">
        <v>21</v>
      </c>
      <c r="O189" t="s">
        <v>27</v>
      </c>
      <c r="Q189">
        <v>3</v>
      </c>
      <c r="R189" t="b">
        <v>1</v>
      </c>
      <c r="S189" t="s">
        <v>119</v>
      </c>
      <c r="T189">
        <v>0</v>
      </c>
    </row>
    <row r="190" spans="1:20" x14ac:dyDescent="0.25">
      <c r="A190" t="s">
        <v>930</v>
      </c>
      <c r="B190">
        <v>9</v>
      </c>
      <c r="C190" t="s">
        <v>19</v>
      </c>
      <c r="D190">
        <v>14</v>
      </c>
      <c r="E190">
        <v>275</v>
      </c>
      <c r="F190">
        <v>197</v>
      </c>
      <c r="G190">
        <v>280</v>
      </c>
      <c r="H190" t="s">
        <v>102</v>
      </c>
      <c r="I190">
        <v>8</v>
      </c>
      <c r="J190">
        <v>0</v>
      </c>
      <c r="K190">
        <v>0</v>
      </c>
      <c r="L190">
        <v>0</v>
      </c>
      <c r="M190" t="s">
        <v>884</v>
      </c>
      <c r="N190" t="s">
        <v>21</v>
      </c>
      <c r="O190" t="s">
        <v>25</v>
      </c>
      <c r="Q190">
        <v>3</v>
      </c>
      <c r="R190" t="b">
        <v>1</v>
      </c>
      <c r="T190">
        <v>0</v>
      </c>
    </row>
    <row r="191" spans="1:20" ht="15" customHeight="1" x14ac:dyDescent="0.25">
      <c r="A191" t="s">
        <v>826</v>
      </c>
      <c r="B191">
        <v>-999</v>
      </c>
      <c r="C191" t="s">
        <v>19</v>
      </c>
      <c r="D191">
        <v>14</v>
      </c>
      <c r="E191">
        <v>265</v>
      </c>
      <c r="F191">
        <v>208</v>
      </c>
      <c r="G191">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v>257</v>
      </c>
      <c r="H193" t="s">
        <v>102</v>
      </c>
      <c r="I193">
        <v>12</v>
      </c>
      <c r="J193">
        <v>0</v>
      </c>
      <c r="K193">
        <v>0</v>
      </c>
      <c r="L193">
        <v>0</v>
      </c>
      <c r="N193" t="s">
        <v>21</v>
      </c>
      <c r="O193" t="s">
        <v>22</v>
      </c>
      <c r="Q193">
        <v>2</v>
      </c>
      <c r="R193" t="b">
        <v>1</v>
      </c>
      <c r="S193" t="s">
        <v>119</v>
      </c>
      <c r="T193">
        <v>0</v>
      </c>
    </row>
    <row r="194" spans="1:20" x14ac:dyDescent="0.25">
      <c r="A194" t="s">
        <v>823</v>
      </c>
      <c r="B194">
        <v>-999</v>
      </c>
      <c r="C194" t="s">
        <v>26</v>
      </c>
      <c r="D194">
        <v>10</v>
      </c>
      <c r="E194">
        <v>10</v>
      </c>
      <c r="F194">
        <v>101</v>
      </c>
      <c r="G194">
        <v>80</v>
      </c>
      <c r="I194">
        <v>0</v>
      </c>
      <c r="J194">
        <v>0</v>
      </c>
      <c r="K194">
        <v>0</v>
      </c>
      <c r="L194">
        <v>0</v>
      </c>
      <c r="N194" t="s">
        <v>21</v>
      </c>
      <c r="O194" t="s">
        <v>25</v>
      </c>
      <c r="Q194">
        <v>1</v>
      </c>
      <c r="R194" t="b">
        <v>0</v>
      </c>
      <c r="S194" t="s">
        <v>119</v>
      </c>
      <c r="T194">
        <v>0</v>
      </c>
    </row>
    <row r="195" spans="1:20" x14ac:dyDescent="0.25">
      <c r="A195" t="s">
        <v>383</v>
      </c>
      <c r="B195">
        <v>-999</v>
      </c>
      <c r="C195" t="s">
        <v>26</v>
      </c>
      <c r="D195">
        <v>0</v>
      </c>
      <c r="E195">
        <v>0</v>
      </c>
      <c r="F195">
        <v>211</v>
      </c>
      <c r="G195">
        <v>16</v>
      </c>
      <c r="I195">
        <v>0</v>
      </c>
      <c r="J195">
        <v>0</v>
      </c>
      <c r="K195">
        <v>0</v>
      </c>
      <c r="L195">
        <v>0</v>
      </c>
      <c r="M195" t="s">
        <v>803</v>
      </c>
      <c r="N195" t="s">
        <v>803</v>
      </c>
      <c r="O195" t="s">
        <v>25</v>
      </c>
      <c r="Q195">
        <v>0</v>
      </c>
      <c r="R195" t="b">
        <v>0</v>
      </c>
      <c r="S195" t="s">
        <v>119</v>
      </c>
      <c r="T195">
        <v>0</v>
      </c>
    </row>
    <row r="196" spans="1:20" x14ac:dyDescent="0.25">
      <c r="A196" t="s">
        <v>824</v>
      </c>
      <c r="B196">
        <v>11</v>
      </c>
      <c r="C196" t="s">
        <v>19</v>
      </c>
      <c r="D196">
        <v>14</v>
      </c>
      <c r="E196">
        <v>20</v>
      </c>
      <c r="F196">
        <v>196</v>
      </c>
      <c r="G196">
        <v>25</v>
      </c>
      <c r="H196" t="s">
        <v>102</v>
      </c>
      <c r="I196">
        <v>14</v>
      </c>
      <c r="J196">
        <v>1</v>
      </c>
      <c r="K196">
        <v>0</v>
      </c>
      <c r="L196">
        <v>0</v>
      </c>
      <c r="N196" t="s">
        <v>21</v>
      </c>
      <c r="O196" t="s">
        <v>25</v>
      </c>
      <c r="Q196">
        <v>2</v>
      </c>
      <c r="R196" t="b">
        <v>1</v>
      </c>
      <c r="S196" t="s">
        <v>119</v>
      </c>
      <c r="T196">
        <v>0</v>
      </c>
    </row>
    <row r="197" spans="1:20" x14ac:dyDescent="0.25">
      <c r="A197" t="s">
        <v>825</v>
      </c>
      <c r="B197">
        <v>11</v>
      </c>
      <c r="C197" t="s">
        <v>19</v>
      </c>
      <c r="D197">
        <v>14</v>
      </c>
      <c r="E197">
        <v>33</v>
      </c>
      <c r="F197">
        <v>196</v>
      </c>
      <c r="G197">
        <v>38</v>
      </c>
      <c r="H197" t="s">
        <v>102</v>
      </c>
      <c r="I197">
        <v>12</v>
      </c>
      <c r="J197">
        <v>0</v>
      </c>
      <c r="K197">
        <v>0</v>
      </c>
      <c r="L197">
        <v>0</v>
      </c>
      <c r="N197" t="s">
        <v>21</v>
      </c>
      <c r="O197" t="s">
        <v>25</v>
      </c>
      <c r="P197" s="1"/>
      <c r="Q197">
        <v>1</v>
      </c>
      <c r="R197" t="b">
        <v>1</v>
      </c>
      <c r="S197" t="s">
        <v>119</v>
      </c>
      <c r="T197">
        <v>0</v>
      </c>
    </row>
    <row r="198" spans="1:20" x14ac:dyDescent="0.25">
      <c r="A198" t="s">
        <v>890</v>
      </c>
      <c r="B198">
        <v>11</v>
      </c>
      <c r="C198" t="s">
        <v>24</v>
      </c>
      <c r="D198">
        <v>30</v>
      </c>
      <c r="E198">
        <v>115</v>
      </c>
      <c r="F198">
        <v>180</v>
      </c>
      <c r="G198">
        <v>265</v>
      </c>
      <c r="I198">
        <v>0</v>
      </c>
      <c r="J198">
        <v>0</v>
      </c>
      <c r="K198">
        <v>0</v>
      </c>
      <c r="L198">
        <v>0</v>
      </c>
      <c r="N198" t="s">
        <v>21</v>
      </c>
      <c r="O198" t="s">
        <v>25</v>
      </c>
      <c r="Q198">
        <v>0</v>
      </c>
      <c r="R198" t="b">
        <v>0</v>
      </c>
      <c r="S198" t="s">
        <v>119</v>
      </c>
      <c r="T198">
        <v>0</v>
      </c>
    </row>
    <row r="199" spans="1:20" x14ac:dyDescent="0.25">
      <c r="A199" t="s">
        <v>891</v>
      </c>
      <c r="B199">
        <v>11</v>
      </c>
      <c r="C199" t="s">
        <v>19</v>
      </c>
      <c r="D199">
        <v>30</v>
      </c>
      <c r="E199">
        <v>115</v>
      </c>
      <c r="F199">
        <v>130</v>
      </c>
      <c r="G199">
        <v>265</v>
      </c>
      <c r="H199" t="s">
        <v>102</v>
      </c>
      <c r="I199">
        <v>12</v>
      </c>
      <c r="J199">
        <v>0</v>
      </c>
      <c r="K199">
        <v>1</v>
      </c>
      <c r="L199">
        <v>0</v>
      </c>
      <c r="N199" t="s">
        <v>21</v>
      </c>
      <c r="O199" t="s">
        <v>25</v>
      </c>
      <c r="Q199">
        <v>0</v>
      </c>
      <c r="R199" t="b">
        <v>1</v>
      </c>
      <c r="S199" t="s">
        <v>119</v>
      </c>
      <c r="T199">
        <v>0</v>
      </c>
    </row>
    <row r="200" spans="1:20" x14ac:dyDescent="0.25">
      <c r="A200" t="s">
        <v>892</v>
      </c>
      <c r="B200">
        <v>11</v>
      </c>
      <c r="C200" t="s">
        <v>19</v>
      </c>
      <c r="D200">
        <v>30</v>
      </c>
      <c r="E200">
        <v>265</v>
      </c>
      <c r="F200">
        <v>180</v>
      </c>
      <c r="G200">
        <v>268</v>
      </c>
      <c r="H200" t="s">
        <v>102</v>
      </c>
      <c r="I200">
        <v>8</v>
      </c>
      <c r="J200">
        <v>0</v>
      </c>
      <c r="K200">
        <v>1</v>
      </c>
      <c r="L200">
        <v>0</v>
      </c>
      <c r="M200" t="s">
        <v>884</v>
      </c>
      <c r="N200" t="s">
        <v>21</v>
      </c>
      <c r="O200" t="s">
        <v>22</v>
      </c>
      <c r="Q200">
        <v>0</v>
      </c>
      <c r="R200" t="b">
        <v>1</v>
      </c>
      <c r="S200" t="s">
        <v>119</v>
      </c>
      <c r="T200">
        <v>0</v>
      </c>
    </row>
    <row r="201" spans="1:20" x14ac:dyDescent="0.25">
      <c r="A201" t="s">
        <v>88</v>
      </c>
      <c r="B201">
        <v>12</v>
      </c>
      <c r="C201" t="s">
        <v>19</v>
      </c>
      <c r="D201">
        <v>14</v>
      </c>
      <c r="E201">
        <v>20</v>
      </c>
      <c r="F201">
        <v>180</v>
      </c>
      <c r="G201">
        <v>25</v>
      </c>
      <c r="H201" t="s">
        <v>102</v>
      </c>
      <c r="I201">
        <v>12</v>
      </c>
      <c r="J201">
        <v>1</v>
      </c>
      <c r="K201">
        <v>0</v>
      </c>
      <c r="L201">
        <v>0</v>
      </c>
      <c r="N201" t="s">
        <v>21</v>
      </c>
      <c r="O201" t="s">
        <v>25</v>
      </c>
      <c r="Q201">
        <v>3</v>
      </c>
      <c r="R201" t="b">
        <v>0</v>
      </c>
      <c r="S201" t="s">
        <v>119</v>
      </c>
      <c r="T201">
        <v>0</v>
      </c>
    </row>
    <row r="202" spans="1:20" x14ac:dyDescent="0.25">
      <c r="A202" t="s">
        <v>949</v>
      </c>
      <c r="B202">
        <v>12</v>
      </c>
      <c r="C202" t="s">
        <v>19</v>
      </c>
      <c r="D202">
        <v>29</v>
      </c>
      <c r="E202">
        <v>33</v>
      </c>
      <c r="F202">
        <v>196</v>
      </c>
      <c r="G202">
        <v>38</v>
      </c>
      <c r="H202" t="s">
        <v>102</v>
      </c>
      <c r="I202">
        <v>10</v>
      </c>
      <c r="J202">
        <v>1</v>
      </c>
      <c r="K202">
        <v>0</v>
      </c>
      <c r="L202">
        <v>0</v>
      </c>
      <c r="N202" t="s">
        <v>21</v>
      </c>
      <c r="O202" t="s">
        <v>25</v>
      </c>
      <c r="P202" s="1"/>
      <c r="Q202">
        <v>1</v>
      </c>
      <c r="R202" t="b">
        <v>0</v>
      </c>
      <c r="S202" t="s">
        <v>119</v>
      </c>
      <c r="T202">
        <v>0</v>
      </c>
    </row>
    <row r="203" spans="1:20" x14ac:dyDescent="0.25">
      <c r="A203" t="s">
        <v>830</v>
      </c>
      <c r="B203">
        <v>12</v>
      </c>
      <c r="C203" t="s">
        <v>24</v>
      </c>
      <c r="D203">
        <v>40</v>
      </c>
      <c r="E203">
        <v>40</v>
      </c>
      <c r="F203">
        <v>104</v>
      </c>
      <c r="G203">
        <v>81</v>
      </c>
      <c r="I203">
        <v>1</v>
      </c>
      <c r="J203">
        <v>0</v>
      </c>
      <c r="K203">
        <v>0</v>
      </c>
      <c r="L203">
        <v>0</v>
      </c>
      <c r="M203" t="s">
        <v>935</v>
      </c>
      <c r="N203" t="s">
        <v>21</v>
      </c>
      <c r="O203" t="s">
        <v>25</v>
      </c>
      <c r="P203" t="s">
        <v>948</v>
      </c>
      <c r="Q203">
        <v>2</v>
      </c>
      <c r="R203" t="b">
        <v>0</v>
      </c>
      <c r="S203" t="s">
        <v>119</v>
      </c>
      <c r="T203">
        <v>0</v>
      </c>
    </row>
    <row r="204" spans="1:20" x14ac:dyDescent="0.25">
      <c r="A204" s="25" t="s">
        <v>954</v>
      </c>
      <c r="B204">
        <v>12</v>
      </c>
      <c r="C204" t="s">
        <v>19</v>
      </c>
      <c r="D204">
        <v>14</v>
      </c>
      <c r="E204">
        <v>38</v>
      </c>
      <c r="F204">
        <v>40</v>
      </c>
      <c r="G204">
        <v>43</v>
      </c>
      <c r="H204" t="s">
        <v>102</v>
      </c>
      <c r="I204">
        <v>10</v>
      </c>
      <c r="J204">
        <v>0</v>
      </c>
      <c r="K204">
        <v>0</v>
      </c>
      <c r="L204">
        <v>0</v>
      </c>
      <c r="N204" t="s">
        <v>21</v>
      </c>
      <c r="O204" t="s">
        <v>22</v>
      </c>
      <c r="P204" s="26"/>
      <c r="Q204">
        <v>3</v>
      </c>
      <c r="R204" t="b">
        <v>0</v>
      </c>
      <c r="S204" t="s">
        <v>119</v>
      </c>
      <c r="T204">
        <v>0</v>
      </c>
    </row>
    <row r="205" spans="1:20" x14ac:dyDescent="0.25">
      <c r="A205" t="s">
        <v>955</v>
      </c>
      <c r="B205">
        <v>12</v>
      </c>
      <c r="C205" t="s">
        <v>19</v>
      </c>
      <c r="D205">
        <v>14</v>
      </c>
      <c r="E205">
        <v>46</v>
      </c>
      <c r="F205">
        <v>40</v>
      </c>
      <c r="G205">
        <v>51</v>
      </c>
      <c r="H205" t="s">
        <v>102</v>
      </c>
      <c r="I205">
        <v>10</v>
      </c>
      <c r="J205">
        <v>0</v>
      </c>
      <c r="K205">
        <v>0</v>
      </c>
      <c r="L205">
        <v>0</v>
      </c>
      <c r="N205" t="s">
        <v>21</v>
      </c>
      <c r="O205" t="s">
        <v>22</v>
      </c>
      <c r="P205" s="26"/>
      <c r="Q205">
        <v>3</v>
      </c>
      <c r="R205" t="b">
        <v>0</v>
      </c>
      <c r="S205" t="s">
        <v>119</v>
      </c>
      <c r="T205">
        <v>0</v>
      </c>
    </row>
    <row r="206" spans="1:20" x14ac:dyDescent="0.25">
      <c r="A206" t="s">
        <v>956</v>
      </c>
      <c r="B206">
        <v>12</v>
      </c>
      <c r="C206" t="s">
        <v>19</v>
      </c>
      <c r="D206">
        <v>14</v>
      </c>
      <c r="E206">
        <v>54</v>
      </c>
      <c r="F206">
        <v>40</v>
      </c>
      <c r="G206">
        <v>59</v>
      </c>
      <c r="H206" t="s">
        <v>102</v>
      </c>
      <c r="I206">
        <v>10</v>
      </c>
      <c r="J206">
        <v>0</v>
      </c>
      <c r="K206">
        <v>0</v>
      </c>
      <c r="L206">
        <v>0</v>
      </c>
      <c r="N206" t="s">
        <v>21</v>
      </c>
      <c r="O206" t="s">
        <v>22</v>
      </c>
      <c r="P206" s="26"/>
      <c r="Q206">
        <v>3</v>
      </c>
      <c r="R206" t="b">
        <v>0</v>
      </c>
      <c r="S206" t="s">
        <v>119</v>
      </c>
      <c r="T206">
        <v>0</v>
      </c>
    </row>
    <row r="207" spans="1:20" x14ac:dyDescent="0.25">
      <c r="A207" t="s">
        <v>957</v>
      </c>
      <c r="B207">
        <v>12</v>
      </c>
      <c r="C207" t="s">
        <v>19</v>
      </c>
      <c r="D207">
        <v>14</v>
      </c>
      <c r="E207">
        <v>62</v>
      </c>
      <c r="F207">
        <v>40</v>
      </c>
      <c r="G207">
        <v>67</v>
      </c>
      <c r="H207" t="s">
        <v>102</v>
      </c>
      <c r="I207">
        <v>10</v>
      </c>
      <c r="J207">
        <v>0</v>
      </c>
      <c r="K207">
        <v>0</v>
      </c>
      <c r="L207">
        <v>0</v>
      </c>
      <c r="N207" t="s">
        <v>21</v>
      </c>
      <c r="O207" t="s">
        <v>22</v>
      </c>
      <c r="P207" s="26"/>
      <c r="Q207">
        <v>3</v>
      </c>
      <c r="R207" t="b">
        <v>0</v>
      </c>
      <c r="S207" t="s">
        <v>119</v>
      </c>
      <c r="T207">
        <v>0</v>
      </c>
    </row>
    <row r="208" spans="1:20" x14ac:dyDescent="0.25">
      <c r="A208" t="s">
        <v>958</v>
      </c>
      <c r="B208">
        <v>12</v>
      </c>
      <c r="C208" t="s">
        <v>19</v>
      </c>
      <c r="D208">
        <v>14</v>
      </c>
      <c r="E208">
        <v>70</v>
      </c>
      <c r="F208">
        <v>40</v>
      </c>
      <c r="G208">
        <v>75</v>
      </c>
      <c r="H208" t="s">
        <v>102</v>
      </c>
      <c r="I208">
        <v>10</v>
      </c>
      <c r="J208">
        <v>0</v>
      </c>
      <c r="K208">
        <v>0</v>
      </c>
      <c r="L208">
        <v>0</v>
      </c>
      <c r="N208" t="s">
        <v>21</v>
      </c>
      <c r="O208" t="s">
        <v>22</v>
      </c>
      <c r="P208" s="26"/>
      <c r="Q208">
        <v>3</v>
      </c>
      <c r="R208" t="b">
        <v>0</v>
      </c>
      <c r="S208" t="s">
        <v>119</v>
      </c>
      <c r="T208">
        <v>0</v>
      </c>
    </row>
    <row r="209" spans="1:20" x14ac:dyDescent="0.25">
      <c r="A209" t="s">
        <v>959</v>
      </c>
      <c r="B209">
        <v>12</v>
      </c>
      <c r="C209" t="s">
        <v>19</v>
      </c>
      <c r="D209">
        <v>14</v>
      </c>
      <c r="E209">
        <v>78</v>
      </c>
      <c r="F209">
        <v>40</v>
      </c>
      <c r="G209">
        <v>83</v>
      </c>
      <c r="H209" t="s">
        <v>102</v>
      </c>
      <c r="I209">
        <v>10</v>
      </c>
      <c r="J209">
        <v>0</v>
      </c>
      <c r="K209">
        <v>0</v>
      </c>
      <c r="L209">
        <v>0</v>
      </c>
      <c r="N209" t="s">
        <v>21</v>
      </c>
      <c r="O209" t="s">
        <v>22</v>
      </c>
      <c r="P209" s="26"/>
      <c r="Q209">
        <v>3</v>
      </c>
      <c r="R209" t="b">
        <v>0</v>
      </c>
      <c r="S209" t="s">
        <v>119</v>
      </c>
      <c r="T209">
        <v>0</v>
      </c>
    </row>
    <row r="210" spans="1:20" x14ac:dyDescent="0.25">
      <c r="A210" t="s">
        <v>926</v>
      </c>
      <c r="B210">
        <v>12</v>
      </c>
      <c r="C210" t="s">
        <v>19</v>
      </c>
      <c r="D210">
        <v>109</v>
      </c>
      <c r="E210">
        <v>45</v>
      </c>
      <c r="F210">
        <v>196</v>
      </c>
      <c r="G210">
        <v>48</v>
      </c>
      <c r="H210" t="s">
        <v>102</v>
      </c>
      <c r="I210">
        <v>8</v>
      </c>
      <c r="J210">
        <v>0</v>
      </c>
      <c r="K210">
        <v>0</v>
      </c>
      <c r="L210">
        <v>0</v>
      </c>
      <c r="M210" t="s">
        <v>884</v>
      </c>
      <c r="O210" t="s">
        <v>25</v>
      </c>
      <c r="P210" t="s">
        <v>927</v>
      </c>
      <c r="Q210">
        <v>3</v>
      </c>
      <c r="R210" t="b">
        <v>1</v>
      </c>
      <c r="S210" t="s">
        <v>119</v>
      </c>
      <c r="T210">
        <v>0</v>
      </c>
    </row>
    <row r="211" spans="1:20" x14ac:dyDescent="0.25">
      <c r="A211" t="s">
        <v>951</v>
      </c>
      <c r="B211">
        <v>12</v>
      </c>
      <c r="C211" t="s">
        <v>19</v>
      </c>
      <c r="D211">
        <v>56</v>
      </c>
      <c r="E211">
        <v>82</v>
      </c>
      <c r="F211">
        <v>196</v>
      </c>
      <c r="G211">
        <v>90</v>
      </c>
      <c r="H211" t="s">
        <v>102</v>
      </c>
      <c r="I211">
        <v>12</v>
      </c>
      <c r="J211">
        <v>0</v>
      </c>
      <c r="K211">
        <v>0</v>
      </c>
      <c r="L211">
        <v>0</v>
      </c>
      <c r="M211" t="s">
        <v>884</v>
      </c>
      <c r="N211" t="s">
        <v>21</v>
      </c>
      <c r="O211" t="s">
        <v>25</v>
      </c>
      <c r="Q211">
        <v>3</v>
      </c>
      <c r="R211" t="b">
        <v>1</v>
      </c>
      <c r="S211" t="s">
        <v>119</v>
      </c>
      <c r="T211">
        <v>0</v>
      </c>
    </row>
    <row r="212" spans="1:20" x14ac:dyDescent="0.25">
      <c r="A212" t="s">
        <v>29</v>
      </c>
      <c r="B212">
        <v>12</v>
      </c>
      <c r="C212" t="s">
        <v>25</v>
      </c>
      <c r="D212">
        <v>30</v>
      </c>
      <c r="E212">
        <v>100</v>
      </c>
      <c r="F212">
        <v>170</v>
      </c>
      <c r="G212">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v>285</v>
      </c>
      <c r="I213">
        <v>0</v>
      </c>
      <c r="J213">
        <v>0</v>
      </c>
      <c r="K213">
        <v>0</v>
      </c>
      <c r="L213">
        <v>0</v>
      </c>
      <c r="N213" t="s">
        <v>21</v>
      </c>
      <c r="O213" t="s">
        <v>25</v>
      </c>
      <c r="Q213">
        <v>2</v>
      </c>
      <c r="R213" t="b">
        <v>0</v>
      </c>
      <c r="S213" t="s">
        <v>119</v>
      </c>
      <c r="T213">
        <v>0</v>
      </c>
    </row>
    <row r="214" spans="1:20" x14ac:dyDescent="0.25">
      <c r="A214" t="s">
        <v>271</v>
      </c>
      <c r="B214">
        <v>12</v>
      </c>
      <c r="C214" t="s">
        <v>19</v>
      </c>
      <c r="D214">
        <v>14</v>
      </c>
      <c r="E214">
        <v>110</v>
      </c>
      <c r="F214">
        <v>196</v>
      </c>
      <c r="G214">
        <v>118</v>
      </c>
      <c r="H214" t="s">
        <v>102</v>
      </c>
      <c r="I214">
        <v>14</v>
      </c>
      <c r="J214">
        <v>0</v>
      </c>
      <c r="K214">
        <v>0</v>
      </c>
      <c r="L214">
        <v>0</v>
      </c>
      <c r="M214" t="s">
        <v>884</v>
      </c>
      <c r="N214" t="s">
        <v>21</v>
      </c>
      <c r="O214" t="s">
        <v>27</v>
      </c>
      <c r="Q214">
        <v>3</v>
      </c>
      <c r="R214" t="b">
        <v>1</v>
      </c>
      <c r="S214" t="s">
        <v>119</v>
      </c>
      <c r="T214">
        <v>0</v>
      </c>
    </row>
    <row r="215" spans="1:20" x14ac:dyDescent="0.25">
      <c r="A215" t="s">
        <v>89</v>
      </c>
      <c r="B215">
        <v>13</v>
      </c>
      <c r="C215" t="s">
        <v>19</v>
      </c>
      <c r="D215">
        <v>14</v>
      </c>
      <c r="E215">
        <v>20</v>
      </c>
      <c r="F215">
        <v>180</v>
      </c>
      <c r="G215">
        <v>25</v>
      </c>
      <c r="H215" t="s">
        <v>102</v>
      </c>
      <c r="I215">
        <v>12</v>
      </c>
      <c r="J215">
        <v>1</v>
      </c>
      <c r="K215">
        <v>0</v>
      </c>
      <c r="L215">
        <v>0</v>
      </c>
      <c r="N215" t="s">
        <v>21</v>
      </c>
      <c r="O215" t="s">
        <v>25</v>
      </c>
      <c r="Q215">
        <v>3</v>
      </c>
      <c r="R215" t="b">
        <v>0</v>
      </c>
      <c r="S215" t="s">
        <v>119</v>
      </c>
      <c r="T215">
        <v>0</v>
      </c>
    </row>
    <row r="216" spans="1:20" x14ac:dyDescent="0.25">
      <c r="A216" t="s">
        <v>949</v>
      </c>
      <c r="B216">
        <v>13</v>
      </c>
      <c r="C216" t="s">
        <v>19</v>
      </c>
      <c r="D216">
        <v>29</v>
      </c>
      <c r="E216">
        <v>33</v>
      </c>
      <c r="F216">
        <v>196</v>
      </c>
      <c r="G216">
        <v>38</v>
      </c>
      <c r="H216" t="s">
        <v>102</v>
      </c>
      <c r="I216">
        <v>10</v>
      </c>
      <c r="J216">
        <v>1</v>
      </c>
      <c r="K216">
        <v>0</v>
      </c>
      <c r="L216">
        <v>0</v>
      </c>
      <c r="N216" t="s">
        <v>21</v>
      </c>
      <c r="O216" t="s">
        <v>25</v>
      </c>
      <c r="P216" s="1"/>
      <c r="Q216">
        <v>1</v>
      </c>
      <c r="R216" t="b">
        <v>0</v>
      </c>
      <c r="S216" t="s">
        <v>119</v>
      </c>
      <c r="T216">
        <v>0</v>
      </c>
    </row>
    <row r="217" spans="1:20" x14ac:dyDescent="0.25">
      <c r="A217" t="s">
        <v>830</v>
      </c>
      <c r="B217">
        <v>13</v>
      </c>
      <c r="C217" t="s">
        <v>24</v>
      </c>
      <c r="D217">
        <v>40</v>
      </c>
      <c r="E217">
        <v>40</v>
      </c>
      <c r="F217">
        <v>104</v>
      </c>
      <c r="G217">
        <v>81</v>
      </c>
      <c r="I217">
        <v>1</v>
      </c>
      <c r="J217">
        <v>0</v>
      </c>
      <c r="K217">
        <v>0</v>
      </c>
      <c r="L217">
        <v>0</v>
      </c>
      <c r="M217" t="s">
        <v>935</v>
      </c>
      <c r="N217" t="s">
        <v>21</v>
      </c>
      <c r="O217" t="s">
        <v>25</v>
      </c>
      <c r="P217" t="s">
        <v>960</v>
      </c>
      <c r="Q217">
        <v>2</v>
      </c>
      <c r="R217" t="b">
        <v>0</v>
      </c>
      <c r="S217" t="s">
        <v>119</v>
      </c>
      <c r="T217">
        <v>0</v>
      </c>
    </row>
    <row r="218" spans="1:20" x14ac:dyDescent="0.25">
      <c r="A218" s="25" t="s">
        <v>954</v>
      </c>
      <c r="B218">
        <v>13</v>
      </c>
      <c r="C218" t="s">
        <v>19</v>
      </c>
      <c r="D218">
        <v>14</v>
      </c>
      <c r="E218">
        <v>38</v>
      </c>
      <c r="F218">
        <v>40</v>
      </c>
      <c r="G218">
        <v>43</v>
      </c>
      <c r="H218" t="s">
        <v>102</v>
      </c>
      <c r="I218">
        <v>10</v>
      </c>
      <c r="J218">
        <v>0</v>
      </c>
      <c r="K218">
        <v>0</v>
      </c>
      <c r="L218">
        <v>0</v>
      </c>
      <c r="N218" t="s">
        <v>21</v>
      </c>
      <c r="O218" t="s">
        <v>22</v>
      </c>
      <c r="P218" s="26"/>
      <c r="Q218">
        <v>3</v>
      </c>
      <c r="R218" t="b">
        <v>0</v>
      </c>
      <c r="S218" t="s">
        <v>119</v>
      </c>
      <c r="T218">
        <v>0</v>
      </c>
    </row>
    <row r="219" spans="1:20" x14ac:dyDescent="0.25">
      <c r="A219" t="s">
        <v>955</v>
      </c>
      <c r="B219">
        <v>13</v>
      </c>
      <c r="C219" t="s">
        <v>19</v>
      </c>
      <c r="D219">
        <v>14</v>
      </c>
      <c r="E219">
        <v>46</v>
      </c>
      <c r="F219">
        <v>40</v>
      </c>
      <c r="G219">
        <v>51</v>
      </c>
      <c r="H219" t="s">
        <v>102</v>
      </c>
      <c r="I219">
        <v>10</v>
      </c>
      <c r="J219">
        <v>0</v>
      </c>
      <c r="K219">
        <v>0</v>
      </c>
      <c r="L219">
        <v>0</v>
      </c>
      <c r="N219" t="s">
        <v>21</v>
      </c>
      <c r="O219" t="s">
        <v>22</v>
      </c>
      <c r="P219" s="26"/>
      <c r="Q219">
        <v>3</v>
      </c>
      <c r="R219" t="b">
        <v>0</v>
      </c>
      <c r="S219" t="s">
        <v>119</v>
      </c>
      <c r="T219">
        <v>0</v>
      </c>
    </row>
    <row r="220" spans="1:20" x14ac:dyDescent="0.25">
      <c r="A220" t="s">
        <v>956</v>
      </c>
      <c r="B220">
        <v>13</v>
      </c>
      <c r="C220" t="s">
        <v>19</v>
      </c>
      <c r="D220">
        <v>14</v>
      </c>
      <c r="E220">
        <v>54</v>
      </c>
      <c r="F220">
        <v>40</v>
      </c>
      <c r="G220">
        <v>59</v>
      </c>
      <c r="H220" t="s">
        <v>102</v>
      </c>
      <c r="I220">
        <v>10</v>
      </c>
      <c r="J220">
        <v>0</v>
      </c>
      <c r="K220">
        <v>0</v>
      </c>
      <c r="L220">
        <v>0</v>
      </c>
      <c r="N220" t="s">
        <v>21</v>
      </c>
      <c r="O220" t="s">
        <v>22</v>
      </c>
      <c r="P220" s="26"/>
      <c r="Q220">
        <v>3</v>
      </c>
      <c r="R220" t="b">
        <v>0</v>
      </c>
      <c r="S220" t="s">
        <v>119</v>
      </c>
      <c r="T220">
        <v>0</v>
      </c>
    </row>
    <row r="221" spans="1:20" x14ac:dyDescent="0.25">
      <c r="A221" t="s">
        <v>957</v>
      </c>
      <c r="B221">
        <v>13</v>
      </c>
      <c r="C221" t="s">
        <v>19</v>
      </c>
      <c r="D221">
        <v>14</v>
      </c>
      <c r="E221">
        <v>62</v>
      </c>
      <c r="F221">
        <v>40</v>
      </c>
      <c r="G221">
        <v>67</v>
      </c>
      <c r="H221" t="s">
        <v>102</v>
      </c>
      <c r="I221">
        <v>10</v>
      </c>
      <c r="J221">
        <v>0</v>
      </c>
      <c r="K221">
        <v>0</v>
      </c>
      <c r="L221">
        <v>0</v>
      </c>
      <c r="N221" t="s">
        <v>21</v>
      </c>
      <c r="O221" t="s">
        <v>22</v>
      </c>
      <c r="P221" s="26"/>
      <c r="Q221">
        <v>3</v>
      </c>
      <c r="R221" t="b">
        <v>0</v>
      </c>
      <c r="S221" t="s">
        <v>119</v>
      </c>
      <c r="T221">
        <v>0</v>
      </c>
    </row>
    <row r="222" spans="1:20" x14ac:dyDescent="0.25">
      <c r="A222" t="s">
        <v>958</v>
      </c>
      <c r="B222">
        <v>13</v>
      </c>
      <c r="C222" t="s">
        <v>19</v>
      </c>
      <c r="D222">
        <v>14</v>
      </c>
      <c r="E222">
        <v>70</v>
      </c>
      <c r="F222">
        <v>40</v>
      </c>
      <c r="G222">
        <v>75</v>
      </c>
      <c r="H222" t="s">
        <v>102</v>
      </c>
      <c r="I222">
        <v>10</v>
      </c>
      <c r="J222">
        <v>0</v>
      </c>
      <c r="K222">
        <v>0</v>
      </c>
      <c r="L222">
        <v>0</v>
      </c>
      <c r="N222" t="s">
        <v>21</v>
      </c>
      <c r="O222" t="s">
        <v>22</v>
      </c>
      <c r="P222" s="26"/>
      <c r="Q222">
        <v>3</v>
      </c>
      <c r="R222" t="b">
        <v>0</v>
      </c>
      <c r="S222" t="s">
        <v>119</v>
      </c>
      <c r="T222">
        <v>0</v>
      </c>
    </row>
    <row r="223" spans="1:20" x14ac:dyDescent="0.25">
      <c r="A223" t="s">
        <v>959</v>
      </c>
      <c r="B223">
        <v>13</v>
      </c>
      <c r="C223" t="s">
        <v>19</v>
      </c>
      <c r="D223">
        <v>14</v>
      </c>
      <c r="E223">
        <v>78</v>
      </c>
      <c r="F223">
        <v>40</v>
      </c>
      <c r="G223">
        <v>83</v>
      </c>
      <c r="H223" t="s">
        <v>102</v>
      </c>
      <c r="I223">
        <v>10</v>
      </c>
      <c r="J223">
        <v>0</v>
      </c>
      <c r="K223">
        <v>0</v>
      </c>
      <c r="L223">
        <v>0</v>
      </c>
      <c r="N223" t="s">
        <v>21</v>
      </c>
      <c r="O223" t="s">
        <v>22</v>
      </c>
      <c r="P223" s="26"/>
      <c r="Q223">
        <v>3</v>
      </c>
      <c r="R223" t="b">
        <v>0</v>
      </c>
      <c r="S223" t="s">
        <v>119</v>
      </c>
      <c r="T223">
        <v>0</v>
      </c>
    </row>
    <row r="224" spans="1:20" x14ac:dyDescent="0.25">
      <c r="A224" t="s">
        <v>926</v>
      </c>
      <c r="B224">
        <v>13</v>
      </c>
      <c r="C224" t="s">
        <v>19</v>
      </c>
      <c r="D224">
        <v>109</v>
      </c>
      <c r="E224">
        <v>45</v>
      </c>
      <c r="F224">
        <v>196</v>
      </c>
      <c r="G224">
        <v>48</v>
      </c>
      <c r="H224" t="s">
        <v>102</v>
      </c>
      <c r="I224">
        <v>8</v>
      </c>
      <c r="J224">
        <v>0</v>
      </c>
      <c r="K224">
        <v>0</v>
      </c>
      <c r="L224">
        <v>0</v>
      </c>
      <c r="M224" t="s">
        <v>884</v>
      </c>
      <c r="O224" t="s">
        <v>25</v>
      </c>
      <c r="P224" t="s">
        <v>927</v>
      </c>
      <c r="Q224">
        <v>3</v>
      </c>
      <c r="R224" t="b">
        <v>1</v>
      </c>
      <c r="S224" t="s">
        <v>119</v>
      </c>
      <c r="T224">
        <v>0</v>
      </c>
    </row>
    <row r="225" spans="1:20" x14ac:dyDescent="0.25">
      <c r="A225" t="s">
        <v>953</v>
      </c>
      <c r="B225">
        <v>13</v>
      </c>
      <c r="C225" t="s">
        <v>19</v>
      </c>
      <c r="D225">
        <v>56</v>
      </c>
      <c r="E225">
        <v>82</v>
      </c>
      <c r="F225">
        <v>196</v>
      </c>
      <c r="G225">
        <v>90</v>
      </c>
      <c r="H225" t="s">
        <v>102</v>
      </c>
      <c r="I225">
        <v>12</v>
      </c>
      <c r="J225">
        <v>0</v>
      </c>
      <c r="K225">
        <v>0</v>
      </c>
      <c r="L225">
        <v>0</v>
      </c>
      <c r="M225" t="s">
        <v>1025</v>
      </c>
      <c r="N225" t="s">
        <v>21</v>
      </c>
      <c r="O225" t="s">
        <v>25</v>
      </c>
      <c r="Q225">
        <v>3</v>
      </c>
      <c r="R225" t="b">
        <v>1</v>
      </c>
      <c r="S225" t="s">
        <v>119</v>
      </c>
      <c r="T225">
        <v>0</v>
      </c>
    </row>
    <row r="226" spans="1:20" x14ac:dyDescent="0.25">
      <c r="A226" t="s">
        <v>29</v>
      </c>
      <c r="B226">
        <v>13</v>
      </c>
      <c r="C226" t="s">
        <v>25</v>
      </c>
      <c r="D226">
        <v>30</v>
      </c>
      <c r="E226">
        <v>100</v>
      </c>
      <c r="F226">
        <v>170</v>
      </c>
      <c r="G226">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v>285</v>
      </c>
      <c r="I227">
        <v>0</v>
      </c>
      <c r="J227">
        <v>0</v>
      </c>
      <c r="K227">
        <v>0</v>
      </c>
      <c r="L227">
        <v>0</v>
      </c>
      <c r="N227" t="s">
        <v>21</v>
      </c>
      <c r="O227" t="s">
        <v>25</v>
      </c>
      <c r="Q227">
        <v>2</v>
      </c>
      <c r="R227" t="b">
        <v>0</v>
      </c>
      <c r="S227" t="s">
        <v>119</v>
      </c>
      <c r="T227">
        <v>0</v>
      </c>
    </row>
    <row r="228" spans="1:20" x14ac:dyDescent="0.25">
      <c r="A228" t="s">
        <v>272</v>
      </c>
      <c r="B228">
        <v>13</v>
      </c>
      <c r="C228" t="s">
        <v>19</v>
      </c>
      <c r="D228">
        <v>14</v>
      </c>
      <c r="E228">
        <v>110</v>
      </c>
      <c r="F228">
        <v>196</v>
      </c>
      <c r="G228">
        <v>118</v>
      </c>
      <c r="H228" t="s">
        <v>102</v>
      </c>
      <c r="I228">
        <v>14</v>
      </c>
      <c r="J228">
        <v>0</v>
      </c>
      <c r="K228">
        <v>0</v>
      </c>
      <c r="L228">
        <v>0</v>
      </c>
      <c r="M228" t="s">
        <v>884</v>
      </c>
      <c r="N228" t="s">
        <v>21</v>
      </c>
      <c r="O228" t="s">
        <v>27</v>
      </c>
      <c r="Q228">
        <v>3</v>
      </c>
      <c r="R228" t="b">
        <v>1</v>
      </c>
      <c r="S228" t="s">
        <v>119</v>
      </c>
      <c r="T228">
        <v>0</v>
      </c>
    </row>
    <row r="229" spans="1:20" x14ac:dyDescent="0.25">
      <c r="A229" t="s">
        <v>38</v>
      </c>
      <c r="B229">
        <v>14</v>
      </c>
      <c r="C229" t="s">
        <v>19</v>
      </c>
      <c r="D229">
        <v>14</v>
      </c>
      <c r="E229">
        <v>20</v>
      </c>
      <c r="F229">
        <v>196</v>
      </c>
      <c r="G229">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v>14</v>
      </c>
      <c r="E230">
        <v>33</v>
      </c>
      <c r="F230">
        <v>196</v>
      </c>
      <c r="G230">
        <v>38</v>
      </c>
      <c r="H230" t="s">
        <v>102</v>
      </c>
      <c r="I230">
        <v>12</v>
      </c>
      <c r="J230">
        <v>0</v>
      </c>
      <c r="K230">
        <v>0</v>
      </c>
      <c r="L230">
        <v>0</v>
      </c>
      <c r="M230" s="23"/>
      <c r="N230" t="s">
        <v>21</v>
      </c>
      <c r="O230" t="s">
        <v>25</v>
      </c>
      <c r="P230" s="1"/>
      <c r="Q230">
        <v>2</v>
      </c>
      <c r="R230" t="b">
        <v>1</v>
      </c>
      <c r="S230" t="s">
        <v>119</v>
      </c>
      <c r="T230">
        <v>0</v>
      </c>
    </row>
    <row r="231" spans="1:20" x14ac:dyDescent="0.25">
      <c r="A231" t="s">
        <v>772</v>
      </c>
      <c r="B231">
        <v>14</v>
      </c>
      <c r="C231" t="s">
        <v>26</v>
      </c>
      <c r="D231">
        <v>0</v>
      </c>
      <c r="E231">
        <v>120</v>
      </c>
      <c r="F231">
        <v>210</v>
      </c>
      <c r="G231">
        <v>204</v>
      </c>
      <c r="I231">
        <v>0</v>
      </c>
      <c r="J231">
        <v>1</v>
      </c>
      <c r="K231">
        <v>0</v>
      </c>
      <c r="L231">
        <v>0</v>
      </c>
      <c r="M231" t="s">
        <v>918</v>
      </c>
      <c r="N231" t="s">
        <v>918</v>
      </c>
      <c r="O231" t="s">
        <v>25</v>
      </c>
      <c r="Q231">
        <v>1</v>
      </c>
      <c r="R231" t="b">
        <v>0</v>
      </c>
      <c r="S231" t="s">
        <v>119</v>
      </c>
      <c r="T231">
        <v>0</v>
      </c>
    </row>
    <row r="232" spans="1:20" x14ac:dyDescent="0.25">
      <c r="A232" t="s">
        <v>773</v>
      </c>
      <c r="B232">
        <v>-999</v>
      </c>
      <c r="C232" t="s">
        <v>19</v>
      </c>
      <c r="D232">
        <v>14</v>
      </c>
      <c r="E232">
        <v>125</v>
      </c>
      <c r="F232">
        <v>196</v>
      </c>
      <c r="G232">
        <v>128</v>
      </c>
      <c r="H232" t="s">
        <v>102</v>
      </c>
      <c r="I232">
        <v>12</v>
      </c>
      <c r="J232">
        <v>1</v>
      </c>
      <c r="K232">
        <v>0</v>
      </c>
      <c r="L232">
        <v>0</v>
      </c>
      <c r="N232" t="s">
        <v>918</v>
      </c>
      <c r="O232" t="s">
        <v>25</v>
      </c>
      <c r="Q232">
        <v>3</v>
      </c>
      <c r="R232" t="b">
        <v>0</v>
      </c>
      <c r="S232" t="s">
        <v>119</v>
      </c>
      <c r="T232">
        <v>0</v>
      </c>
    </row>
    <row r="233" spans="1:20" x14ac:dyDescent="0.25">
      <c r="A233" t="s">
        <v>774</v>
      </c>
      <c r="B233">
        <v>14</v>
      </c>
      <c r="C233" t="s">
        <v>19</v>
      </c>
      <c r="D233">
        <v>113</v>
      </c>
      <c r="E233">
        <v>122</v>
      </c>
      <c r="F233">
        <v>140</v>
      </c>
      <c r="G233">
        <v>127</v>
      </c>
      <c r="H233" t="s">
        <v>102</v>
      </c>
      <c r="I233">
        <v>10</v>
      </c>
      <c r="J233">
        <v>1</v>
      </c>
      <c r="K233">
        <v>0</v>
      </c>
      <c r="L233">
        <v>0</v>
      </c>
      <c r="N233" t="s">
        <v>918</v>
      </c>
      <c r="O233" t="s">
        <v>27</v>
      </c>
      <c r="Q233">
        <v>3</v>
      </c>
      <c r="R233" t="b">
        <v>1</v>
      </c>
      <c r="S233" t="s">
        <v>119</v>
      </c>
      <c r="T233">
        <v>0</v>
      </c>
    </row>
    <row r="234" spans="1:20" x14ac:dyDescent="0.25">
      <c r="A234" t="s">
        <v>775</v>
      </c>
      <c r="B234">
        <v>14</v>
      </c>
      <c r="C234" t="s">
        <v>19</v>
      </c>
      <c r="D234">
        <v>140</v>
      </c>
      <c r="E234">
        <v>122</v>
      </c>
      <c r="F234">
        <v>169</v>
      </c>
      <c r="G234">
        <v>127</v>
      </c>
      <c r="H234" t="s">
        <v>102</v>
      </c>
      <c r="I234">
        <v>10</v>
      </c>
      <c r="J234">
        <v>1</v>
      </c>
      <c r="K234">
        <v>0</v>
      </c>
      <c r="L234">
        <v>0</v>
      </c>
      <c r="N234" t="s">
        <v>918</v>
      </c>
      <c r="O234" t="s">
        <v>27</v>
      </c>
      <c r="Q234">
        <v>3</v>
      </c>
      <c r="R234" t="b">
        <v>1</v>
      </c>
      <c r="S234" t="s">
        <v>119</v>
      </c>
      <c r="T234">
        <v>0</v>
      </c>
    </row>
    <row r="235" spans="1:20" x14ac:dyDescent="0.25">
      <c r="A235" t="s">
        <v>776</v>
      </c>
      <c r="B235">
        <v>14</v>
      </c>
      <c r="C235" t="s">
        <v>19</v>
      </c>
      <c r="D235">
        <v>168</v>
      </c>
      <c r="E235">
        <v>122</v>
      </c>
      <c r="F235">
        <v>194</v>
      </c>
      <c r="G235">
        <v>127</v>
      </c>
      <c r="H235" t="s">
        <v>102</v>
      </c>
      <c r="I235">
        <v>10</v>
      </c>
      <c r="J235">
        <v>1</v>
      </c>
      <c r="K235">
        <v>0</v>
      </c>
      <c r="L235">
        <v>0</v>
      </c>
      <c r="N235" t="s">
        <v>918</v>
      </c>
      <c r="O235" t="s">
        <v>27</v>
      </c>
      <c r="Q235">
        <v>3</v>
      </c>
      <c r="R235" t="b">
        <v>1</v>
      </c>
      <c r="S235" t="s">
        <v>119</v>
      </c>
      <c r="T235">
        <v>0</v>
      </c>
    </row>
    <row r="236" spans="1:20" x14ac:dyDescent="0.25">
      <c r="A236" t="s">
        <v>44</v>
      </c>
      <c r="B236">
        <v>14</v>
      </c>
      <c r="C236" t="s">
        <v>25</v>
      </c>
      <c r="D236">
        <v>114</v>
      </c>
      <c r="E236">
        <v>120</v>
      </c>
      <c r="F236">
        <v>114</v>
      </c>
      <c r="G236">
        <v>204</v>
      </c>
      <c r="I236">
        <v>0.5</v>
      </c>
      <c r="J236">
        <v>0</v>
      </c>
      <c r="K236">
        <v>0</v>
      </c>
      <c r="L236">
        <v>0</v>
      </c>
      <c r="M236" t="s">
        <v>21</v>
      </c>
      <c r="N236" t="s">
        <v>918</v>
      </c>
      <c r="O236" t="s">
        <v>25</v>
      </c>
      <c r="Q236">
        <v>4</v>
      </c>
      <c r="R236" t="b">
        <v>0</v>
      </c>
      <c r="S236" t="s">
        <v>119</v>
      </c>
      <c r="T236">
        <v>0</v>
      </c>
    </row>
    <row r="237" spans="1:20" x14ac:dyDescent="0.25">
      <c r="A237" t="s">
        <v>45</v>
      </c>
      <c r="B237">
        <v>14</v>
      </c>
      <c r="C237" t="s">
        <v>25</v>
      </c>
      <c r="D237">
        <v>141</v>
      </c>
      <c r="E237">
        <v>120</v>
      </c>
      <c r="F237">
        <v>141</v>
      </c>
      <c r="G237">
        <v>204</v>
      </c>
      <c r="I237">
        <v>0.5</v>
      </c>
      <c r="J237">
        <v>0</v>
      </c>
      <c r="K237">
        <v>0</v>
      </c>
      <c r="L237">
        <v>0</v>
      </c>
      <c r="M237" t="s">
        <v>21</v>
      </c>
      <c r="N237" t="s">
        <v>918</v>
      </c>
      <c r="O237" t="s">
        <v>25</v>
      </c>
      <c r="Q237">
        <v>4</v>
      </c>
      <c r="R237" t="b">
        <v>0</v>
      </c>
      <c r="S237" t="s">
        <v>119</v>
      </c>
      <c r="T237">
        <v>0</v>
      </c>
    </row>
    <row r="238" spans="1:20" x14ac:dyDescent="0.25">
      <c r="A238" t="s">
        <v>46</v>
      </c>
      <c r="B238">
        <v>14</v>
      </c>
      <c r="C238" t="s">
        <v>25</v>
      </c>
      <c r="D238">
        <v>168</v>
      </c>
      <c r="E238">
        <v>120</v>
      </c>
      <c r="F238">
        <v>168</v>
      </c>
      <c r="G238">
        <v>204</v>
      </c>
      <c r="I238">
        <v>0.5</v>
      </c>
      <c r="J238">
        <v>0</v>
      </c>
      <c r="K238">
        <v>0</v>
      </c>
      <c r="L238">
        <v>0</v>
      </c>
      <c r="M238" t="s">
        <v>21</v>
      </c>
      <c r="N238" t="s">
        <v>918</v>
      </c>
      <c r="O238" t="s">
        <v>25</v>
      </c>
      <c r="Q238">
        <v>4</v>
      </c>
      <c r="R238" t="b">
        <v>0</v>
      </c>
      <c r="S238" t="s">
        <v>119</v>
      </c>
      <c r="T238">
        <v>0</v>
      </c>
    </row>
    <row r="239" spans="1:20" x14ac:dyDescent="0.25">
      <c r="A239" t="s">
        <v>55</v>
      </c>
      <c r="B239">
        <v>14</v>
      </c>
      <c r="C239" t="s">
        <v>25</v>
      </c>
      <c r="D239">
        <v>14</v>
      </c>
      <c r="E239">
        <v>147</v>
      </c>
      <c r="F239">
        <v>196</v>
      </c>
      <c r="G239">
        <v>147</v>
      </c>
      <c r="I239">
        <v>0.5</v>
      </c>
      <c r="J239">
        <v>0</v>
      </c>
      <c r="K239">
        <v>0</v>
      </c>
      <c r="L239">
        <v>0</v>
      </c>
      <c r="M239" t="s">
        <v>21</v>
      </c>
      <c r="N239" t="s">
        <v>918</v>
      </c>
      <c r="O239" t="s">
        <v>25</v>
      </c>
      <c r="Q239">
        <v>4</v>
      </c>
      <c r="R239" t="b">
        <v>0</v>
      </c>
      <c r="S239" t="s">
        <v>119</v>
      </c>
      <c r="T239">
        <v>0</v>
      </c>
    </row>
    <row r="240" spans="1:20" x14ac:dyDescent="0.25">
      <c r="A240" t="s">
        <v>920</v>
      </c>
      <c r="B240">
        <v>14</v>
      </c>
      <c r="C240" t="s">
        <v>19</v>
      </c>
      <c r="D240">
        <v>14</v>
      </c>
      <c r="E240">
        <v>206</v>
      </c>
      <c r="F240">
        <v>196</v>
      </c>
      <c r="G240">
        <v>210</v>
      </c>
      <c r="H240" t="s">
        <v>102</v>
      </c>
      <c r="I240">
        <v>10</v>
      </c>
      <c r="J240">
        <v>0</v>
      </c>
      <c r="K240">
        <v>0</v>
      </c>
      <c r="L240">
        <v>0</v>
      </c>
      <c r="N240" t="s">
        <v>21</v>
      </c>
      <c r="O240" t="s">
        <v>22</v>
      </c>
      <c r="Q240">
        <v>2</v>
      </c>
      <c r="R240" t="b">
        <v>0</v>
      </c>
      <c r="S240" t="s">
        <v>119</v>
      </c>
      <c r="T240">
        <v>0</v>
      </c>
    </row>
    <row r="241" spans="1:20" ht="15.75" customHeight="1" x14ac:dyDescent="0.25">
      <c r="A241" t="s">
        <v>765</v>
      </c>
      <c r="B241">
        <v>14</v>
      </c>
      <c r="C241" t="s">
        <v>19</v>
      </c>
      <c r="D241">
        <v>14</v>
      </c>
      <c r="E241">
        <v>149</v>
      </c>
      <c r="F241">
        <v>112</v>
      </c>
      <c r="G241">
        <v>154</v>
      </c>
      <c r="H241" t="s">
        <v>102</v>
      </c>
      <c r="I241">
        <v>12</v>
      </c>
      <c r="J241">
        <v>0</v>
      </c>
      <c r="K241">
        <v>0</v>
      </c>
      <c r="L241">
        <v>0</v>
      </c>
      <c r="N241" t="s">
        <v>918</v>
      </c>
      <c r="O241" t="s">
        <v>25</v>
      </c>
      <c r="Q241">
        <v>3</v>
      </c>
      <c r="R241" t="b">
        <v>1</v>
      </c>
      <c r="S241" t="s">
        <v>119</v>
      </c>
      <c r="T241">
        <v>0</v>
      </c>
    </row>
    <row r="242" spans="1:20" x14ac:dyDescent="0.25">
      <c r="A242" t="s">
        <v>766</v>
      </c>
      <c r="B242">
        <v>14</v>
      </c>
      <c r="C242" t="s">
        <v>19</v>
      </c>
      <c r="D242">
        <v>113</v>
      </c>
      <c r="E242">
        <v>150</v>
      </c>
      <c r="F242">
        <v>140</v>
      </c>
      <c r="G242">
        <v>153</v>
      </c>
      <c r="H242" t="s">
        <v>20</v>
      </c>
      <c r="I242">
        <v>16</v>
      </c>
      <c r="J242">
        <v>1</v>
      </c>
      <c r="K242">
        <v>0</v>
      </c>
      <c r="L242">
        <v>0</v>
      </c>
      <c r="N242" t="s">
        <v>918</v>
      </c>
      <c r="O242" t="s">
        <v>27</v>
      </c>
      <c r="Q242">
        <v>2</v>
      </c>
      <c r="R242" t="b">
        <v>0</v>
      </c>
      <c r="S242" t="s">
        <v>119</v>
      </c>
      <c r="T242">
        <v>0</v>
      </c>
    </row>
    <row r="243" spans="1:20" x14ac:dyDescent="0.25">
      <c r="A243" t="s">
        <v>767</v>
      </c>
      <c r="B243">
        <v>14</v>
      </c>
      <c r="C243" t="s">
        <v>19</v>
      </c>
      <c r="D243">
        <v>140</v>
      </c>
      <c r="E243">
        <v>150</v>
      </c>
      <c r="F243">
        <v>169</v>
      </c>
      <c r="G243">
        <v>153</v>
      </c>
      <c r="H243" t="s">
        <v>20</v>
      </c>
      <c r="I243">
        <v>16</v>
      </c>
      <c r="J243">
        <v>1</v>
      </c>
      <c r="K243">
        <v>0</v>
      </c>
      <c r="L243">
        <v>0</v>
      </c>
      <c r="N243" t="s">
        <v>918</v>
      </c>
      <c r="O243" t="s">
        <v>27</v>
      </c>
      <c r="Q243">
        <v>2</v>
      </c>
      <c r="R243" t="b">
        <v>0</v>
      </c>
      <c r="S243" t="s">
        <v>119</v>
      </c>
      <c r="T243">
        <v>0</v>
      </c>
    </row>
    <row r="244" spans="1:20" x14ac:dyDescent="0.25">
      <c r="A244" t="s">
        <v>768</v>
      </c>
      <c r="B244">
        <v>14</v>
      </c>
      <c r="C244" t="s">
        <v>19</v>
      </c>
      <c r="D244">
        <v>168</v>
      </c>
      <c r="E244">
        <v>150</v>
      </c>
      <c r="F244">
        <v>194</v>
      </c>
      <c r="G244">
        <v>153</v>
      </c>
      <c r="H244" t="s">
        <v>20</v>
      </c>
      <c r="I244">
        <v>16</v>
      </c>
      <c r="J244">
        <v>1</v>
      </c>
      <c r="K244">
        <v>0</v>
      </c>
      <c r="L244">
        <v>0</v>
      </c>
      <c r="N244" t="s">
        <v>918</v>
      </c>
      <c r="O244" t="s">
        <v>27</v>
      </c>
      <c r="Q244">
        <v>2</v>
      </c>
      <c r="R244" t="b">
        <v>0</v>
      </c>
      <c r="S244" t="s">
        <v>119</v>
      </c>
      <c r="T244">
        <v>0</v>
      </c>
    </row>
    <row r="245" spans="1:20" ht="15.75" customHeight="1" x14ac:dyDescent="0.25">
      <c r="A245" t="s">
        <v>833</v>
      </c>
      <c r="B245">
        <v>14</v>
      </c>
      <c r="C245" t="s">
        <v>19</v>
      </c>
      <c r="D245">
        <v>14</v>
      </c>
      <c r="E245">
        <v>167</v>
      </c>
      <c r="F245">
        <v>112</v>
      </c>
      <c r="G245">
        <v>172</v>
      </c>
      <c r="H245" t="s">
        <v>102</v>
      </c>
      <c r="I245">
        <v>12</v>
      </c>
      <c r="J245">
        <v>0</v>
      </c>
      <c r="K245">
        <v>0</v>
      </c>
      <c r="L245">
        <v>0</v>
      </c>
      <c r="N245" t="s">
        <v>918</v>
      </c>
      <c r="O245" t="s">
        <v>25</v>
      </c>
      <c r="Q245">
        <v>3</v>
      </c>
      <c r="R245" t="b">
        <v>1</v>
      </c>
      <c r="S245" t="s">
        <v>119</v>
      </c>
      <c r="T245">
        <v>0</v>
      </c>
    </row>
    <row r="246" spans="1:20" x14ac:dyDescent="0.25">
      <c r="A246" t="s">
        <v>834</v>
      </c>
      <c r="B246">
        <v>14</v>
      </c>
      <c r="C246" t="s">
        <v>19</v>
      </c>
      <c r="D246">
        <v>113</v>
      </c>
      <c r="E246">
        <v>168</v>
      </c>
      <c r="F246">
        <v>140</v>
      </c>
      <c r="G246">
        <v>171</v>
      </c>
      <c r="H246" t="s">
        <v>20</v>
      </c>
      <c r="I246">
        <v>16</v>
      </c>
      <c r="J246">
        <v>1</v>
      </c>
      <c r="K246">
        <v>0</v>
      </c>
      <c r="L246">
        <v>0</v>
      </c>
      <c r="N246" t="s">
        <v>918</v>
      </c>
      <c r="O246" t="s">
        <v>27</v>
      </c>
      <c r="Q246">
        <v>2</v>
      </c>
      <c r="R246" t="b">
        <v>0</v>
      </c>
      <c r="S246" t="s">
        <v>119</v>
      </c>
      <c r="T246">
        <v>0</v>
      </c>
    </row>
    <row r="247" spans="1:20" x14ac:dyDescent="0.25">
      <c r="A247" t="s">
        <v>835</v>
      </c>
      <c r="B247">
        <v>14</v>
      </c>
      <c r="C247" t="s">
        <v>19</v>
      </c>
      <c r="D247">
        <v>140</v>
      </c>
      <c r="E247">
        <v>168</v>
      </c>
      <c r="F247">
        <v>169</v>
      </c>
      <c r="G247">
        <v>171</v>
      </c>
      <c r="H247" t="s">
        <v>20</v>
      </c>
      <c r="I247">
        <v>16</v>
      </c>
      <c r="J247">
        <v>1</v>
      </c>
      <c r="K247">
        <v>0</v>
      </c>
      <c r="L247">
        <v>0</v>
      </c>
      <c r="N247" t="s">
        <v>918</v>
      </c>
      <c r="O247" t="s">
        <v>27</v>
      </c>
      <c r="Q247">
        <v>2</v>
      </c>
      <c r="R247" t="b">
        <v>0</v>
      </c>
      <c r="S247" t="s">
        <v>119</v>
      </c>
      <c r="T247">
        <v>0</v>
      </c>
    </row>
    <row r="248" spans="1:20" x14ac:dyDescent="0.25">
      <c r="A248" t="s">
        <v>836</v>
      </c>
      <c r="B248">
        <v>14</v>
      </c>
      <c r="C248" t="s">
        <v>19</v>
      </c>
      <c r="D248">
        <v>168</v>
      </c>
      <c r="E248">
        <v>168</v>
      </c>
      <c r="F248">
        <v>194</v>
      </c>
      <c r="G248">
        <v>171</v>
      </c>
      <c r="H248" t="s">
        <v>20</v>
      </c>
      <c r="I248">
        <v>16</v>
      </c>
      <c r="J248">
        <v>1</v>
      </c>
      <c r="K248">
        <v>0</v>
      </c>
      <c r="L248">
        <v>0</v>
      </c>
      <c r="N248" t="s">
        <v>918</v>
      </c>
      <c r="O248" t="s">
        <v>27</v>
      </c>
      <c r="Q248">
        <v>2</v>
      </c>
      <c r="R248" t="b">
        <v>0</v>
      </c>
      <c r="S248" t="s">
        <v>119</v>
      </c>
      <c r="T248">
        <v>0</v>
      </c>
    </row>
    <row r="249" spans="1:20" ht="15.75" customHeight="1" x14ac:dyDescent="0.25">
      <c r="A249" t="s">
        <v>837</v>
      </c>
      <c r="B249">
        <v>14</v>
      </c>
      <c r="C249" t="s">
        <v>19</v>
      </c>
      <c r="D249">
        <v>14</v>
      </c>
      <c r="E249">
        <v>185</v>
      </c>
      <c r="F249">
        <v>112</v>
      </c>
      <c r="G249">
        <v>190</v>
      </c>
      <c r="H249" t="s">
        <v>102</v>
      </c>
      <c r="I249">
        <v>12</v>
      </c>
      <c r="J249">
        <v>0</v>
      </c>
      <c r="K249">
        <v>0</v>
      </c>
      <c r="L249">
        <v>0</v>
      </c>
      <c r="N249" t="s">
        <v>918</v>
      </c>
      <c r="O249" t="s">
        <v>25</v>
      </c>
      <c r="Q249">
        <v>3</v>
      </c>
      <c r="R249" t="b">
        <v>1</v>
      </c>
      <c r="S249" t="s">
        <v>119</v>
      </c>
      <c r="T249">
        <v>0</v>
      </c>
    </row>
    <row r="250" spans="1:20" x14ac:dyDescent="0.25">
      <c r="A250" t="s">
        <v>838</v>
      </c>
      <c r="B250">
        <v>14</v>
      </c>
      <c r="C250" t="s">
        <v>19</v>
      </c>
      <c r="D250">
        <v>113</v>
      </c>
      <c r="E250">
        <v>186</v>
      </c>
      <c r="F250">
        <v>140</v>
      </c>
      <c r="G250">
        <v>189</v>
      </c>
      <c r="H250" t="s">
        <v>20</v>
      </c>
      <c r="I250">
        <v>16</v>
      </c>
      <c r="J250">
        <v>1</v>
      </c>
      <c r="K250">
        <v>0</v>
      </c>
      <c r="L250">
        <v>0</v>
      </c>
      <c r="N250" t="s">
        <v>918</v>
      </c>
      <c r="O250" t="s">
        <v>27</v>
      </c>
      <c r="Q250">
        <v>2</v>
      </c>
      <c r="R250" t="b">
        <v>0</v>
      </c>
      <c r="S250" t="s">
        <v>119</v>
      </c>
      <c r="T250">
        <v>0</v>
      </c>
    </row>
    <row r="251" spans="1:20" x14ac:dyDescent="0.25">
      <c r="A251" t="s">
        <v>839</v>
      </c>
      <c r="B251">
        <v>14</v>
      </c>
      <c r="C251" t="s">
        <v>19</v>
      </c>
      <c r="D251">
        <v>140</v>
      </c>
      <c r="E251">
        <v>186</v>
      </c>
      <c r="F251">
        <v>169</v>
      </c>
      <c r="G251">
        <v>189</v>
      </c>
      <c r="H251" t="s">
        <v>20</v>
      </c>
      <c r="I251">
        <v>16</v>
      </c>
      <c r="J251">
        <v>1</v>
      </c>
      <c r="K251">
        <v>0</v>
      </c>
      <c r="L251">
        <v>0</v>
      </c>
      <c r="N251" t="s">
        <v>918</v>
      </c>
      <c r="O251" t="s">
        <v>27</v>
      </c>
      <c r="Q251">
        <v>2</v>
      </c>
      <c r="R251" t="b">
        <v>0</v>
      </c>
      <c r="S251" t="s">
        <v>119</v>
      </c>
      <c r="T251">
        <v>0</v>
      </c>
    </row>
    <row r="252" spans="1:20" x14ac:dyDescent="0.25">
      <c r="A252" t="s">
        <v>840</v>
      </c>
      <c r="B252">
        <v>14</v>
      </c>
      <c r="C252" t="s">
        <v>19</v>
      </c>
      <c r="D252">
        <v>168</v>
      </c>
      <c r="E252">
        <v>186</v>
      </c>
      <c r="F252">
        <v>194</v>
      </c>
      <c r="G252">
        <v>189</v>
      </c>
      <c r="H252" t="s">
        <v>20</v>
      </c>
      <c r="I252">
        <v>16</v>
      </c>
      <c r="J252">
        <v>1</v>
      </c>
      <c r="K252">
        <v>0</v>
      </c>
      <c r="L252">
        <v>0</v>
      </c>
      <c r="N252" t="s">
        <v>918</v>
      </c>
      <c r="O252" t="s">
        <v>27</v>
      </c>
      <c r="Q252">
        <v>2</v>
      </c>
      <c r="R252" t="b">
        <v>0</v>
      </c>
      <c r="S252" t="s">
        <v>119</v>
      </c>
      <c r="T252">
        <v>0</v>
      </c>
    </row>
    <row r="253" spans="1:20" x14ac:dyDescent="0.25">
      <c r="A253" t="s">
        <v>64</v>
      </c>
      <c r="B253">
        <v>15</v>
      </c>
      <c r="C253" t="s">
        <v>24</v>
      </c>
      <c r="D253">
        <v>14</v>
      </c>
      <c r="E253">
        <v>60</v>
      </c>
      <c r="F253">
        <v>196</v>
      </c>
      <c r="G253">
        <v>225</v>
      </c>
      <c r="I253">
        <v>0</v>
      </c>
      <c r="J253">
        <v>0</v>
      </c>
      <c r="K253">
        <v>0</v>
      </c>
      <c r="L253">
        <v>0</v>
      </c>
      <c r="N253" t="s">
        <v>21</v>
      </c>
      <c r="O253" t="s">
        <v>25</v>
      </c>
      <c r="Q253">
        <v>2</v>
      </c>
      <c r="R253" t="b">
        <v>0</v>
      </c>
      <c r="S253" t="s">
        <v>119</v>
      </c>
      <c r="T253">
        <v>0</v>
      </c>
    </row>
    <row r="254" spans="1:20" x14ac:dyDescent="0.25">
      <c r="A254" t="s">
        <v>857</v>
      </c>
      <c r="B254">
        <v>15</v>
      </c>
      <c r="C254" t="s">
        <v>19</v>
      </c>
      <c r="D254">
        <v>30</v>
      </c>
      <c r="E254">
        <v>233</v>
      </c>
      <c r="F254">
        <v>180</v>
      </c>
      <c r="G254">
        <v>241</v>
      </c>
      <c r="H254" t="s">
        <v>102</v>
      </c>
      <c r="I254">
        <v>16</v>
      </c>
      <c r="J254">
        <v>0</v>
      </c>
      <c r="K254">
        <v>0</v>
      </c>
      <c r="L254">
        <v>0</v>
      </c>
      <c r="M254" t="s">
        <v>884</v>
      </c>
      <c r="N254" t="s">
        <v>21</v>
      </c>
      <c r="O254" t="s">
        <v>27</v>
      </c>
      <c r="Q254">
        <v>2</v>
      </c>
      <c r="R254" t="b">
        <v>1</v>
      </c>
      <c r="S254" t="s">
        <v>119</v>
      </c>
      <c r="T254">
        <v>0</v>
      </c>
    </row>
    <row r="255" spans="1:20" x14ac:dyDescent="0.25">
      <c r="A255" t="s">
        <v>39</v>
      </c>
      <c r="B255">
        <v>16</v>
      </c>
      <c r="C255" t="s">
        <v>19</v>
      </c>
      <c r="D255">
        <v>14</v>
      </c>
      <c r="E255">
        <v>20</v>
      </c>
      <c r="F255">
        <v>196</v>
      </c>
      <c r="G255">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v>14</v>
      </c>
      <c r="E256">
        <v>31</v>
      </c>
      <c r="F256">
        <v>196</v>
      </c>
      <c r="G256">
        <v>36</v>
      </c>
      <c r="H256" t="s">
        <v>102</v>
      </c>
      <c r="I256">
        <v>12</v>
      </c>
      <c r="J256">
        <v>0</v>
      </c>
      <c r="K256">
        <v>0</v>
      </c>
      <c r="L256">
        <v>0</v>
      </c>
      <c r="N256" t="s">
        <v>21</v>
      </c>
      <c r="O256" t="s">
        <v>25</v>
      </c>
      <c r="P256" s="1"/>
      <c r="Q256">
        <v>2</v>
      </c>
      <c r="R256" t="b">
        <v>1</v>
      </c>
      <c r="S256" t="s">
        <v>119</v>
      </c>
      <c r="T256">
        <v>0</v>
      </c>
    </row>
    <row r="257" spans="1:20" x14ac:dyDescent="0.25">
      <c r="A257" t="s">
        <v>841</v>
      </c>
      <c r="B257">
        <v>16</v>
      </c>
      <c r="C257" t="s">
        <v>26</v>
      </c>
      <c r="D257">
        <v>0</v>
      </c>
      <c r="E257">
        <v>120</v>
      </c>
      <c r="F257">
        <v>210</v>
      </c>
      <c r="G257">
        <v>168</v>
      </c>
      <c r="I257">
        <v>0</v>
      </c>
      <c r="J257">
        <v>1</v>
      </c>
      <c r="K257">
        <v>0</v>
      </c>
      <c r="L257">
        <v>0</v>
      </c>
      <c r="M257" t="s">
        <v>918</v>
      </c>
      <c r="N257" t="s">
        <v>918</v>
      </c>
      <c r="O257" t="s">
        <v>25</v>
      </c>
      <c r="Q257">
        <v>1</v>
      </c>
      <c r="R257" t="b">
        <v>0</v>
      </c>
      <c r="S257" t="s">
        <v>119</v>
      </c>
      <c r="T257">
        <v>0</v>
      </c>
    </row>
    <row r="258" spans="1:20" x14ac:dyDescent="0.25">
      <c r="A258" t="s">
        <v>842</v>
      </c>
      <c r="B258">
        <v>-999</v>
      </c>
      <c r="C258" t="s">
        <v>19</v>
      </c>
      <c r="D258">
        <v>14</v>
      </c>
      <c r="E258">
        <v>125</v>
      </c>
      <c r="F258">
        <v>196</v>
      </c>
      <c r="G258">
        <v>128</v>
      </c>
      <c r="H258" t="s">
        <v>102</v>
      </c>
      <c r="I258">
        <v>12</v>
      </c>
      <c r="J258">
        <v>1</v>
      </c>
      <c r="K258">
        <v>0</v>
      </c>
      <c r="L258">
        <v>0</v>
      </c>
      <c r="N258" t="s">
        <v>918</v>
      </c>
      <c r="O258" t="s">
        <v>25</v>
      </c>
      <c r="Q258">
        <v>3</v>
      </c>
      <c r="R258" t="b">
        <v>0</v>
      </c>
      <c r="S258" t="s">
        <v>119</v>
      </c>
      <c r="T258">
        <v>0</v>
      </c>
    </row>
    <row r="259" spans="1:20" x14ac:dyDescent="0.25">
      <c r="A259" t="s">
        <v>774</v>
      </c>
      <c r="B259">
        <v>16</v>
      </c>
      <c r="C259" t="s">
        <v>19</v>
      </c>
      <c r="D259">
        <v>113</v>
      </c>
      <c r="E259">
        <v>122</v>
      </c>
      <c r="F259">
        <v>140</v>
      </c>
      <c r="G259">
        <v>127</v>
      </c>
      <c r="H259" t="s">
        <v>102</v>
      </c>
      <c r="I259">
        <v>10</v>
      </c>
      <c r="J259">
        <v>1</v>
      </c>
      <c r="K259">
        <v>0</v>
      </c>
      <c r="L259">
        <v>0</v>
      </c>
      <c r="N259" t="s">
        <v>918</v>
      </c>
      <c r="O259" t="s">
        <v>27</v>
      </c>
      <c r="Q259">
        <v>3</v>
      </c>
      <c r="R259" t="b">
        <v>1</v>
      </c>
      <c r="S259" t="s">
        <v>119</v>
      </c>
      <c r="T259">
        <v>0</v>
      </c>
    </row>
    <row r="260" spans="1:20" x14ac:dyDescent="0.25">
      <c r="A260" t="s">
        <v>775</v>
      </c>
      <c r="B260">
        <v>16</v>
      </c>
      <c r="C260" t="s">
        <v>19</v>
      </c>
      <c r="D260">
        <v>140</v>
      </c>
      <c r="E260">
        <v>122</v>
      </c>
      <c r="F260">
        <v>169</v>
      </c>
      <c r="G260">
        <v>127</v>
      </c>
      <c r="H260" t="s">
        <v>102</v>
      </c>
      <c r="I260">
        <v>10</v>
      </c>
      <c r="J260">
        <v>1</v>
      </c>
      <c r="K260">
        <v>0</v>
      </c>
      <c r="L260">
        <v>0</v>
      </c>
      <c r="N260" t="s">
        <v>918</v>
      </c>
      <c r="O260" t="s">
        <v>27</v>
      </c>
      <c r="Q260">
        <v>3</v>
      </c>
      <c r="R260" t="b">
        <v>1</v>
      </c>
      <c r="S260" t="s">
        <v>119</v>
      </c>
      <c r="T260">
        <v>0</v>
      </c>
    </row>
    <row r="261" spans="1:20" x14ac:dyDescent="0.25">
      <c r="A261" t="s">
        <v>776</v>
      </c>
      <c r="B261">
        <v>16</v>
      </c>
      <c r="C261" t="s">
        <v>19</v>
      </c>
      <c r="D261">
        <v>168</v>
      </c>
      <c r="E261">
        <v>122</v>
      </c>
      <c r="F261">
        <v>194</v>
      </c>
      <c r="G261">
        <v>127</v>
      </c>
      <c r="H261" t="s">
        <v>102</v>
      </c>
      <c r="I261">
        <v>10</v>
      </c>
      <c r="J261">
        <v>1</v>
      </c>
      <c r="K261">
        <v>0</v>
      </c>
      <c r="L261">
        <v>0</v>
      </c>
      <c r="N261" t="s">
        <v>918</v>
      </c>
      <c r="O261" t="s">
        <v>27</v>
      </c>
      <c r="Q261">
        <v>3</v>
      </c>
      <c r="R261" t="b">
        <v>1</v>
      </c>
      <c r="S261" t="s">
        <v>119</v>
      </c>
      <c r="T261">
        <v>0</v>
      </c>
    </row>
    <row r="262" spans="1:20" x14ac:dyDescent="0.25">
      <c r="A262" t="s">
        <v>44</v>
      </c>
      <c r="B262">
        <v>16</v>
      </c>
      <c r="C262" t="s">
        <v>25</v>
      </c>
      <c r="D262">
        <v>114</v>
      </c>
      <c r="E262">
        <v>120</v>
      </c>
      <c r="F262">
        <v>114</v>
      </c>
      <c r="G262">
        <v>168</v>
      </c>
      <c r="I262">
        <v>0.5</v>
      </c>
      <c r="J262">
        <v>0</v>
      </c>
      <c r="K262">
        <v>0</v>
      </c>
      <c r="L262">
        <v>0</v>
      </c>
      <c r="M262" t="s">
        <v>21</v>
      </c>
      <c r="N262" t="s">
        <v>918</v>
      </c>
      <c r="O262" t="s">
        <v>25</v>
      </c>
      <c r="Q262">
        <v>4</v>
      </c>
      <c r="R262" t="b">
        <v>0</v>
      </c>
      <c r="S262" t="s">
        <v>119</v>
      </c>
      <c r="T262">
        <v>0</v>
      </c>
    </row>
    <row r="263" spans="1:20" x14ac:dyDescent="0.25">
      <c r="A263" t="s">
        <v>45</v>
      </c>
      <c r="B263">
        <v>16</v>
      </c>
      <c r="C263" t="s">
        <v>25</v>
      </c>
      <c r="D263">
        <v>141</v>
      </c>
      <c r="E263">
        <v>120</v>
      </c>
      <c r="F263">
        <v>141</v>
      </c>
      <c r="G263">
        <v>168</v>
      </c>
      <c r="I263">
        <v>0.5</v>
      </c>
      <c r="J263">
        <v>0</v>
      </c>
      <c r="K263">
        <v>0</v>
      </c>
      <c r="L263">
        <v>0</v>
      </c>
      <c r="M263" t="s">
        <v>21</v>
      </c>
      <c r="N263" t="s">
        <v>918</v>
      </c>
      <c r="O263" t="s">
        <v>25</v>
      </c>
      <c r="Q263">
        <v>4</v>
      </c>
      <c r="R263" t="b">
        <v>0</v>
      </c>
      <c r="S263" t="s">
        <v>119</v>
      </c>
      <c r="T263">
        <v>0</v>
      </c>
    </row>
    <row r="264" spans="1:20" x14ac:dyDescent="0.25">
      <c r="A264" t="s">
        <v>46</v>
      </c>
      <c r="B264">
        <v>16</v>
      </c>
      <c r="C264" t="s">
        <v>25</v>
      </c>
      <c r="D264">
        <v>168</v>
      </c>
      <c r="E264">
        <v>120</v>
      </c>
      <c r="F264">
        <v>168</v>
      </c>
      <c r="G264">
        <v>168</v>
      </c>
      <c r="I264">
        <v>0.5</v>
      </c>
      <c r="J264">
        <v>0</v>
      </c>
      <c r="K264">
        <v>0</v>
      </c>
      <c r="L264">
        <v>0</v>
      </c>
      <c r="M264" t="s">
        <v>21</v>
      </c>
      <c r="N264" t="s">
        <v>918</v>
      </c>
      <c r="O264" t="s">
        <v>25</v>
      </c>
      <c r="Q264">
        <v>4</v>
      </c>
      <c r="R264" t="b">
        <v>0</v>
      </c>
      <c r="S264" t="s">
        <v>119</v>
      </c>
      <c r="T264">
        <v>0</v>
      </c>
    </row>
    <row r="265" spans="1:20" x14ac:dyDescent="0.25">
      <c r="A265" t="s">
        <v>55</v>
      </c>
      <c r="B265">
        <v>16</v>
      </c>
      <c r="C265" t="s">
        <v>25</v>
      </c>
      <c r="D265">
        <v>14</v>
      </c>
      <c r="E265">
        <v>147</v>
      </c>
      <c r="F265">
        <v>196</v>
      </c>
      <c r="G265">
        <v>147</v>
      </c>
      <c r="I265">
        <v>0.5</v>
      </c>
      <c r="J265">
        <v>0</v>
      </c>
      <c r="K265">
        <v>0</v>
      </c>
      <c r="L265">
        <v>0</v>
      </c>
      <c r="M265" t="s">
        <v>21</v>
      </c>
      <c r="N265" t="s">
        <v>918</v>
      </c>
      <c r="O265" t="s">
        <v>25</v>
      </c>
      <c r="Q265">
        <v>4</v>
      </c>
      <c r="R265" t="b">
        <v>0</v>
      </c>
      <c r="S265" t="s">
        <v>119</v>
      </c>
      <c r="T265">
        <v>0</v>
      </c>
    </row>
    <row r="266" spans="1:20" x14ac:dyDescent="0.25">
      <c r="A266" t="s">
        <v>920</v>
      </c>
      <c r="B266">
        <v>16</v>
      </c>
      <c r="C266" t="s">
        <v>19</v>
      </c>
      <c r="D266">
        <v>14</v>
      </c>
      <c r="E266">
        <v>170</v>
      </c>
      <c r="F266">
        <v>196</v>
      </c>
      <c r="G266">
        <v>174</v>
      </c>
      <c r="H266" t="s">
        <v>102</v>
      </c>
      <c r="I266">
        <v>10</v>
      </c>
      <c r="J266">
        <v>0</v>
      </c>
      <c r="K266">
        <v>0</v>
      </c>
      <c r="L266">
        <v>0</v>
      </c>
      <c r="N266" t="s">
        <v>21</v>
      </c>
      <c r="O266" t="s">
        <v>22</v>
      </c>
      <c r="Q266">
        <v>2</v>
      </c>
      <c r="R266" t="b">
        <v>0</v>
      </c>
      <c r="S266" t="s">
        <v>119</v>
      </c>
      <c r="T266">
        <v>0</v>
      </c>
    </row>
    <row r="267" spans="1:20" ht="15.75" customHeight="1" x14ac:dyDescent="0.25">
      <c r="A267" t="s">
        <v>843</v>
      </c>
      <c r="B267">
        <v>16</v>
      </c>
      <c r="C267" t="s">
        <v>19</v>
      </c>
      <c r="D267">
        <v>14</v>
      </c>
      <c r="E267">
        <v>149</v>
      </c>
      <c r="F267">
        <v>112</v>
      </c>
      <c r="G267">
        <v>154</v>
      </c>
      <c r="H267" t="s">
        <v>102</v>
      </c>
      <c r="I267">
        <v>12</v>
      </c>
      <c r="J267">
        <v>0</v>
      </c>
      <c r="K267">
        <v>0</v>
      </c>
      <c r="L267">
        <v>0</v>
      </c>
      <c r="N267" t="s">
        <v>918</v>
      </c>
      <c r="O267" t="s">
        <v>25</v>
      </c>
      <c r="Q267">
        <v>3</v>
      </c>
      <c r="R267" t="b">
        <v>1</v>
      </c>
      <c r="S267" t="s">
        <v>119</v>
      </c>
      <c r="T267">
        <v>0</v>
      </c>
    </row>
    <row r="268" spans="1:20" x14ac:dyDescent="0.25">
      <c r="A268" t="s">
        <v>844</v>
      </c>
      <c r="B268">
        <v>16</v>
      </c>
      <c r="C268" t="s">
        <v>19</v>
      </c>
      <c r="D268">
        <v>113</v>
      </c>
      <c r="E268">
        <v>150</v>
      </c>
      <c r="F268">
        <v>140</v>
      </c>
      <c r="G268">
        <v>153</v>
      </c>
      <c r="H268" t="s">
        <v>20</v>
      </c>
      <c r="I268">
        <v>16</v>
      </c>
      <c r="J268">
        <v>1</v>
      </c>
      <c r="K268">
        <v>0</v>
      </c>
      <c r="L268">
        <v>0</v>
      </c>
      <c r="N268" t="s">
        <v>918</v>
      </c>
      <c r="O268" t="s">
        <v>27</v>
      </c>
      <c r="Q268">
        <v>2</v>
      </c>
      <c r="R268" t="b">
        <v>0</v>
      </c>
      <c r="S268" t="s">
        <v>119</v>
      </c>
      <c r="T268">
        <v>0</v>
      </c>
    </row>
    <row r="269" spans="1:20" x14ac:dyDescent="0.25">
      <c r="A269" t="s">
        <v>845</v>
      </c>
      <c r="B269">
        <v>16</v>
      </c>
      <c r="C269" t="s">
        <v>19</v>
      </c>
      <c r="D269">
        <v>140</v>
      </c>
      <c r="E269">
        <v>150</v>
      </c>
      <c r="F269">
        <v>169</v>
      </c>
      <c r="G269">
        <v>153</v>
      </c>
      <c r="H269" t="s">
        <v>20</v>
      </c>
      <c r="I269">
        <v>16</v>
      </c>
      <c r="J269">
        <v>1</v>
      </c>
      <c r="K269">
        <v>0</v>
      </c>
      <c r="L269">
        <v>0</v>
      </c>
      <c r="N269" t="s">
        <v>918</v>
      </c>
      <c r="O269" t="s">
        <v>27</v>
      </c>
      <c r="Q269">
        <v>2</v>
      </c>
      <c r="R269" t="b">
        <v>0</v>
      </c>
      <c r="S269" t="s">
        <v>119</v>
      </c>
      <c r="T269">
        <v>0</v>
      </c>
    </row>
    <row r="270" spans="1:20" x14ac:dyDescent="0.25">
      <c r="A270" t="s">
        <v>846</v>
      </c>
      <c r="B270">
        <v>16</v>
      </c>
      <c r="C270" t="s">
        <v>19</v>
      </c>
      <c r="D270">
        <v>168</v>
      </c>
      <c r="E270">
        <v>150</v>
      </c>
      <c r="F270">
        <v>194</v>
      </c>
      <c r="G270">
        <v>153</v>
      </c>
      <c r="H270" t="s">
        <v>20</v>
      </c>
      <c r="I270">
        <v>16</v>
      </c>
      <c r="J270">
        <v>1</v>
      </c>
      <c r="K270">
        <v>0</v>
      </c>
      <c r="L270">
        <v>0</v>
      </c>
      <c r="N270" t="s">
        <v>918</v>
      </c>
      <c r="O270" t="s">
        <v>27</v>
      </c>
      <c r="Q270">
        <v>2</v>
      </c>
      <c r="R270" t="b">
        <v>0</v>
      </c>
      <c r="S270" t="s">
        <v>119</v>
      </c>
      <c r="T270">
        <v>0</v>
      </c>
    </row>
    <row r="271" spans="1:20" x14ac:dyDescent="0.25">
      <c r="A271" t="s">
        <v>40</v>
      </c>
      <c r="B271">
        <v>17</v>
      </c>
      <c r="C271" t="s">
        <v>24</v>
      </c>
      <c r="D271">
        <v>14</v>
      </c>
      <c r="E271">
        <v>60</v>
      </c>
      <c r="F271">
        <v>196</v>
      </c>
      <c r="G271">
        <v>225</v>
      </c>
      <c r="I271">
        <v>0</v>
      </c>
      <c r="J271">
        <v>0</v>
      </c>
      <c r="K271">
        <v>0</v>
      </c>
      <c r="L271">
        <v>0</v>
      </c>
      <c r="N271" t="s">
        <v>21</v>
      </c>
      <c r="O271" t="s">
        <v>25</v>
      </c>
      <c r="Q271">
        <v>2</v>
      </c>
      <c r="R271" t="b">
        <v>0</v>
      </c>
      <c r="S271" t="s">
        <v>119</v>
      </c>
      <c r="T271">
        <v>0</v>
      </c>
    </row>
    <row r="272" spans="1:20" x14ac:dyDescent="0.25">
      <c r="A272" t="s">
        <v>858</v>
      </c>
      <c r="B272">
        <v>17</v>
      </c>
      <c r="C272" t="s">
        <v>19</v>
      </c>
      <c r="D272">
        <v>30</v>
      </c>
      <c r="E272">
        <v>233</v>
      </c>
      <c r="F272">
        <v>180</v>
      </c>
      <c r="G272">
        <v>241</v>
      </c>
      <c r="H272" t="s">
        <v>102</v>
      </c>
      <c r="I272">
        <v>16</v>
      </c>
      <c r="J272">
        <v>0</v>
      </c>
      <c r="K272">
        <v>0</v>
      </c>
      <c r="L272">
        <v>0</v>
      </c>
      <c r="M272" t="s">
        <v>884</v>
      </c>
      <c r="N272" t="s">
        <v>21</v>
      </c>
      <c r="O272" t="s">
        <v>27</v>
      </c>
      <c r="Q272">
        <v>2</v>
      </c>
      <c r="R272" t="b">
        <v>1</v>
      </c>
      <c r="S272" t="s">
        <v>119</v>
      </c>
      <c r="T272">
        <v>0</v>
      </c>
    </row>
    <row r="273" spans="1:20" x14ac:dyDescent="0.25">
      <c r="A273" t="s">
        <v>888</v>
      </c>
      <c r="B273">
        <v>18</v>
      </c>
      <c r="C273" t="s">
        <v>19</v>
      </c>
      <c r="D273">
        <v>14</v>
      </c>
      <c r="E273">
        <v>20</v>
      </c>
      <c r="F273">
        <v>196</v>
      </c>
      <c r="G273">
        <v>25</v>
      </c>
      <c r="H273" t="s">
        <v>102</v>
      </c>
      <c r="I273">
        <v>14</v>
      </c>
      <c r="J273">
        <v>1</v>
      </c>
      <c r="K273">
        <v>0</v>
      </c>
      <c r="L273">
        <v>0</v>
      </c>
      <c r="N273" t="s">
        <v>21</v>
      </c>
      <c r="O273" t="s">
        <v>25</v>
      </c>
      <c r="Q273">
        <v>2</v>
      </c>
      <c r="R273" t="b">
        <v>1</v>
      </c>
      <c r="S273" t="s">
        <v>119</v>
      </c>
      <c r="T273">
        <v>0</v>
      </c>
    </row>
    <row r="274" spans="1:20" x14ac:dyDescent="0.25">
      <c r="A274" t="s">
        <v>878</v>
      </c>
      <c r="B274">
        <v>18</v>
      </c>
      <c r="C274" t="s">
        <v>19</v>
      </c>
      <c r="D274">
        <v>14</v>
      </c>
      <c r="E274">
        <v>33</v>
      </c>
      <c r="F274">
        <v>196</v>
      </c>
      <c r="G274">
        <v>38</v>
      </c>
      <c r="H274" t="s">
        <v>102</v>
      </c>
      <c r="I274">
        <v>12</v>
      </c>
      <c r="J274">
        <v>0</v>
      </c>
      <c r="K274">
        <v>0</v>
      </c>
      <c r="L274">
        <v>0</v>
      </c>
      <c r="N274" t="s">
        <v>21</v>
      </c>
      <c r="O274" t="s">
        <v>25</v>
      </c>
      <c r="Q274">
        <v>2</v>
      </c>
      <c r="R274" t="b">
        <v>1</v>
      </c>
      <c r="T274">
        <v>0</v>
      </c>
    </row>
    <row r="275" spans="1:20" x14ac:dyDescent="0.25">
      <c r="A275" t="s">
        <v>847</v>
      </c>
      <c r="B275">
        <v>18</v>
      </c>
      <c r="C275" t="s">
        <v>26</v>
      </c>
      <c r="D275">
        <v>0</v>
      </c>
      <c r="E275">
        <v>120</v>
      </c>
      <c r="F275">
        <v>210</v>
      </c>
      <c r="G275">
        <v>213</v>
      </c>
      <c r="I275">
        <v>0</v>
      </c>
      <c r="J275">
        <v>1</v>
      </c>
      <c r="K275">
        <v>0</v>
      </c>
      <c r="L275">
        <v>0</v>
      </c>
      <c r="M275" t="s">
        <v>918</v>
      </c>
      <c r="N275" t="s">
        <v>918</v>
      </c>
      <c r="O275" t="s">
        <v>25</v>
      </c>
      <c r="Q275">
        <v>1</v>
      </c>
      <c r="R275" t="b">
        <v>0</v>
      </c>
      <c r="S275" t="s">
        <v>119</v>
      </c>
      <c r="T275">
        <v>0</v>
      </c>
    </row>
    <row r="276" spans="1:20" x14ac:dyDescent="0.25">
      <c r="A276" t="s">
        <v>848</v>
      </c>
      <c r="B276">
        <v>18</v>
      </c>
      <c r="C276" t="s">
        <v>19</v>
      </c>
      <c r="D276">
        <v>14</v>
      </c>
      <c r="E276">
        <v>125</v>
      </c>
      <c r="F276">
        <v>196</v>
      </c>
      <c r="G276">
        <v>128</v>
      </c>
      <c r="H276" t="s">
        <v>102</v>
      </c>
      <c r="I276">
        <v>12</v>
      </c>
      <c r="J276">
        <v>1</v>
      </c>
      <c r="K276">
        <v>0</v>
      </c>
      <c r="L276">
        <v>0</v>
      </c>
      <c r="N276" t="s">
        <v>918</v>
      </c>
      <c r="O276" t="s">
        <v>25</v>
      </c>
      <c r="Q276">
        <v>3</v>
      </c>
      <c r="R276" t="b">
        <v>0</v>
      </c>
      <c r="S276" t="s">
        <v>119</v>
      </c>
      <c r="T276">
        <v>0</v>
      </c>
    </row>
    <row r="277" spans="1:20" x14ac:dyDescent="0.25">
      <c r="A277" t="s">
        <v>774</v>
      </c>
      <c r="B277">
        <v>18</v>
      </c>
      <c r="C277" t="s">
        <v>19</v>
      </c>
      <c r="D277">
        <v>113</v>
      </c>
      <c r="E277">
        <v>122</v>
      </c>
      <c r="F277">
        <v>140</v>
      </c>
      <c r="G277">
        <v>127</v>
      </c>
      <c r="H277" t="s">
        <v>102</v>
      </c>
      <c r="I277">
        <v>10</v>
      </c>
      <c r="J277">
        <v>1</v>
      </c>
      <c r="K277">
        <v>0</v>
      </c>
      <c r="L277">
        <v>0</v>
      </c>
      <c r="N277" t="s">
        <v>918</v>
      </c>
      <c r="O277" t="s">
        <v>27</v>
      </c>
      <c r="Q277">
        <v>3</v>
      </c>
      <c r="R277" t="b">
        <v>1</v>
      </c>
      <c r="S277" t="s">
        <v>119</v>
      </c>
      <c r="T277">
        <v>0</v>
      </c>
    </row>
    <row r="278" spans="1:20" x14ac:dyDescent="0.25">
      <c r="A278" t="s">
        <v>775</v>
      </c>
      <c r="B278">
        <v>18</v>
      </c>
      <c r="C278" t="s">
        <v>19</v>
      </c>
      <c r="D278">
        <v>140</v>
      </c>
      <c r="E278">
        <v>122</v>
      </c>
      <c r="F278">
        <v>169</v>
      </c>
      <c r="G278">
        <v>127</v>
      </c>
      <c r="H278" t="s">
        <v>102</v>
      </c>
      <c r="I278">
        <v>10</v>
      </c>
      <c r="J278">
        <v>1</v>
      </c>
      <c r="K278">
        <v>0</v>
      </c>
      <c r="L278">
        <v>0</v>
      </c>
      <c r="N278" t="s">
        <v>918</v>
      </c>
      <c r="O278" t="s">
        <v>27</v>
      </c>
      <c r="Q278">
        <v>3</v>
      </c>
      <c r="R278" t="b">
        <v>1</v>
      </c>
      <c r="S278" t="s">
        <v>119</v>
      </c>
      <c r="T278">
        <v>0</v>
      </c>
    </row>
    <row r="279" spans="1:20" x14ac:dyDescent="0.25">
      <c r="A279" t="s">
        <v>776</v>
      </c>
      <c r="B279">
        <v>18</v>
      </c>
      <c r="C279" t="s">
        <v>19</v>
      </c>
      <c r="D279">
        <v>168</v>
      </c>
      <c r="E279">
        <v>122</v>
      </c>
      <c r="F279">
        <v>194</v>
      </c>
      <c r="G279">
        <v>127</v>
      </c>
      <c r="H279" t="s">
        <v>102</v>
      </c>
      <c r="I279">
        <v>10</v>
      </c>
      <c r="J279">
        <v>1</v>
      </c>
      <c r="K279">
        <v>0</v>
      </c>
      <c r="L279">
        <v>0</v>
      </c>
      <c r="N279" t="s">
        <v>918</v>
      </c>
      <c r="O279" t="s">
        <v>27</v>
      </c>
      <c r="Q279">
        <v>3</v>
      </c>
      <c r="R279" t="b">
        <v>1</v>
      </c>
      <c r="S279" t="s">
        <v>119</v>
      </c>
      <c r="T279">
        <v>0</v>
      </c>
    </row>
    <row r="280" spans="1:20" x14ac:dyDescent="0.25">
      <c r="A280" t="s">
        <v>44</v>
      </c>
      <c r="B280">
        <v>18</v>
      </c>
      <c r="C280" t="s">
        <v>25</v>
      </c>
      <c r="D280">
        <v>114</v>
      </c>
      <c r="E280">
        <v>120</v>
      </c>
      <c r="F280">
        <v>114</v>
      </c>
      <c r="G280">
        <v>213</v>
      </c>
      <c r="I280">
        <v>0.5</v>
      </c>
      <c r="J280">
        <v>0</v>
      </c>
      <c r="K280">
        <v>0</v>
      </c>
      <c r="L280">
        <v>0</v>
      </c>
      <c r="M280" t="s">
        <v>21</v>
      </c>
      <c r="N280" t="s">
        <v>918</v>
      </c>
      <c r="O280" t="s">
        <v>25</v>
      </c>
      <c r="Q280">
        <v>4</v>
      </c>
      <c r="R280" t="b">
        <v>0</v>
      </c>
      <c r="S280" t="s">
        <v>119</v>
      </c>
      <c r="T280">
        <v>0</v>
      </c>
    </row>
    <row r="281" spans="1:20" x14ac:dyDescent="0.25">
      <c r="A281" t="s">
        <v>45</v>
      </c>
      <c r="B281">
        <v>18</v>
      </c>
      <c r="C281" t="s">
        <v>25</v>
      </c>
      <c r="D281">
        <v>141</v>
      </c>
      <c r="E281">
        <v>120</v>
      </c>
      <c r="F281">
        <v>141</v>
      </c>
      <c r="G281">
        <v>213</v>
      </c>
      <c r="I281">
        <v>0.5</v>
      </c>
      <c r="J281">
        <v>0</v>
      </c>
      <c r="K281">
        <v>0</v>
      </c>
      <c r="L281">
        <v>0</v>
      </c>
      <c r="M281" t="s">
        <v>21</v>
      </c>
      <c r="N281" t="s">
        <v>918</v>
      </c>
      <c r="O281" t="s">
        <v>25</v>
      </c>
      <c r="Q281">
        <v>4</v>
      </c>
      <c r="R281" t="b">
        <v>0</v>
      </c>
      <c r="S281" t="s">
        <v>119</v>
      </c>
      <c r="T281">
        <v>0</v>
      </c>
    </row>
    <row r="282" spans="1:20" x14ac:dyDescent="0.25">
      <c r="A282" t="s">
        <v>46</v>
      </c>
      <c r="B282">
        <v>18</v>
      </c>
      <c r="C282" t="s">
        <v>25</v>
      </c>
      <c r="D282">
        <v>168</v>
      </c>
      <c r="E282">
        <v>120</v>
      </c>
      <c r="F282">
        <v>168</v>
      </c>
      <c r="G282">
        <v>213</v>
      </c>
      <c r="I282">
        <v>0.5</v>
      </c>
      <c r="J282">
        <v>0</v>
      </c>
      <c r="K282">
        <v>0</v>
      </c>
      <c r="L282">
        <v>0</v>
      </c>
      <c r="M282" t="s">
        <v>21</v>
      </c>
      <c r="N282" t="s">
        <v>918</v>
      </c>
      <c r="O282" t="s">
        <v>25</v>
      </c>
      <c r="Q282">
        <v>4</v>
      </c>
      <c r="R282" t="b">
        <v>0</v>
      </c>
      <c r="S282" t="s">
        <v>119</v>
      </c>
      <c r="T282">
        <v>0</v>
      </c>
    </row>
    <row r="283" spans="1:20" x14ac:dyDescent="0.25">
      <c r="A283" t="s">
        <v>55</v>
      </c>
      <c r="B283">
        <v>18</v>
      </c>
      <c r="C283" t="s">
        <v>25</v>
      </c>
      <c r="D283">
        <v>14</v>
      </c>
      <c r="E283">
        <v>147</v>
      </c>
      <c r="F283">
        <v>196</v>
      </c>
      <c r="G283">
        <v>147</v>
      </c>
      <c r="I283">
        <v>0.5</v>
      </c>
      <c r="J283">
        <v>0</v>
      </c>
      <c r="K283">
        <v>0</v>
      </c>
      <c r="L283">
        <v>0</v>
      </c>
      <c r="M283" t="s">
        <v>21</v>
      </c>
      <c r="N283" t="s">
        <v>918</v>
      </c>
      <c r="O283" t="s">
        <v>25</v>
      </c>
      <c r="Q283">
        <v>4</v>
      </c>
      <c r="R283" t="b">
        <v>0</v>
      </c>
      <c r="S283" t="s">
        <v>119</v>
      </c>
      <c r="T283">
        <v>0</v>
      </c>
    </row>
    <row r="284" spans="1:20" x14ac:dyDescent="0.25">
      <c r="A284" t="s">
        <v>920</v>
      </c>
      <c r="B284">
        <v>18</v>
      </c>
      <c r="C284" t="s">
        <v>19</v>
      </c>
      <c r="D284">
        <v>14</v>
      </c>
      <c r="E284">
        <v>215</v>
      </c>
      <c r="F284">
        <v>196</v>
      </c>
      <c r="G284">
        <v>219</v>
      </c>
      <c r="H284" t="s">
        <v>102</v>
      </c>
      <c r="I284">
        <v>10</v>
      </c>
      <c r="J284">
        <v>0</v>
      </c>
      <c r="K284">
        <v>0</v>
      </c>
      <c r="L284">
        <v>0</v>
      </c>
      <c r="N284" t="s">
        <v>21</v>
      </c>
      <c r="O284" t="s">
        <v>22</v>
      </c>
      <c r="Q284">
        <v>2</v>
      </c>
      <c r="R284" t="b">
        <v>0</v>
      </c>
      <c r="S284" t="s">
        <v>119</v>
      </c>
      <c r="T284">
        <v>0</v>
      </c>
    </row>
    <row r="285" spans="1:20" x14ac:dyDescent="0.25">
      <c r="A285" t="s">
        <v>849</v>
      </c>
      <c r="B285">
        <v>18</v>
      </c>
      <c r="C285" t="s">
        <v>19</v>
      </c>
      <c r="D285">
        <v>16</v>
      </c>
      <c r="E285">
        <v>149</v>
      </c>
      <c r="F285">
        <v>112</v>
      </c>
      <c r="G285">
        <v>154</v>
      </c>
      <c r="H285" t="s">
        <v>102</v>
      </c>
      <c r="I285">
        <v>12</v>
      </c>
      <c r="J285">
        <v>0</v>
      </c>
      <c r="K285">
        <v>0</v>
      </c>
      <c r="L285">
        <v>0</v>
      </c>
      <c r="N285" t="s">
        <v>918</v>
      </c>
      <c r="O285" t="s">
        <v>25</v>
      </c>
      <c r="Q285">
        <v>3</v>
      </c>
      <c r="R285" t="b">
        <v>1</v>
      </c>
      <c r="S285" t="s">
        <v>119</v>
      </c>
      <c r="T285">
        <v>0</v>
      </c>
    </row>
    <row r="286" spans="1:20" x14ac:dyDescent="0.25">
      <c r="A286" t="s">
        <v>850</v>
      </c>
      <c r="B286">
        <v>18</v>
      </c>
      <c r="C286" t="s">
        <v>19</v>
      </c>
      <c r="D286">
        <v>113</v>
      </c>
      <c r="E286">
        <v>150</v>
      </c>
      <c r="F286">
        <v>140</v>
      </c>
      <c r="G286">
        <v>153</v>
      </c>
      <c r="H286" t="s">
        <v>20</v>
      </c>
      <c r="I286">
        <v>16</v>
      </c>
      <c r="J286">
        <v>1</v>
      </c>
      <c r="K286">
        <v>0</v>
      </c>
      <c r="L286">
        <v>0</v>
      </c>
      <c r="N286" t="s">
        <v>918</v>
      </c>
      <c r="O286" t="s">
        <v>27</v>
      </c>
      <c r="Q286">
        <v>2</v>
      </c>
      <c r="R286" t="b">
        <v>0</v>
      </c>
      <c r="S286" t="s">
        <v>119</v>
      </c>
      <c r="T286">
        <v>0</v>
      </c>
    </row>
    <row r="287" spans="1:20" x14ac:dyDescent="0.25">
      <c r="A287" t="s">
        <v>851</v>
      </c>
      <c r="B287">
        <v>18</v>
      </c>
      <c r="C287" t="s">
        <v>19</v>
      </c>
      <c r="D287">
        <v>140</v>
      </c>
      <c r="E287">
        <v>150</v>
      </c>
      <c r="F287">
        <v>169</v>
      </c>
      <c r="G287">
        <v>153</v>
      </c>
      <c r="H287" t="s">
        <v>20</v>
      </c>
      <c r="I287">
        <v>16</v>
      </c>
      <c r="J287">
        <v>1</v>
      </c>
      <c r="K287">
        <v>0</v>
      </c>
      <c r="L287">
        <v>0</v>
      </c>
      <c r="N287" t="s">
        <v>918</v>
      </c>
      <c r="O287" t="s">
        <v>27</v>
      </c>
      <c r="Q287">
        <v>2</v>
      </c>
      <c r="R287" t="b">
        <v>0</v>
      </c>
      <c r="S287" t="s">
        <v>119</v>
      </c>
      <c r="T287">
        <v>0</v>
      </c>
    </row>
    <row r="288" spans="1:20" x14ac:dyDescent="0.25">
      <c r="A288" t="s">
        <v>852</v>
      </c>
      <c r="B288">
        <v>18</v>
      </c>
      <c r="C288" t="s">
        <v>19</v>
      </c>
      <c r="D288">
        <v>168</v>
      </c>
      <c r="E288">
        <v>150</v>
      </c>
      <c r="F288">
        <v>194</v>
      </c>
      <c r="G288">
        <v>153</v>
      </c>
      <c r="H288" t="s">
        <v>20</v>
      </c>
      <c r="I288">
        <v>16</v>
      </c>
      <c r="J288">
        <v>1</v>
      </c>
      <c r="K288">
        <v>0</v>
      </c>
      <c r="L288">
        <v>0</v>
      </c>
      <c r="N288" t="s">
        <v>918</v>
      </c>
      <c r="O288" t="s">
        <v>27</v>
      </c>
      <c r="Q288">
        <v>2</v>
      </c>
      <c r="R288" t="b">
        <v>0</v>
      </c>
      <c r="S288" t="s">
        <v>119</v>
      </c>
      <c r="T288">
        <v>0</v>
      </c>
    </row>
    <row r="289" spans="1:20" x14ac:dyDescent="0.25">
      <c r="A289" t="s">
        <v>853</v>
      </c>
      <c r="B289">
        <v>18</v>
      </c>
      <c r="C289" t="s">
        <v>19</v>
      </c>
      <c r="D289">
        <v>16</v>
      </c>
      <c r="E289">
        <v>164</v>
      </c>
      <c r="F289">
        <v>112</v>
      </c>
      <c r="G289">
        <v>169</v>
      </c>
      <c r="H289" t="s">
        <v>102</v>
      </c>
      <c r="I289">
        <v>12</v>
      </c>
      <c r="J289">
        <v>0</v>
      </c>
      <c r="K289">
        <v>0</v>
      </c>
      <c r="L289">
        <v>0</v>
      </c>
      <c r="N289" t="s">
        <v>918</v>
      </c>
      <c r="O289" t="s">
        <v>25</v>
      </c>
      <c r="Q289">
        <v>3</v>
      </c>
      <c r="R289" t="b">
        <v>1</v>
      </c>
      <c r="S289" t="s">
        <v>119</v>
      </c>
      <c r="T289">
        <v>0</v>
      </c>
    </row>
    <row r="290" spans="1:20" x14ac:dyDescent="0.25">
      <c r="A290" t="s">
        <v>854</v>
      </c>
      <c r="B290">
        <v>18</v>
      </c>
      <c r="C290" t="s">
        <v>19</v>
      </c>
      <c r="D290">
        <v>113</v>
      </c>
      <c r="E290">
        <v>165</v>
      </c>
      <c r="F290">
        <v>140</v>
      </c>
      <c r="G290">
        <v>168</v>
      </c>
      <c r="H290" t="s">
        <v>20</v>
      </c>
      <c r="I290">
        <v>16</v>
      </c>
      <c r="J290">
        <v>1</v>
      </c>
      <c r="K290">
        <v>0</v>
      </c>
      <c r="L290">
        <v>0</v>
      </c>
      <c r="N290" t="s">
        <v>918</v>
      </c>
      <c r="O290" t="s">
        <v>27</v>
      </c>
      <c r="Q290">
        <v>2</v>
      </c>
      <c r="R290" t="b">
        <v>0</v>
      </c>
      <c r="S290" t="s">
        <v>119</v>
      </c>
      <c r="T290">
        <v>0</v>
      </c>
    </row>
    <row r="291" spans="1:20" x14ac:dyDescent="0.25">
      <c r="A291" t="s">
        <v>855</v>
      </c>
      <c r="B291">
        <v>18</v>
      </c>
      <c r="C291" t="s">
        <v>19</v>
      </c>
      <c r="D291">
        <v>140</v>
      </c>
      <c r="E291">
        <v>165</v>
      </c>
      <c r="F291">
        <v>169</v>
      </c>
      <c r="G291">
        <v>168</v>
      </c>
      <c r="H291" t="s">
        <v>20</v>
      </c>
      <c r="I291">
        <v>16</v>
      </c>
      <c r="J291">
        <v>1</v>
      </c>
      <c r="K291">
        <v>0</v>
      </c>
      <c r="L291">
        <v>0</v>
      </c>
      <c r="N291" t="s">
        <v>918</v>
      </c>
      <c r="O291" t="s">
        <v>27</v>
      </c>
      <c r="Q291">
        <v>2</v>
      </c>
      <c r="R291" t="b">
        <v>0</v>
      </c>
      <c r="S291" t="s">
        <v>119</v>
      </c>
      <c r="T291">
        <v>0</v>
      </c>
    </row>
    <row r="292" spans="1:20" x14ac:dyDescent="0.25">
      <c r="A292" t="s">
        <v>856</v>
      </c>
      <c r="B292">
        <v>18</v>
      </c>
      <c r="C292" t="s">
        <v>19</v>
      </c>
      <c r="D292">
        <v>168</v>
      </c>
      <c r="E292">
        <v>165</v>
      </c>
      <c r="F292">
        <v>194</v>
      </c>
      <c r="G292">
        <v>168</v>
      </c>
      <c r="H292" t="s">
        <v>20</v>
      </c>
      <c r="I292">
        <v>16</v>
      </c>
      <c r="J292">
        <v>1</v>
      </c>
      <c r="K292">
        <v>0</v>
      </c>
      <c r="L292">
        <v>0</v>
      </c>
      <c r="N292" t="s">
        <v>918</v>
      </c>
      <c r="O292" t="s">
        <v>27</v>
      </c>
      <c r="Q292">
        <v>2</v>
      </c>
      <c r="R292" t="b">
        <v>0</v>
      </c>
      <c r="S292" t="s">
        <v>119</v>
      </c>
      <c r="T292">
        <v>0</v>
      </c>
    </row>
    <row r="293" spans="1:20" x14ac:dyDescent="0.25">
      <c r="A293" t="s">
        <v>880</v>
      </c>
      <c r="B293">
        <v>18</v>
      </c>
      <c r="C293" t="s">
        <v>19</v>
      </c>
      <c r="D293">
        <v>16</v>
      </c>
      <c r="E293">
        <v>179</v>
      </c>
      <c r="F293">
        <v>112</v>
      </c>
      <c r="G293">
        <v>184</v>
      </c>
      <c r="H293" t="s">
        <v>102</v>
      </c>
      <c r="I293">
        <v>12</v>
      </c>
      <c r="J293">
        <v>0</v>
      </c>
      <c r="K293">
        <v>0</v>
      </c>
      <c r="L293">
        <v>0</v>
      </c>
      <c r="N293" t="s">
        <v>918</v>
      </c>
      <c r="O293" t="s">
        <v>25</v>
      </c>
      <c r="Q293">
        <v>3</v>
      </c>
      <c r="R293" t="b">
        <v>1</v>
      </c>
      <c r="S293" t="s">
        <v>119</v>
      </c>
      <c r="T293">
        <v>0</v>
      </c>
    </row>
    <row r="294" spans="1:20" x14ac:dyDescent="0.25">
      <c r="A294" t="s">
        <v>881</v>
      </c>
      <c r="B294">
        <v>18</v>
      </c>
      <c r="C294" t="s">
        <v>19</v>
      </c>
      <c r="D294">
        <v>113</v>
      </c>
      <c r="E294">
        <v>180</v>
      </c>
      <c r="F294">
        <v>140</v>
      </c>
      <c r="G294">
        <v>183</v>
      </c>
      <c r="H294" t="s">
        <v>20</v>
      </c>
      <c r="I294">
        <v>16</v>
      </c>
      <c r="J294">
        <v>1</v>
      </c>
      <c r="K294">
        <v>0</v>
      </c>
      <c r="L294">
        <v>0</v>
      </c>
      <c r="N294" t="s">
        <v>918</v>
      </c>
      <c r="O294" t="s">
        <v>27</v>
      </c>
      <c r="Q294">
        <v>2</v>
      </c>
      <c r="R294" t="b">
        <v>0</v>
      </c>
      <c r="S294" t="s">
        <v>119</v>
      </c>
      <c r="T294">
        <v>0</v>
      </c>
    </row>
    <row r="295" spans="1:20" x14ac:dyDescent="0.25">
      <c r="A295" t="s">
        <v>882</v>
      </c>
      <c r="B295">
        <v>18</v>
      </c>
      <c r="C295" t="s">
        <v>19</v>
      </c>
      <c r="D295">
        <v>140</v>
      </c>
      <c r="E295">
        <v>180</v>
      </c>
      <c r="F295">
        <v>169</v>
      </c>
      <c r="G295">
        <v>183</v>
      </c>
      <c r="H295" t="s">
        <v>20</v>
      </c>
      <c r="I295">
        <v>16</v>
      </c>
      <c r="J295">
        <v>1</v>
      </c>
      <c r="K295">
        <v>0</v>
      </c>
      <c r="L295">
        <v>0</v>
      </c>
      <c r="N295" t="s">
        <v>918</v>
      </c>
      <c r="O295" t="s">
        <v>27</v>
      </c>
      <c r="Q295">
        <v>2</v>
      </c>
      <c r="R295" t="b">
        <v>0</v>
      </c>
      <c r="S295" t="s">
        <v>119</v>
      </c>
      <c r="T295">
        <v>0</v>
      </c>
    </row>
    <row r="296" spans="1:20" x14ac:dyDescent="0.25">
      <c r="A296" t="s">
        <v>883</v>
      </c>
      <c r="B296">
        <v>18</v>
      </c>
      <c r="C296" t="s">
        <v>19</v>
      </c>
      <c r="D296">
        <v>168</v>
      </c>
      <c r="E296">
        <v>180</v>
      </c>
      <c r="F296">
        <v>194</v>
      </c>
      <c r="G296">
        <v>183</v>
      </c>
      <c r="H296" t="s">
        <v>20</v>
      </c>
      <c r="I296">
        <v>16</v>
      </c>
      <c r="J296">
        <v>1</v>
      </c>
      <c r="K296">
        <v>0</v>
      </c>
      <c r="L296">
        <v>0</v>
      </c>
      <c r="N296" t="s">
        <v>918</v>
      </c>
      <c r="O296" t="s">
        <v>27</v>
      </c>
      <c r="Q296">
        <v>2</v>
      </c>
      <c r="R296" t="b">
        <v>0</v>
      </c>
      <c r="S296" t="s">
        <v>119</v>
      </c>
      <c r="T296">
        <v>0</v>
      </c>
    </row>
    <row r="297" spans="1:20" x14ac:dyDescent="0.25">
      <c r="A297" t="s">
        <v>5204</v>
      </c>
      <c r="B297">
        <v>18</v>
      </c>
      <c r="C297" t="s">
        <v>19</v>
      </c>
      <c r="D297">
        <v>16</v>
      </c>
      <c r="E297">
        <v>194</v>
      </c>
      <c r="F297">
        <v>112</v>
      </c>
      <c r="G297">
        <v>199</v>
      </c>
      <c r="H297" t="s">
        <v>102</v>
      </c>
      <c r="I297">
        <v>12</v>
      </c>
      <c r="J297">
        <v>0</v>
      </c>
      <c r="K297">
        <v>0</v>
      </c>
      <c r="L297">
        <v>0</v>
      </c>
      <c r="N297" t="s">
        <v>918</v>
      </c>
      <c r="O297" t="s">
        <v>25</v>
      </c>
      <c r="Q297">
        <v>3</v>
      </c>
      <c r="R297" t="b">
        <v>1</v>
      </c>
      <c r="S297" t="s">
        <v>119</v>
      </c>
      <c r="T297">
        <v>0</v>
      </c>
    </row>
    <row r="298" spans="1:20" x14ac:dyDescent="0.25">
      <c r="A298" t="s">
        <v>5205</v>
      </c>
      <c r="B298">
        <v>18</v>
      </c>
      <c r="C298" t="s">
        <v>19</v>
      </c>
      <c r="D298">
        <v>113</v>
      </c>
      <c r="E298">
        <v>195</v>
      </c>
      <c r="F298">
        <v>140</v>
      </c>
      <c r="G298">
        <v>198</v>
      </c>
      <c r="H298" t="s">
        <v>20</v>
      </c>
      <c r="I298">
        <v>16</v>
      </c>
      <c r="J298">
        <v>1</v>
      </c>
      <c r="K298">
        <v>0</v>
      </c>
      <c r="L298">
        <v>0</v>
      </c>
      <c r="N298" t="s">
        <v>918</v>
      </c>
      <c r="O298" t="s">
        <v>27</v>
      </c>
      <c r="Q298">
        <v>2</v>
      </c>
      <c r="R298" t="b">
        <v>0</v>
      </c>
      <c r="S298" t="s">
        <v>119</v>
      </c>
      <c r="T298">
        <v>0</v>
      </c>
    </row>
    <row r="299" spans="1:20" x14ac:dyDescent="0.25">
      <c r="A299" t="s">
        <v>5206</v>
      </c>
      <c r="B299">
        <v>18</v>
      </c>
      <c r="C299" t="s">
        <v>19</v>
      </c>
      <c r="D299">
        <v>140</v>
      </c>
      <c r="E299">
        <v>195</v>
      </c>
      <c r="F299">
        <v>169</v>
      </c>
      <c r="G299">
        <v>198</v>
      </c>
      <c r="H299" t="s">
        <v>20</v>
      </c>
      <c r="I299">
        <v>16</v>
      </c>
      <c r="J299">
        <v>1</v>
      </c>
      <c r="K299">
        <v>0</v>
      </c>
      <c r="L299">
        <v>0</v>
      </c>
      <c r="N299" t="s">
        <v>918</v>
      </c>
      <c r="O299" t="s">
        <v>27</v>
      </c>
      <c r="Q299">
        <v>2</v>
      </c>
      <c r="R299" t="b">
        <v>0</v>
      </c>
      <c r="S299" t="s">
        <v>119</v>
      </c>
      <c r="T299">
        <v>0</v>
      </c>
    </row>
    <row r="300" spans="1:20" x14ac:dyDescent="0.25">
      <c r="A300" t="s">
        <v>5207</v>
      </c>
      <c r="B300">
        <v>18</v>
      </c>
      <c r="C300" t="s">
        <v>19</v>
      </c>
      <c r="D300">
        <v>168</v>
      </c>
      <c r="E300">
        <v>195</v>
      </c>
      <c r="F300">
        <v>194</v>
      </c>
      <c r="G300">
        <v>198</v>
      </c>
      <c r="H300" t="s">
        <v>20</v>
      </c>
      <c r="I300">
        <v>16</v>
      </c>
      <c r="J300">
        <v>1</v>
      </c>
      <c r="K300">
        <v>0</v>
      </c>
      <c r="L300">
        <v>0</v>
      </c>
      <c r="N300" t="s">
        <v>918</v>
      </c>
      <c r="O300" t="s">
        <v>27</v>
      </c>
      <c r="Q300">
        <v>2</v>
      </c>
      <c r="R300" t="b">
        <v>0</v>
      </c>
      <c r="S300" t="s">
        <v>119</v>
      </c>
      <c r="T300">
        <v>0</v>
      </c>
    </row>
    <row r="301" spans="1:20" x14ac:dyDescent="0.25">
      <c r="A301" t="s">
        <v>5184</v>
      </c>
      <c r="B301">
        <v>19</v>
      </c>
      <c r="C301" t="s">
        <v>19</v>
      </c>
      <c r="D301">
        <v>14</v>
      </c>
      <c r="E301">
        <v>20</v>
      </c>
      <c r="F301">
        <v>180</v>
      </c>
      <c r="G301">
        <f>E301+5</f>
        <v>25</v>
      </c>
      <c r="H301" t="s">
        <v>102</v>
      </c>
      <c r="I301">
        <v>12</v>
      </c>
      <c r="J301">
        <v>1</v>
      </c>
      <c r="K301">
        <v>0</v>
      </c>
      <c r="L301">
        <v>0</v>
      </c>
      <c r="N301" t="s">
        <v>21</v>
      </c>
      <c r="O301" t="s">
        <v>25</v>
      </c>
      <c r="Q301">
        <v>3</v>
      </c>
      <c r="R301" t="b">
        <v>0</v>
      </c>
      <c r="S301" t="s">
        <v>119</v>
      </c>
      <c r="T301">
        <v>0</v>
      </c>
    </row>
    <row r="302" spans="1:20" x14ac:dyDescent="0.25">
      <c r="A302" t="s">
        <v>5182</v>
      </c>
      <c r="B302">
        <v>19</v>
      </c>
      <c r="C302" t="s">
        <v>24</v>
      </c>
      <c r="D302">
        <v>14</v>
      </c>
      <c r="E302">
        <v>60</v>
      </c>
      <c r="F302">
        <v>196</v>
      </c>
      <c r="G302">
        <f>INT(E302+(F302-D302)/11*10)</f>
        <v>225</v>
      </c>
      <c r="I302">
        <v>0</v>
      </c>
      <c r="J302">
        <v>0</v>
      </c>
      <c r="K302">
        <v>0</v>
      </c>
      <c r="L302">
        <v>0</v>
      </c>
      <c r="N302" t="s">
        <v>21</v>
      </c>
      <c r="O302" t="s">
        <v>25</v>
      </c>
      <c r="Q302">
        <v>2</v>
      </c>
      <c r="R302" t="b">
        <v>0</v>
      </c>
      <c r="S302" t="s">
        <v>119</v>
      </c>
      <c r="T302">
        <v>0</v>
      </c>
    </row>
    <row r="303" spans="1:20" x14ac:dyDescent="0.25">
      <c r="A303" t="s">
        <v>5183</v>
      </c>
      <c r="B303">
        <v>19</v>
      </c>
      <c r="C303" t="s">
        <v>19</v>
      </c>
      <c r="D303">
        <v>30</v>
      </c>
      <c r="E303">
        <f>G302+8</f>
        <v>233</v>
      </c>
      <c r="F303">
        <v>180</v>
      </c>
      <c r="G303">
        <f>E303+8</f>
        <v>241</v>
      </c>
      <c r="H303" t="s">
        <v>102</v>
      </c>
      <c r="I303">
        <v>16</v>
      </c>
      <c r="J303">
        <v>0</v>
      </c>
      <c r="K303">
        <v>0</v>
      </c>
      <c r="L303">
        <v>0</v>
      </c>
      <c r="M303" t="s">
        <v>884</v>
      </c>
      <c r="N303" t="s">
        <v>21</v>
      </c>
      <c r="O303" t="s">
        <v>27</v>
      </c>
      <c r="Q303">
        <v>2</v>
      </c>
      <c r="R303" t="b">
        <v>1</v>
      </c>
      <c r="S303" t="s">
        <v>119</v>
      </c>
      <c r="T303">
        <v>0</v>
      </c>
    </row>
    <row r="304" spans="1:20" x14ac:dyDescent="0.25">
      <c r="A304" t="s">
        <v>5188</v>
      </c>
      <c r="B304">
        <v>20</v>
      </c>
      <c r="C304" t="s">
        <v>19</v>
      </c>
      <c r="D304">
        <v>14</v>
      </c>
      <c r="E304">
        <v>20</v>
      </c>
      <c r="F304">
        <v>180</v>
      </c>
      <c r="G304">
        <f>E304+5</f>
        <v>25</v>
      </c>
      <c r="H304" t="s">
        <v>102</v>
      </c>
      <c r="I304">
        <v>12</v>
      </c>
      <c r="J304">
        <v>1</v>
      </c>
      <c r="K304">
        <v>0</v>
      </c>
      <c r="L304">
        <v>0</v>
      </c>
      <c r="N304" t="s">
        <v>21</v>
      </c>
      <c r="O304" t="s">
        <v>25</v>
      </c>
      <c r="Q304">
        <v>3</v>
      </c>
      <c r="R304" t="b">
        <v>0</v>
      </c>
      <c r="S304" t="s">
        <v>119</v>
      </c>
      <c r="T304">
        <v>0</v>
      </c>
    </row>
    <row r="305" spans="1:20" x14ac:dyDescent="0.25">
      <c r="A305" t="s">
        <v>5175</v>
      </c>
      <c r="B305">
        <v>20</v>
      </c>
      <c r="C305" t="s">
        <v>24</v>
      </c>
      <c r="D305">
        <v>14</v>
      </c>
      <c r="E305">
        <v>60</v>
      </c>
      <c r="F305">
        <v>196</v>
      </c>
      <c r="G305">
        <f>INT(E305+(F305-D305)/11*10)</f>
        <v>225</v>
      </c>
      <c r="I305">
        <v>0</v>
      </c>
      <c r="J305">
        <v>0</v>
      </c>
      <c r="K305">
        <v>0</v>
      </c>
      <c r="L305">
        <v>0</v>
      </c>
      <c r="N305" t="s">
        <v>21</v>
      </c>
      <c r="O305" t="s">
        <v>25</v>
      </c>
      <c r="Q305">
        <v>2</v>
      </c>
      <c r="R305" t="b">
        <v>0</v>
      </c>
      <c r="S305" t="s">
        <v>119</v>
      </c>
      <c r="T305">
        <v>0</v>
      </c>
    </row>
    <row r="306" spans="1:20" x14ac:dyDescent="0.25">
      <c r="A306" t="s">
        <v>5176</v>
      </c>
      <c r="B306">
        <v>20</v>
      </c>
      <c r="C306" t="s">
        <v>19</v>
      </c>
      <c r="D306">
        <v>30</v>
      </c>
      <c r="E306">
        <f>G305+8</f>
        <v>233</v>
      </c>
      <c r="F306">
        <v>180</v>
      </c>
      <c r="G306">
        <f>E306+8</f>
        <v>241</v>
      </c>
      <c r="H306" t="s">
        <v>102</v>
      </c>
      <c r="I306">
        <v>16</v>
      </c>
      <c r="J306">
        <v>0</v>
      </c>
      <c r="K306">
        <v>0</v>
      </c>
      <c r="L306">
        <v>0</v>
      </c>
      <c r="M306" t="s">
        <v>884</v>
      </c>
      <c r="N306" t="s">
        <v>21</v>
      </c>
      <c r="O306" t="s">
        <v>27</v>
      </c>
      <c r="Q306">
        <v>2</v>
      </c>
      <c r="R306" t="b">
        <v>1</v>
      </c>
      <c r="S306" t="s">
        <v>119</v>
      </c>
      <c r="T306">
        <v>0</v>
      </c>
    </row>
    <row r="307" spans="1:20" x14ac:dyDescent="0.25">
      <c r="A307" t="s">
        <v>895</v>
      </c>
      <c r="B307">
        <v>21</v>
      </c>
      <c r="C307" t="s">
        <v>19</v>
      </c>
      <c r="D307">
        <v>14</v>
      </c>
      <c r="E307">
        <v>20</v>
      </c>
      <c r="F307">
        <v>196</v>
      </c>
      <c r="G307">
        <v>25</v>
      </c>
      <c r="H307" t="s">
        <v>102</v>
      </c>
      <c r="I307">
        <v>14</v>
      </c>
      <c r="J307">
        <v>1</v>
      </c>
      <c r="K307">
        <v>0</v>
      </c>
      <c r="L307">
        <v>0</v>
      </c>
      <c r="N307" t="s">
        <v>21</v>
      </c>
      <c r="O307" t="s">
        <v>25</v>
      </c>
      <c r="Q307">
        <v>2</v>
      </c>
      <c r="R307" t="b">
        <v>1</v>
      </c>
      <c r="S307" t="s">
        <v>119</v>
      </c>
      <c r="T307">
        <v>0</v>
      </c>
    </row>
    <row r="308" spans="1:20" x14ac:dyDescent="0.25">
      <c r="A308" t="s">
        <v>896</v>
      </c>
      <c r="B308">
        <v>21</v>
      </c>
      <c r="C308" t="s">
        <v>19</v>
      </c>
      <c r="D308">
        <v>14</v>
      </c>
      <c r="E308">
        <v>33</v>
      </c>
      <c r="F308">
        <v>196</v>
      </c>
      <c r="G308">
        <v>38</v>
      </c>
      <c r="H308" t="s">
        <v>102</v>
      </c>
      <c r="I308">
        <v>12</v>
      </c>
      <c r="J308">
        <v>0</v>
      </c>
      <c r="K308">
        <v>0</v>
      </c>
      <c r="L308">
        <v>0</v>
      </c>
      <c r="N308" t="s">
        <v>21</v>
      </c>
      <c r="O308" t="s">
        <v>25</v>
      </c>
      <c r="Q308">
        <v>2</v>
      </c>
      <c r="R308" t="b">
        <v>1</v>
      </c>
      <c r="T308">
        <v>0</v>
      </c>
    </row>
    <row r="309" spans="1:20" x14ac:dyDescent="0.25">
      <c r="A309" t="s">
        <v>5213</v>
      </c>
      <c r="B309">
        <v>21</v>
      </c>
      <c r="C309" t="s">
        <v>26</v>
      </c>
      <c r="D309">
        <v>0</v>
      </c>
      <c r="E309">
        <v>75</v>
      </c>
      <c r="F309">
        <v>210</v>
      </c>
      <c r="G309">
        <v>123</v>
      </c>
      <c r="I309">
        <v>0</v>
      </c>
      <c r="J309">
        <v>1</v>
      </c>
      <c r="K309">
        <v>0</v>
      </c>
      <c r="L309">
        <v>0</v>
      </c>
      <c r="M309" t="s">
        <v>918</v>
      </c>
      <c r="N309" t="s">
        <v>918</v>
      </c>
      <c r="O309" t="s">
        <v>25</v>
      </c>
      <c r="Q309">
        <v>1</v>
      </c>
      <c r="R309" t="b">
        <v>0</v>
      </c>
      <c r="S309" t="s">
        <v>119</v>
      </c>
      <c r="T309">
        <v>0</v>
      </c>
    </row>
    <row r="310" spans="1:20" x14ac:dyDescent="0.25">
      <c r="A310" t="s">
        <v>5208</v>
      </c>
      <c r="B310">
        <v>21</v>
      </c>
      <c r="C310" t="s">
        <v>19</v>
      </c>
      <c r="D310">
        <v>14</v>
      </c>
      <c r="E310">
        <v>80</v>
      </c>
      <c r="F310">
        <v>196</v>
      </c>
      <c r="G310">
        <v>83</v>
      </c>
      <c r="H310" t="s">
        <v>102</v>
      </c>
      <c r="I310">
        <v>12</v>
      </c>
      <c r="J310">
        <v>1</v>
      </c>
      <c r="K310">
        <v>0</v>
      </c>
      <c r="L310">
        <v>0</v>
      </c>
      <c r="N310" t="s">
        <v>918</v>
      </c>
      <c r="O310" t="s">
        <v>25</v>
      </c>
      <c r="Q310">
        <v>3</v>
      </c>
      <c r="R310" t="b">
        <v>0</v>
      </c>
      <c r="S310" t="s">
        <v>119</v>
      </c>
      <c r="T310">
        <v>0</v>
      </c>
    </row>
    <row r="311" spans="1:20" x14ac:dyDescent="0.25">
      <c r="A311" t="s">
        <v>774</v>
      </c>
      <c r="B311">
        <v>21</v>
      </c>
      <c r="C311" t="s">
        <v>19</v>
      </c>
      <c r="D311">
        <v>113</v>
      </c>
      <c r="E311">
        <v>77</v>
      </c>
      <c r="F311">
        <v>140</v>
      </c>
      <c r="G311">
        <v>82</v>
      </c>
      <c r="H311" t="s">
        <v>102</v>
      </c>
      <c r="I311">
        <v>10</v>
      </c>
      <c r="J311">
        <v>1</v>
      </c>
      <c r="K311">
        <v>0</v>
      </c>
      <c r="L311">
        <v>0</v>
      </c>
      <c r="N311" t="s">
        <v>918</v>
      </c>
      <c r="O311" t="s">
        <v>27</v>
      </c>
      <c r="Q311">
        <v>3</v>
      </c>
      <c r="R311" t="b">
        <v>1</v>
      </c>
      <c r="S311" t="s">
        <v>119</v>
      </c>
      <c r="T311">
        <v>0</v>
      </c>
    </row>
    <row r="312" spans="1:20" x14ac:dyDescent="0.25">
      <c r="A312" t="s">
        <v>775</v>
      </c>
      <c r="B312">
        <v>21</v>
      </c>
      <c r="C312" t="s">
        <v>19</v>
      </c>
      <c r="D312">
        <v>140</v>
      </c>
      <c r="E312">
        <v>77</v>
      </c>
      <c r="F312">
        <v>169</v>
      </c>
      <c r="G312">
        <v>82</v>
      </c>
      <c r="H312" t="s">
        <v>102</v>
      </c>
      <c r="I312">
        <v>10</v>
      </c>
      <c r="J312">
        <v>1</v>
      </c>
      <c r="K312">
        <v>0</v>
      </c>
      <c r="L312">
        <v>0</v>
      </c>
      <c r="N312" t="s">
        <v>918</v>
      </c>
      <c r="O312" t="s">
        <v>27</v>
      </c>
      <c r="Q312">
        <v>3</v>
      </c>
      <c r="R312" t="b">
        <v>1</v>
      </c>
      <c r="S312" t="s">
        <v>119</v>
      </c>
      <c r="T312">
        <v>0</v>
      </c>
    </row>
    <row r="313" spans="1:20" x14ac:dyDescent="0.25">
      <c r="A313" t="s">
        <v>776</v>
      </c>
      <c r="B313">
        <v>21</v>
      </c>
      <c r="C313" t="s">
        <v>19</v>
      </c>
      <c r="D313">
        <v>168</v>
      </c>
      <c r="E313">
        <v>77</v>
      </c>
      <c r="F313">
        <v>194</v>
      </c>
      <c r="G313">
        <v>82</v>
      </c>
      <c r="H313" t="s">
        <v>102</v>
      </c>
      <c r="I313">
        <v>10</v>
      </c>
      <c r="J313">
        <v>1</v>
      </c>
      <c r="K313">
        <v>0</v>
      </c>
      <c r="L313">
        <v>0</v>
      </c>
      <c r="N313" t="s">
        <v>918</v>
      </c>
      <c r="O313" t="s">
        <v>27</v>
      </c>
      <c r="Q313">
        <v>3</v>
      </c>
      <c r="R313" t="b">
        <v>1</v>
      </c>
      <c r="S313" t="s">
        <v>119</v>
      </c>
      <c r="T313">
        <v>0</v>
      </c>
    </row>
    <row r="314" spans="1:20" x14ac:dyDescent="0.25">
      <c r="A314" t="s">
        <v>44</v>
      </c>
      <c r="B314">
        <v>21</v>
      </c>
      <c r="C314" t="s">
        <v>25</v>
      </c>
      <c r="D314">
        <v>114</v>
      </c>
      <c r="E314">
        <v>75</v>
      </c>
      <c r="F314">
        <v>114</v>
      </c>
      <c r="G314">
        <v>123</v>
      </c>
      <c r="I314">
        <v>0.5</v>
      </c>
      <c r="J314">
        <v>0</v>
      </c>
      <c r="K314">
        <v>0</v>
      </c>
      <c r="L314">
        <v>0</v>
      </c>
      <c r="M314" t="s">
        <v>21</v>
      </c>
      <c r="N314" t="s">
        <v>918</v>
      </c>
      <c r="O314" t="s">
        <v>25</v>
      </c>
      <c r="Q314">
        <v>4</v>
      </c>
      <c r="R314" t="b">
        <v>0</v>
      </c>
      <c r="S314" t="s">
        <v>119</v>
      </c>
      <c r="T314">
        <v>0</v>
      </c>
    </row>
    <row r="315" spans="1:20" x14ac:dyDescent="0.25">
      <c r="A315" t="s">
        <v>45</v>
      </c>
      <c r="B315">
        <v>21</v>
      </c>
      <c r="C315" t="s">
        <v>25</v>
      </c>
      <c r="D315">
        <v>141</v>
      </c>
      <c r="E315">
        <v>75</v>
      </c>
      <c r="F315">
        <v>141</v>
      </c>
      <c r="G315">
        <v>123</v>
      </c>
      <c r="I315">
        <v>0.5</v>
      </c>
      <c r="J315">
        <v>0</v>
      </c>
      <c r="K315">
        <v>0</v>
      </c>
      <c r="L315">
        <v>0</v>
      </c>
      <c r="M315" t="s">
        <v>21</v>
      </c>
      <c r="N315" t="s">
        <v>918</v>
      </c>
      <c r="O315" t="s">
        <v>25</v>
      </c>
      <c r="Q315">
        <v>4</v>
      </c>
      <c r="R315" t="b">
        <v>0</v>
      </c>
      <c r="S315" t="s">
        <v>119</v>
      </c>
      <c r="T315">
        <v>0</v>
      </c>
    </row>
    <row r="316" spans="1:20" x14ac:dyDescent="0.25">
      <c r="A316" t="s">
        <v>46</v>
      </c>
      <c r="B316">
        <v>21</v>
      </c>
      <c r="C316" t="s">
        <v>25</v>
      </c>
      <c r="D316">
        <v>168</v>
      </c>
      <c r="E316">
        <v>75</v>
      </c>
      <c r="F316">
        <v>168</v>
      </c>
      <c r="G316">
        <v>123</v>
      </c>
      <c r="I316">
        <v>0.5</v>
      </c>
      <c r="J316">
        <v>0</v>
      </c>
      <c r="K316">
        <v>0</v>
      </c>
      <c r="L316">
        <v>0</v>
      </c>
      <c r="M316" t="s">
        <v>21</v>
      </c>
      <c r="N316" t="s">
        <v>918</v>
      </c>
      <c r="O316" t="s">
        <v>25</v>
      </c>
      <c r="Q316">
        <v>4</v>
      </c>
      <c r="R316" t="b">
        <v>0</v>
      </c>
      <c r="S316" t="s">
        <v>119</v>
      </c>
      <c r="T316">
        <v>0</v>
      </c>
    </row>
    <row r="317" spans="1:20" x14ac:dyDescent="0.25">
      <c r="A317" t="s">
        <v>55</v>
      </c>
      <c r="B317">
        <v>21</v>
      </c>
      <c r="C317" t="s">
        <v>25</v>
      </c>
      <c r="D317">
        <v>14</v>
      </c>
      <c r="E317">
        <v>102</v>
      </c>
      <c r="F317">
        <v>196</v>
      </c>
      <c r="G317">
        <v>102</v>
      </c>
      <c r="I317">
        <v>0.5</v>
      </c>
      <c r="J317">
        <v>0</v>
      </c>
      <c r="K317">
        <v>0</v>
      </c>
      <c r="L317">
        <v>0</v>
      </c>
      <c r="M317" t="s">
        <v>21</v>
      </c>
      <c r="N317" t="s">
        <v>918</v>
      </c>
      <c r="O317" t="s">
        <v>25</v>
      </c>
      <c r="Q317">
        <v>4</v>
      </c>
      <c r="R317" t="b">
        <v>0</v>
      </c>
      <c r="S317" t="s">
        <v>119</v>
      </c>
      <c r="T317">
        <v>0</v>
      </c>
    </row>
    <row r="318" spans="1:20" x14ac:dyDescent="0.25">
      <c r="A318" t="s">
        <v>920</v>
      </c>
      <c r="B318">
        <v>21</v>
      </c>
      <c r="C318" t="s">
        <v>19</v>
      </c>
      <c r="D318">
        <v>14</v>
      </c>
      <c r="E318">
        <v>125</v>
      </c>
      <c r="F318">
        <v>196</v>
      </c>
      <c r="G318">
        <v>129</v>
      </c>
      <c r="H318" t="s">
        <v>102</v>
      </c>
      <c r="I318">
        <v>10</v>
      </c>
      <c r="J318">
        <v>0</v>
      </c>
      <c r="K318">
        <v>0</v>
      </c>
      <c r="L318">
        <v>0</v>
      </c>
      <c r="N318" t="s">
        <v>21</v>
      </c>
      <c r="O318" t="s">
        <v>22</v>
      </c>
      <c r="Q318">
        <v>2</v>
      </c>
      <c r="R318" t="b">
        <v>0</v>
      </c>
      <c r="S318" t="s">
        <v>119</v>
      </c>
      <c r="T318">
        <v>0</v>
      </c>
    </row>
    <row r="319" spans="1:20" x14ac:dyDescent="0.25">
      <c r="A319" t="s">
        <v>5209</v>
      </c>
      <c r="B319">
        <v>21</v>
      </c>
      <c r="C319" t="s">
        <v>19</v>
      </c>
      <c r="D319">
        <v>14</v>
      </c>
      <c r="E319">
        <v>104</v>
      </c>
      <c r="F319">
        <v>112</v>
      </c>
      <c r="G319">
        <v>109</v>
      </c>
      <c r="H319" t="s">
        <v>102</v>
      </c>
      <c r="I319">
        <v>12</v>
      </c>
      <c r="J319">
        <v>0</v>
      </c>
      <c r="K319">
        <v>0</v>
      </c>
      <c r="L319">
        <v>0</v>
      </c>
      <c r="N319" t="s">
        <v>918</v>
      </c>
      <c r="O319" t="s">
        <v>25</v>
      </c>
      <c r="Q319">
        <v>3</v>
      </c>
      <c r="R319" t="b">
        <v>1</v>
      </c>
      <c r="S319" t="s">
        <v>119</v>
      </c>
      <c r="T319">
        <v>0</v>
      </c>
    </row>
    <row r="320" spans="1:20" x14ac:dyDescent="0.25">
      <c r="A320" t="s">
        <v>5210</v>
      </c>
      <c r="B320">
        <v>21</v>
      </c>
      <c r="C320" t="s">
        <v>19</v>
      </c>
      <c r="D320">
        <v>113</v>
      </c>
      <c r="E320">
        <v>105</v>
      </c>
      <c r="F320">
        <v>140</v>
      </c>
      <c r="G320">
        <v>108</v>
      </c>
      <c r="H320" t="s">
        <v>20</v>
      </c>
      <c r="I320">
        <v>16</v>
      </c>
      <c r="J320">
        <v>1</v>
      </c>
      <c r="K320">
        <v>0</v>
      </c>
      <c r="L320">
        <v>0</v>
      </c>
      <c r="N320" t="s">
        <v>918</v>
      </c>
      <c r="O320" t="s">
        <v>27</v>
      </c>
      <c r="Q320">
        <v>2</v>
      </c>
      <c r="R320" t="b">
        <v>0</v>
      </c>
      <c r="S320" t="s">
        <v>119</v>
      </c>
      <c r="T320">
        <v>0</v>
      </c>
    </row>
    <row r="321" spans="1:20" x14ac:dyDescent="0.25">
      <c r="A321" t="s">
        <v>5211</v>
      </c>
      <c r="B321">
        <v>21</v>
      </c>
      <c r="C321" t="s">
        <v>19</v>
      </c>
      <c r="D321">
        <v>140</v>
      </c>
      <c r="E321">
        <v>105</v>
      </c>
      <c r="F321">
        <v>169</v>
      </c>
      <c r="G321">
        <v>108</v>
      </c>
      <c r="H321" t="s">
        <v>20</v>
      </c>
      <c r="I321">
        <v>16</v>
      </c>
      <c r="J321">
        <v>1</v>
      </c>
      <c r="K321">
        <v>0</v>
      </c>
      <c r="L321">
        <v>0</v>
      </c>
      <c r="N321" t="s">
        <v>918</v>
      </c>
      <c r="O321" t="s">
        <v>27</v>
      </c>
      <c r="Q321">
        <v>2</v>
      </c>
      <c r="R321" t="b">
        <v>0</v>
      </c>
      <c r="S321" t="s">
        <v>119</v>
      </c>
      <c r="T321">
        <v>0</v>
      </c>
    </row>
    <row r="322" spans="1:20" x14ac:dyDescent="0.25">
      <c r="A322" t="s">
        <v>5212</v>
      </c>
      <c r="B322">
        <v>21</v>
      </c>
      <c r="C322" t="s">
        <v>19</v>
      </c>
      <c r="D322">
        <v>168</v>
      </c>
      <c r="E322">
        <v>105</v>
      </c>
      <c r="F322">
        <v>194</v>
      </c>
      <c r="G322">
        <v>108</v>
      </c>
      <c r="H322" t="s">
        <v>20</v>
      </c>
      <c r="I322">
        <v>16</v>
      </c>
      <c r="J322">
        <v>1</v>
      </c>
      <c r="K322">
        <v>0</v>
      </c>
      <c r="L322">
        <v>0</v>
      </c>
      <c r="N322" t="s">
        <v>918</v>
      </c>
      <c r="O322" t="s">
        <v>27</v>
      </c>
      <c r="Q322">
        <v>2</v>
      </c>
      <c r="R322" t="b">
        <v>0</v>
      </c>
      <c r="S322" t="s">
        <v>119</v>
      </c>
      <c r="T322">
        <v>0</v>
      </c>
    </row>
    <row r="323" spans="1:20" x14ac:dyDescent="0.25">
      <c r="A323" t="s">
        <v>1027</v>
      </c>
      <c r="B323">
        <v>21</v>
      </c>
      <c r="C323" t="s">
        <v>24</v>
      </c>
      <c r="D323">
        <v>30</v>
      </c>
      <c r="E323">
        <v>130</v>
      </c>
      <c r="F323">
        <v>180</v>
      </c>
      <c r="G323">
        <v>280</v>
      </c>
      <c r="I323">
        <v>0</v>
      </c>
      <c r="J323">
        <v>0</v>
      </c>
      <c r="K323">
        <v>0</v>
      </c>
      <c r="L323">
        <v>0</v>
      </c>
      <c r="N323" t="s">
        <v>21</v>
      </c>
      <c r="O323" t="s">
        <v>25</v>
      </c>
      <c r="Q323">
        <v>0</v>
      </c>
      <c r="R323" t="b">
        <v>0</v>
      </c>
      <c r="S323" t="s">
        <v>119</v>
      </c>
      <c r="T323">
        <v>0</v>
      </c>
    </row>
    <row r="324" spans="1:20" x14ac:dyDescent="0.25">
      <c r="A324" t="s">
        <v>1028</v>
      </c>
      <c r="B324">
        <v>21</v>
      </c>
      <c r="C324" t="s">
        <v>19</v>
      </c>
      <c r="D324">
        <v>30</v>
      </c>
      <c r="E324">
        <v>130</v>
      </c>
      <c r="F324">
        <v>130</v>
      </c>
      <c r="G324">
        <v>280</v>
      </c>
      <c r="H324" t="s">
        <v>102</v>
      </c>
      <c r="I324">
        <v>12</v>
      </c>
      <c r="J324">
        <v>0</v>
      </c>
      <c r="K324">
        <v>1</v>
      </c>
      <c r="L324">
        <v>0</v>
      </c>
      <c r="N324" t="s">
        <v>21</v>
      </c>
      <c r="O324" t="s">
        <v>25</v>
      </c>
      <c r="Q324">
        <v>0</v>
      </c>
      <c r="R324" t="b">
        <v>1</v>
      </c>
      <c r="S324" t="s">
        <v>119</v>
      </c>
      <c r="T324">
        <v>0</v>
      </c>
    </row>
    <row r="325" spans="1:20" x14ac:dyDescent="0.25">
      <c r="A325" t="s">
        <v>1029</v>
      </c>
      <c r="B325">
        <v>21</v>
      </c>
      <c r="C325" t="s">
        <v>19</v>
      </c>
      <c r="D325">
        <v>30</v>
      </c>
      <c r="E325">
        <v>280</v>
      </c>
      <c r="F325">
        <v>180</v>
      </c>
      <c r="G325">
        <v>283</v>
      </c>
      <c r="H325" t="s">
        <v>102</v>
      </c>
      <c r="I325">
        <v>8</v>
      </c>
      <c r="J325">
        <v>0</v>
      </c>
      <c r="K325">
        <v>1</v>
      </c>
      <c r="L325">
        <v>0</v>
      </c>
      <c r="M325" t="s">
        <v>884</v>
      </c>
      <c r="N325" t="s">
        <v>21</v>
      </c>
      <c r="O325" t="s">
        <v>22</v>
      </c>
      <c r="Q325">
        <v>0</v>
      </c>
      <c r="R325" t="b">
        <v>1</v>
      </c>
      <c r="S325" t="s">
        <v>119</v>
      </c>
      <c r="T325">
        <v>0</v>
      </c>
    </row>
    <row r="326" spans="1:20" x14ac:dyDescent="0.25">
      <c r="A326" t="s">
        <v>5189</v>
      </c>
      <c r="B326">
        <v>22</v>
      </c>
      <c r="C326" t="s">
        <v>19</v>
      </c>
      <c r="D326">
        <v>14</v>
      </c>
      <c r="E326">
        <v>20</v>
      </c>
      <c r="F326">
        <v>180</v>
      </c>
      <c r="G326">
        <f>E326+5</f>
        <v>25</v>
      </c>
      <c r="H326" t="s">
        <v>102</v>
      </c>
      <c r="I326">
        <v>12</v>
      </c>
      <c r="J326">
        <v>1</v>
      </c>
      <c r="K326">
        <v>0</v>
      </c>
      <c r="L326">
        <v>0</v>
      </c>
      <c r="N326" t="s">
        <v>21</v>
      </c>
      <c r="O326" t="s">
        <v>25</v>
      </c>
      <c r="Q326">
        <v>3</v>
      </c>
      <c r="R326" t="b">
        <v>0</v>
      </c>
      <c r="S326" t="s">
        <v>119</v>
      </c>
      <c r="T326">
        <v>0</v>
      </c>
    </row>
    <row r="327" spans="1:20" x14ac:dyDescent="0.25">
      <c r="A327" t="s">
        <v>5193</v>
      </c>
      <c r="B327">
        <v>22</v>
      </c>
      <c r="C327" t="s">
        <v>24</v>
      </c>
      <c r="D327">
        <v>14</v>
      </c>
      <c r="E327">
        <v>60</v>
      </c>
      <c r="F327">
        <v>196</v>
      </c>
      <c r="G327">
        <f>INT(E327+(F327-D327)/11*10)</f>
        <v>225</v>
      </c>
      <c r="I327">
        <v>0</v>
      </c>
      <c r="J327">
        <v>0</v>
      </c>
      <c r="K327">
        <v>0</v>
      </c>
      <c r="L327">
        <v>0</v>
      </c>
      <c r="N327" t="s">
        <v>21</v>
      </c>
      <c r="O327" t="s">
        <v>25</v>
      </c>
      <c r="Q327">
        <v>2</v>
      </c>
      <c r="R327" t="b">
        <v>0</v>
      </c>
      <c r="S327" t="s">
        <v>119</v>
      </c>
      <c r="T327">
        <v>0</v>
      </c>
    </row>
    <row r="328" spans="1:20" x14ac:dyDescent="0.25">
      <c r="A328" t="s">
        <v>5191</v>
      </c>
      <c r="B328">
        <v>22</v>
      </c>
      <c r="C328" t="s">
        <v>19</v>
      </c>
      <c r="D328">
        <v>30</v>
      </c>
      <c r="E328">
        <f>G327+8</f>
        <v>233</v>
      </c>
      <c r="F328">
        <v>180</v>
      </c>
      <c r="G328">
        <f>E328+8</f>
        <v>241</v>
      </c>
      <c r="H328" t="s">
        <v>102</v>
      </c>
      <c r="I328">
        <v>16</v>
      </c>
      <c r="J328">
        <v>0</v>
      </c>
      <c r="K328">
        <v>0</v>
      </c>
      <c r="L328">
        <v>0</v>
      </c>
      <c r="M328" t="s">
        <v>884</v>
      </c>
      <c r="N328" t="s">
        <v>21</v>
      </c>
      <c r="O328" t="s">
        <v>27</v>
      </c>
      <c r="Q328">
        <v>2</v>
      </c>
      <c r="R328" t="b">
        <v>1</v>
      </c>
      <c r="S328" t="s">
        <v>119</v>
      </c>
      <c r="T328">
        <v>0</v>
      </c>
    </row>
    <row r="329" spans="1:20" x14ac:dyDescent="0.25">
      <c r="A329" t="s">
        <v>5177</v>
      </c>
      <c r="B329">
        <v>23</v>
      </c>
      <c r="C329" t="s">
        <v>19</v>
      </c>
      <c r="D329">
        <v>14</v>
      </c>
      <c r="E329">
        <v>20</v>
      </c>
      <c r="F329">
        <v>180</v>
      </c>
      <c r="G329">
        <f>E329+5</f>
        <v>25</v>
      </c>
      <c r="H329" t="s">
        <v>102</v>
      </c>
      <c r="I329">
        <v>12</v>
      </c>
      <c r="J329">
        <v>1</v>
      </c>
      <c r="K329">
        <v>0</v>
      </c>
      <c r="L329">
        <v>0</v>
      </c>
      <c r="N329" t="s">
        <v>21</v>
      </c>
      <c r="O329" t="s">
        <v>25</v>
      </c>
      <c r="Q329">
        <v>3</v>
      </c>
      <c r="R329" t="b">
        <v>0</v>
      </c>
      <c r="S329" t="s">
        <v>119</v>
      </c>
      <c r="T329">
        <v>0</v>
      </c>
    </row>
    <row r="330" spans="1:20" x14ac:dyDescent="0.25">
      <c r="A330" t="s">
        <v>5178</v>
      </c>
      <c r="B330">
        <v>23</v>
      </c>
      <c r="C330" t="s">
        <v>19</v>
      </c>
      <c r="D330">
        <v>14</v>
      </c>
      <c r="E330">
        <f>G329+8</f>
        <v>33</v>
      </c>
      <c r="F330">
        <v>196</v>
      </c>
      <c r="G330">
        <f>E330+5</f>
        <v>38</v>
      </c>
      <c r="H330" t="s">
        <v>102</v>
      </c>
      <c r="I330">
        <v>12</v>
      </c>
      <c r="J330">
        <v>0</v>
      </c>
      <c r="K330">
        <v>0</v>
      </c>
      <c r="L330">
        <v>0</v>
      </c>
      <c r="N330" t="s">
        <v>21</v>
      </c>
      <c r="O330" t="s">
        <v>25</v>
      </c>
      <c r="P330" s="1"/>
      <c r="Q330">
        <v>2</v>
      </c>
      <c r="R330" t="b">
        <v>1</v>
      </c>
      <c r="S330" t="s">
        <v>119</v>
      </c>
      <c r="T330">
        <v>0</v>
      </c>
    </row>
    <row r="331" spans="1:20" x14ac:dyDescent="0.25">
      <c r="A331" t="s">
        <v>5179</v>
      </c>
      <c r="B331">
        <v>23</v>
      </c>
      <c r="C331" t="s">
        <v>24</v>
      </c>
      <c r="D331">
        <v>14</v>
      </c>
      <c r="E331">
        <v>60</v>
      </c>
      <c r="F331">
        <v>196</v>
      </c>
      <c r="G331">
        <f>INT(E331+(F331-D331)/11*10)</f>
        <v>225</v>
      </c>
      <c r="I331">
        <v>0</v>
      </c>
      <c r="J331">
        <v>0</v>
      </c>
      <c r="K331">
        <v>0</v>
      </c>
      <c r="L331">
        <v>0</v>
      </c>
      <c r="N331" t="s">
        <v>21</v>
      </c>
      <c r="O331" t="s">
        <v>25</v>
      </c>
      <c r="Q331">
        <v>2</v>
      </c>
      <c r="R331" t="b">
        <v>0</v>
      </c>
      <c r="S331" t="s">
        <v>119</v>
      </c>
      <c r="T331">
        <v>0</v>
      </c>
    </row>
    <row r="332" spans="1:20" x14ac:dyDescent="0.25">
      <c r="A332" t="s">
        <v>5180</v>
      </c>
      <c r="B332">
        <v>23</v>
      </c>
      <c r="C332" t="s">
        <v>19</v>
      </c>
      <c r="D332">
        <v>14</v>
      </c>
      <c r="E332">
        <f>G331+8</f>
        <v>233</v>
      </c>
      <c r="F332">
        <v>196</v>
      </c>
      <c r="G332">
        <f>E332+8</f>
        <v>241</v>
      </c>
      <c r="H332" t="s">
        <v>102</v>
      </c>
      <c r="I332">
        <v>16</v>
      </c>
      <c r="J332">
        <v>0</v>
      </c>
      <c r="K332">
        <v>0</v>
      </c>
      <c r="L332">
        <v>0</v>
      </c>
      <c r="M332" t="s">
        <v>884</v>
      </c>
      <c r="N332" t="s">
        <v>21</v>
      </c>
      <c r="O332" t="s">
        <v>27</v>
      </c>
      <c r="Q332">
        <v>2</v>
      </c>
      <c r="R332" t="b">
        <v>1</v>
      </c>
      <c r="S332" t="s">
        <v>119</v>
      </c>
      <c r="T332">
        <v>0</v>
      </c>
    </row>
    <row r="333" spans="1:20" x14ac:dyDescent="0.25">
      <c r="A333" t="s">
        <v>127</v>
      </c>
      <c r="B333">
        <v>24</v>
      </c>
      <c r="C333" t="s">
        <v>19</v>
      </c>
      <c r="D333">
        <v>14</v>
      </c>
      <c r="E333">
        <v>20</v>
      </c>
      <c r="F333">
        <v>196</v>
      </c>
      <c r="G333">
        <v>25</v>
      </c>
      <c r="H333" t="s">
        <v>102</v>
      </c>
      <c r="I333">
        <v>14</v>
      </c>
      <c r="J333">
        <v>1</v>
      </c>
      <c r="K333">
        <v>0</v>
      </c>
      <c r="L333">
        <v>0</v>
      </c>
      <c r="N333" t="s">
        <v>21</v>
      </c>
      <c r="O333" t="s">
        <v>25</v>
      </c>
      <c r="Q333">
        <v>2</v>
      </c>
      <c r="R333" t="b">
        <v>1</v>
      </c>
      <c r="S333" t="s">
        <v>119</v>
      </c>
      <c r="T333">
        <v>0</v>
      </c>
    </row>
    <row r="334" spans="1:20" x14ac:dyDescent="0.25">
      <c r="A334" t="s">
        <v>5025</v>
      </c>
      <c r="B334">
        <v>24</v>
      </c>
      <c r="C334" t="s">
        <v>19</v>
      </c>
      <c r="D334">
        <v>14</v>
      </c>
      <c r="E334">
        <v>33</v>
      </c>
      <c r="F334">
        <v>196</v>
      </c>
      <c r="G334">
        <v>38</v>
      </c>
      <c r="H334" t="s">
        <v>102</v>
      </c>
      <c r="I334">
        <v>12</v>
      </c>
      <c r="J334">
        <v>0</v>
      </c>
      <c r="K334">
        <v>0</v>
      </c>
      <c r="L334">
        <v>0</v>
      </c>
      <c r="N334" t="s">
        <v>21</v>
      </c>
      <c r="O334" t="s">
        <v>25</v>
      </c>
      <c r="Q334">
        <v>2</v>
      </c>
      <c r="R334" t="b">
        <v>1</v>
      </c>
      <c r="T334">
        <v>0</v>
      </c>
    </row>
    <row r="335" spans="1:20" x14ac:dyDescent="0.25">
      <c r="A335" t="s">
        <v>29</v>
      </c>
      <c r="B335">
        <v>24</v>
      </c>
      <c r="C335" t="s">
        <v>25</v>
      </c>
      <c r="D335">
        <v>14</v>
      </c>
      <c r="E335">
        <v>200</v>
      </c>
      <c r="F335">
        <v>196</v>
      </c>
      <c r="G335">
        <v>200</v>
      </c>
      <c r="I335">
        <v>0</v>
      </c>
      <c r="J335">
        <v>0</v>
      </c>
      <c r="K335">
        <v>0</v>
      </c>
      <c r="L335">
        <v>0</v>
      </c>
      <c r="N335" t="s">
        <v>21</v>
      </c>
      <c r="O335" t="s">
        <v>25</v>
      </c>
      <c r="Q335">
        <v>2</v>
      </c>
      <c r="R335" t="b">
        <v>0</v>
      </c>
      <c r="S335" t="s">
        <v>119</v>
      </c>
      <c r="T335">
        <v>0</v>
      </c>
    </row>
    <row r="336" spans="1:20" x14ac:dyDescent="0.25">
      <c r="A336" t="s">
        <v>334</v>
      </c>
      <c r="B336">
        <v>24</v>
      </c>
      <c r="C336" t="s">
        <v>19</v>
      </c>
      <c r="D336">
        <v>14</v>
      </c>
      <c r="E336">
        <v>208</v>
      </c>
      <c r="F336">
        <v>196</v>
      </c>
      <c r="G336">
        <v>212</v>
      </c>
      <c r="H336" t="s">
        <v>102</v>
      </c>
      <c r="I336">
        <v>12</v>
      </c>
      <c r="J336">
        <v>1</v>
      </c>
      <c r="K336">
        <v>0</v>
      </c>
      <c r="L336">
        <v>0</v>
      </c>
      <c r="N336" t="s">
        <v>21</v>
      </c>
      <c r="O336" t="s">
        <v>25</v>
      </c>
      <c r="P336" s="1"/>
      <c r="Q336">
        <v>2</v>
      </c>
      <c r="R336" t="b">
        <v>1</v>
      </c>
      <c r="S336" t="s">
        <v>119</v>
      </c>
      <c r="T336">
        <v>0</v>
      </c>
    </row>
    <row r="337" spans="1:20" x14ac:dyDescent="0.25">
      <c r="A337" t="s">
        <v>666</v>
      </c>
      <c r="B337">
        <v>24</v>
      </c>
      <c r="C337" t="s">
        <v>19</v>
      </c>
      <c r="D337">
        <v>14</v>
      </c>
      <c r="E337">
        <v>214</v>
      </c>
      <c r="F337">
        <v>196</v>
      </c>
      <c r="G337">
        <v>218</v>
      </c>
      <c r="H337" t="s">
        <v>102</v>
      </c>
      <c r="I337">
        <v>10</v>
      </c>
      <c r="J337">
        <v>0</v>
      </c>
      <c r="K337">
        <v>0</v>
      </c>
      <c r="L337">
        <v>0</v>
      </c>
      <c r="N337" t="s">
        <v>21</v>
      </c>
      <c r="O337" t="s">
        <v>25</v>
      </c>
      <c r="P337" s="1"/>
      <c r="Q337">
        <v>2</v>
      </c>
      <c r="R337" t="b">
        <v>1</v>
      </c>
      <c r="S337" t="s">
        <v>119</v>
      </c>
      <c r="T337">
        <v>0</v>
      </c>
    </row>
    <row r="338" spans="1:20" ht="15" customHeight="1" x14ac:dyDescent="0.25">
      <c r="A338" t="s">
        <v>934</v>
      </c>
      <c r="B338">
        <v>24</v>
      </c>
      <c r="C338" t="s">
        <v>24</v>
      </c>
      <c r="D338">
        <v>14</v>
      </c>
      <c r="E338">
        <v>248</v>
      </c>
      <c r="F338">
        <v>24</v>
      </c>
      <c r="G338">
        <v>258</v>
      </c>
      <c r="I338">
        <v>12</v>
      </c>
      <c r="J338">
        <v>0</v>
      </c>
      <c r="K338">
        <v>0</v>
      </c>
      <c r="L338">
        <v>0</v>
      </c>
      <c r="M338" t="s">
        <v>935</v>
      </c>
      <c r="N338" t="s">
        <v>936</v>
      </c>
      <c r="O338" t="s">
        <v>25</v>
      </c>
      <c r="P338" s="5" t="s">
        <v>5274</v>
      </c>
      <c r="Q338">
        <v>2</v>
      </c>
      <c r="R338" t="b">
        <v>1</v>
      </c>
      <c r="T338">
        <v>0</v>
      </c>
    </row>
    <row r="339" spans="1:20" ht="15" customHeight="1" x14ac:dyDescent="0.25">
      <c r="A339" t="s">
        <v>937</v>
      </c>
      <c r="B339">
        <v>24</v>
      </c>
      <c r="C339" t="s">
        <v>24</v>
      </c>
      <c r="D339">
        <v>26</v>
      </c>
      <c r="E339">
        <v>248</v>
      </c>
      <c r="F339">
        <v>36</v>
      </c>
      <c r="G339">
        <v>258</v>
      </c>
      <c r="I339">
        <v>12</v>
      </c>
      <c r="J339">
        <v>0</v>
      </c>
      <c r="K339">
        <v>0</v>
      </c>
      <c r="L339">
        <v>0</v>
      </c>
      <c r="M339" t="s">
        <v>935</v>
      </c>
      <c r="N339" t="s">
        <v>936</v>
      </c>
      <c r="O339" t="s">
        <v>25</v>
      </c>
      <c r="P339" s="5" t="s">
        <v>5275</v>
      </c>
      <c r="Q339">
        <v>2</v>
      </c>
      <c r="R339" t="b">
        <v>1</v>
      </c>
      <c r="T339">
        <v>0</v>
      </c>
    </row>
    <row r="340" spans="1:20" ht="15" customHeight="1" x14ac:dyDescent="0.25">
      <c r="A340" t="s">
        <v>938</v>
      </c>
      <c r="B340">
        <v>24</v>
      </c>
      <c r="C340" t="s">
        <v>24</v>
      </c>
      <c r="D340">
        <v>38</v>
      </c>
      <c r="E340">
        <v>248</v>
      </c>
      <c r="F340">
        <v>48</v>
      </c>
      <c r="G340">
        <v>258</v>
      </c>
      <c r="I340">
        <v>12</v>
      </c>
      <c r="J340">
        <v>0</v>
      </c>
      <c r="K340">
        <v>0</v>
      </c>
      <c r="L340">
        <v>0</v>
      </c>
      <c r="M340" t="s">
        <v>935</v>
      </c>
      <c r="N340" t="s">
        <v>936</v>
      </c>
      <c r="O340" t="s">
        <v>25</v>
      </c>
      <c r="P340" s="5" t="s">
        <v>5276</v>
      </c>
      <c r="Q340">
        <v>2</v>
      </c>
      <c r="R340" t="b">
        <v>1</v>
      </c>
      <c r="T340">
        <v>0</v>
      </c>
    </row>
    <row r="341" spans="1:20" ht="18" customHeight="1" x14ac:dyDescent="0.25">
      <c r="A341" t="s">
        <v>115</v>
      </c>
      <c r="B341">
        <v>24</v>
      </c>
      <c r="C341" t="s">
        <v>116</v>
      </c>
      <c r="D341">
        <v>14</v>
      </c>
      <c r="E341">
        <v>263</v>
      </c>
      <c r="F341">
        <v>196</v>
      </c>
      <c r="G341">
        <v>266</v>
      </c>
      <c r="H341" t="s">
        <v>102</v>
      </c>
      <c r="I341">
        <v>10</v>
      </c>
      <c r="J341">
        <v>0</v>
      </c>
      <c r="K341">
        <v>0</v>
      </c>
      <c r="L341">
        <v>0</v>
      </c>
      <c r="N341" t="s">
        <v>21</v>
      </c>
      <c r="O341" t="s">
        <v>25</v>
      </c>
      <c r="P341" s="5" t="s">
        <v>939</v>
      </c>
      <c r="Q341">
        <v>2</v>
      </c>
      <c r="R341" t="b">
        <v>1</v>
      </c>
      <c r="S341" t="s">
        <v>118</v>
      </c>
      <c r="T341">
        <v>0</v>
      </c>
    </row>
    <row r="342" spans="1:20" x14ac:dyDescent="0.25">
      <c r="A342" t="s">
        <v>29</v>
      </c>
      <c r="B342">
        <v>24</v>
      </c>
      <c r="C342" t="s">
        <v>25</v>
      </c>
      <c r="D342">
        <v>14</v>
      </c>
      <c r="E342">
        <v>274</v>
      </c>
      <c r="F342">
        <v>196</v>
      </c>
      <c r="G342">
        <v>274</v>
      </c>
      <c r="I342">
        <v>0</v>
      </c>
      <c r="J342">
        <v>0</v>
      </c>
      <c r="K342">
        <v>0</v>
      </c>
      <c r="L342">
        <v>0</v>
      </c>
      <c r="N342" t="s">
        <v>21</v>
      </c>
      <c r="O342" t="s">
        <v>25</v>
      </c>
      <c r="Q342">
        <v>2</v>
      </c>
      <c r="R342" t="b">
        <v>0</v>
      </c>
      <c r="S342" t="s">
        <v>119</v>
      </c>
      <c r="T342">
        <v>0</v>
      </c>
    </row>
  </sheetData>
  <autoFilter ref="A1:T1" xr:uid="{00000000-0001-0000-0000-000000000000}"/>
  <phoneticPr fontId="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67164-B558-4852-AB43-D7F9CEBBF32F}">
  <dimension ref="A1:T139"/>
  <sheetViews>
    <sheetView zoomScale="115" zoomScaleNormal="115" workbookViewId="0">
      <pane xSplit="1" ySplit="1" topLeftCell="B17" activePane="bottomRight" state="frozen"/>
      <selection pane="topRight"/>
      <selection pane="bottomLeft"/>
      <selection pane="bottomRight"/>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20</v>
      </c>
      <c r="F21">
        <v>196</v>
      </c>
      <c r="G21">
        <v>25</v>
      </c>
      <c r="H21" t="s">
        <v>102</v>
      </c>
      <c r="I21">
        <v>10</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888</v>
      </c>
      <c r="B113">
        <v>12</v>
      </c>
      <c r="C113" t="s">
        <v>19</v>
      </c>
      <c r="D113">
        <v>14</v>
      </c>
      <c r="E113">
        <v>20</v>
      </c>
      <c r="F113">
        <v>196</v>
      </c>
      <c r="G113">
        <f>E113+5</f>
        <v>25</v>
      </c>
      <c r="H113" t="s">
        <v>102</v>
      </c>
      <c r="I113">
        <v>14</v>
      </c>
      <c r="J113">
        <v>1</v>
      </c>
      <c r="K113">
        <v>0</v>
      </c>
      <c r="L113">
        <v>0</v>
      </c>
      <c r="N113" t="s">
        <v>21</v>
      </c>
      <c r="O113" t="s">
        <v>25</v>
      </c>
      <c r="Q113">
        <v>2</v>
      </c>
      <c r="R113" t="b">
        <v>1</v>
      </c>
      <c r="S113" t="s">
        <v>119</v>
      </c>
      <c r="T113">
        <v>0</v>
      </c>
    </row>
    <row r="114" spans="1:20" x14ac:dyDescent="0.25">
      <c r="A114" t="s">
        <v>878</v>
      </c>
      <c r="B114">
        <v>12</v>
      </c>
      <c r="C114" t="s">
        <v>19</v>
      </c>
      <c r="D114">
        <v>14</v>
      </c>
      <c r="E114">
        <f>G113+8</f>
        <v>33</v>
      </c>
      <c r="F114">
        <v>196</v>
      </c>
      <c r="G114">
        <f>E114+5</f>
        <v>38</v>
      </c>
      <c r="H114" t="s">
        <v>102</v>
      </c>
      <c r="I114">
        <v>12</v>
      </c>
      <c r="J114">
        <v>0</v>
      </c>
      <c r="K114">
        <v>0</v>
      </c>
      <c r="L114">
        <v>0</v>
      </c>
      <c r="N114" t="s">
        <v>21</v>
      </c>
      <c r="O114" t="s">
        <v>25</v>
      </c>
      <c r="Q114">
        <v>2</v>
      </c>
      <c r="R114" t="b">
        <v>1</v>
      </c>
      <c r="T114">
        <v>0</v>
      </c>
    </row>
    <row r="115" spans="1:20" x14ac:dyDescent="0.25">
      <c r="A115" t="s">
        <v>5184</v>
      </c>
      <c r="B115">
        <v>12</v>
      </c>
      <c r="C115" t="s">
        <v>19</v>
      </c>
      <c r="D115">
        <v>14</v>
      </c>
      <c r="E115">
        <f>E116-10</f>
        <v>70</v>
      </c>
      <c r="F115">
        <v>180</v>
      </c>
      <c r="G115">
        <f>E115+5</f>
        <v>75</v>
      </c>
      <c r="H115" t="s">
        <v>102</v>
      </c>
      <c r="I115">
        <v>12</v>
      </c>
      <c r="J115">
        <v>1</v>
      </c>
      <c r="K115">
        <v>0</v>
      </c>
      <c r="L115">
        <v>0</v>
      </c>
      <c r="N115" t="s">
        <v>21</v>
      </c>
      <c r="O115" t="s">
        <v>25</v>
      </c>
      <c r="Q115">
        <v>3</v>
      </c>
      <c r="R115" t="b">
        <v>0</v>
      </c>
      <c r="S115" t="s">
        <v>119</v>
      </c>
      <c r="T115">
        <v>0</v>
      </c>
    </row>
    <row r="116" spans="1:20" x14ac:dyDescent="0.25">
      <c r="A116" t="s">
        <v>5182</v>
      </c>
      <c r="B116">
        <v>12</v>
      </c>
      <c r="C116" t="s">
        <v>24</v>
      </c>
      <c r="D116">
        <v>14</v>
      </c>
      <c r="E116">
        <v>80</v>
      </c>
      <c r="F116">
        <v>196</v>
      </c>
      <c r="G116">
        <f>INT(E116+(F116-D116)/11*10)</f>
        <v>245</v>
      </c>
      <c r="I116">
        <v>0</v>
      </c>
      <c r="J116">
        <v>0</v>
      </c>
      <c r="K116">
        <v>0</v>
      </c>
      <c r="L116">
        <v>0</v>
      </c>
      <c r="N116" t="s">
        <v>21</v>
      </c>
      <c r="O116" t="s">
        <v>25</v>
      </c>
      <c r="Q116">
        <v>2</v>
      </c>
      <c r="R116" t="b">
        <v>0</v>
      </c>
      <c r="S116" t="s">
        <v>119</v>
      </c>
      <c r="T116">
        <v>0</v>
      </c>
    </row>
    <row r="117" spans="1:20" x14ac:dyDescent="0.25">
      <c r="A117" t="s">
        <v>5183</v>
      </c>
      <c r="B117">
        <v>12</v>
      </c>
      <c r="C117" t="s">
        <v>19</v>
      </c>
      <c r="D117">
        <v>30</v>
      </c>
      <c r="E117">
        <f>G116+8</f>
        <v>253</v>
      </c>
      <c r="F117">
        <v>180</v>
      </c>
      <c r="G117">
        <f>E117+8</f>
        <v>261</v>
      </c>
      <c r="H117" t="s">
        <v>102</v>
      </c>
      <c r="I117">
        <v>16</v>
      </c>
      <c r="J117">
        <v>0</v>
      </c>
      <c r="K117">
        <v>0</v>
      </c>
      <c r="L117">
        <v>0</v>
      </c>
      <c r="M117" t="s">
        <v>884</v>
      </c>
      <c r="N117" t="s">
        <v>21</v>
      </c>
      <c r="O117" t="s">
        <v>27</v>
      </c>
      <c r="Q117">
        <v>2</v>
      </c>
      <c r="R117" t="b">
        <v>1</v>
      </c>
      <c r="S117" t="s">
        <v>119</v>
      </c>
      <c r="T117">
        <v>0</v>
      </c>
    </row>
    <row r="118" spans="1:20" x14ac:dyDescent="0.25">
      <c r="A118" t="s">
        <v>5188</v>
      </c>
      <c r="B118">
        <v>13</v>
      </c>
      <c r="C118" t="s">
        <v>19</v>
      </c>
      <c r="D118">
        <v>14</v>
      </c>
      <c r="E118">
        <v>20</v>
      </c>
      <c r="F118">
        <v>180</v>
      </c>
      <c r="G118">
        <f>E118+5</f>
        <v>25</v>
      </c>
      <c r="H118" t="s">
        <v>102</v>
      </c>
      <c r="I118">
        <v>12</v>
      </c>
      <c r="J118">
        <v>1</v>
      </c>
      <c r="K118">
        <v>0</v>
      </c>
      <c r="L118">
        <v>0</v>
      </c>
      <c r="N118" t="s">
        <v>21</v>
      </c>
      <c r="O118" t="s">
        <v>25</v>
      </c>
      <c r="Q118">
        <v>3</v>
      </c>
      <c r="R118" t="b">
        <v>0</v>
      </c>
      <c r="S118" t="s">
        <v>119</v>
      </c>
      <c r="T118">
        <v>0</v>
      </c>
    </row>
    <row r="119" spans="1:20" x14ac:dyDescent="0.25">
      <c r="A119" t="s">
        <v>5175</v>
      </c>
      <c r="B119">
        <v>13</v>
      </c>
      <c r="C119" t="s">
        <v>24</v>
      </c>
      <c r="D119">
        <v>14</v>
      </c>
      <c r="E119">
        <v>60</v>
      </c>
      <c r="F119">
        <v>196</v>
      </c>
      <c r="G119">
        <f>INT(E119+(F119-D119)/11*10)</f>
        <v>225</v>
      </c>
      <c r="I119">
        <v>0</v>
      </c>
      <c r="J119">
        <v>0</v>
      </c>
      <c r="K119">
        <v>0</v>
      </c>
      <c r="L119">
        <v>0</v>
      </c>
      <c r="N119" t="s">
        <v>21</v>
      </c>
      <c r="O119" t="s">
        <v>25</v>
      </c>
      <c r="Q119">
        <v>2</v>
      </c>
      <c r="R119" t="b">
        <v>0</v>
      </c>
      <c r="S119" t="s">
        <v>119</v>
      </c>
      <c r="T119">
        <v>0</v>
      </c>
    </row>
    <row r="120" spans="1:20" x14ac:dyDescent="0.25">
      <c r="A120" t="s">
        <v>5176</v>
      </c>
      <c r="B120">
        <v>13</v>
      </c>
      <c r="C120" t="s">
        <v>19</v>
      </c>
      <c r="D120">
        <v>30</v>
      </c>
      <c r="E120">
        <f>G119+8</f>
        <v>233</v>
      </c>
      <c r="F120">
        <v>180</v>
      </c>
      <c r="G120">
        <f>E120+8</f>
        <v>241</v>
      </c>
      <c r="H120" t="s">
        <v>102</v>
      </c>
      <c r="I120">
        <v>16</v>
      </c>
      <c r="J120">
        <v>0</v>
      </c>
      <c r="K120">
        <v>0</v>
      </c>
      <c r="L120">
        <v>0</v>
      </c>
      <c r="M120" t="s">
        <v>884</v>
      </c>
      <c r="N120" t="s">
        <v>21</v>
      </c>
      <c r="O120" t="s">
        <v>27</v>
      </c>
      <c r="Q120">
        <v>2</v>
      </c>
      <c r="R120" t="b">
        <v>1</v>
      </c>
      <c r="S120" t="s">
        <v>119</v>
      </c>
      <c r="T120">
        <v>0</v>
      </c>
    </row>
    <row r="121" spans="1:20" x14ac:dyDescent="0.25">
      <c r="A121" t="s">
        <v>895</v>
      </c>
      <c r="B121">
        <v>14</v>
      </c>
      <c r="C121" t="s">
        <v>19</v>
      </c>
      <c r="D121">
        <v>14</v>
      </c>
      <c r="E121">
        <v>20</v>
      </c>
      <c r="F121">
        <v>196</v>
      </c>
      <c r="G121">
        <f>E121+5</f>
        <v>25</v>
      </c>
      <c r="H121" t="s">
        <v>102</v>
      </c>
      <c r="I121">
        <v>14</v>
      </c>
      <c r="J121">
        <v>1</v>
      </c>
      <c r="K121">
        <v>0</v>
      </c>
      <c r="L121">
        <v>0</v>
      </c>
      <c r="N121" t="s">
        <v>21</v>
      </c>
      <c r="O121" t="s">
        <v>25</v>
      </c>
      <c r="Q121">
        <v>2</v>
      </c>
      <c r="R121" t="b">
        <v>1</v>
      </c>
      <c r="S121" t="s">
        <v>119</v>
      </c>
      <c r="T121">
        <v>0</v>
      </c>
    </row>
    <row r="122" spans="1:20" x14ac:dyDescent="0.25">
      <c r="A122" t="s">
        <v>896</v>
      </c>
      <c r="B122">
        <v>14</v>
      </c>
      <c r="C122" t="s">
        <v>19</v>
      </c>
      <c r="D122">
        <v>14</v>
      </c>
      <c r="E122">
        <f>G121+8</f>
        <v>33</v>
      </c>
      <c r="F122">
        <v>196</v>
      </c>
      <c r="G122">
        <f>E122+5</f>
        <v>38</v>
      </c>
      <c r="H122" t="s">
        <v>102</v>
      </c>
      <c r="I122">
        <v>12</v>
      </c>
      <c r="J122">
        <v>0</v>
      </c>
      <c r="K122">
        <v>0</v>
      </c>
      <c r="L122">
        <v>0</v>
      </c>
      <c r="N122" t="s">
        <v>21</v>
      </c>
      <c r="O122" t="s">
        <v>25</v>
      </c>
      <c r="Q122">
        <v>2</v>
      </c>
      <c r="R122" t="b">
        <v>1</v>
      </c>
      <c r="T122">
        <v>0</v>
      </c>
    </row>
    <row r="123" spans="1:20" x14ac:dyDescent="0.25">
      <c r="A123" t="s">
        <v>5189</v>
      </c>
      <c r="B123">
        <v>14</v>
      </c>
      <c r="C123" t="s">
        <v>19</v>
      </c>
      <c r="D123">
        <v>14</v>
      </c>
      <c r="E123">
        <f>E124-10</f>
        <v>70</v>
      </c>
      <c r="F123">
        <v>180</v>
      </c>
      <c r="G123">
        <f>E123+5</f>
        <v>75</v>
      </c>
      <c r="H123" t="s">
        <v>102</v>
      </c>
      <c r="I123">
        <v>12</v>
      </c>
      <c r="J123">
        <v>1</v>
      </c>
      <c r="K123">
        <v>0</v>
      </c>
      <c r="L123">
        <v>0</v>
      </c>
      <c r="N123" t="s">
        <v>21</v>
      </c>
      <c r="O123" t="s">
        <v>25</v>
      </c>
      <c r="Q123">
        <v>3</v>
      </c>
      <c r="R123" t="b">
        <v>0</v>
      </c>
      <c r="S123" t="s">
        <v>119</v>
      </c>
      <c r="T123">
        <v>0</v>
      </c>
    </row>
    <row r="124" spans="1:20" x14ac:dyDescent="0.25">
      <c r="A124" t="s">
        <v>5193</v>
      </c>
      <c r="B124">
        <v>14</v>
      </c>
      <c r="C124" t="s">
        <v>24</v>
      </c>
      <c r="D124">
        <v>14</v>
      </c>
      <c r="E124">
        <v>80</v>
      </c>
      <c r="F124">
        <v>196</v>
      </c>
      <c r="G124">
        <f>INT(E124+(F124-D124)/11*10)</f>
        <v>245</v>
      </c>
      <c r="I124">
        <v>0</v>
      </c>
      <c r="J124">
        <v>0</v>
      </c>
      <c r="K124">
        <v>0</v>
      </c>
      <c r="L124">
        <v>0</v>
      </c>
      <c r="N124" t="s">
        <v>21</v>
      </c>
      <c r="O124" t="s">
        <v>25</v>
      </c>
      <c r="Q124">
        <v>2</v>
      </c>
      <c r="R124" t="b">
        <v>0</v>
      </c>
      <c r="S124" t="s">
        <v>119</v>
      </c>
      <c r="T124">
        <v>0</v>
      </c>
    </row>
    <row r="125" spans="1:20" x14ac:dyDescent="0.25">
      <c r="A125" t="s">
        <v>5191</v>
      </c>
      <c r="B125">
        <v>14</v>
      </c>
      <c r="C125" t="s">
        <v>19</v>
      </c>
      <c r="D125">
        <v>14</v>
      </c>
      <c r="E125">
        <f>G124+8</f>
        <v>253</v>
      </c>
      <c r="F125">
        <v>196</v>
      </c>
      <c r="G125">
        <f>E125+8</f>
        <v>261</v>
      </c>
      <c r="H125" t="s">
        <v>102</v>
      </c>
      <c r="I125">
        <v>16</v>
      </c>
      <c r="J125">
        <v>0</v>
      </c>
      <c r="K125">
        <v>0</v>
      </c>
      <c r="L125">
        <v>0</v>
      </c>
      <c r="M125" t="s">
        <v>884</v>
      </c>
      <c r="N125" t="s">
        <v>21</v>
      </c>
      <c r="O125" t="s">
        <v>27</v>
      </c>
      <c r="Q125">
        <v>2</v>
      </c>
      <c r="R125" t="b">
        <v>1</v>
      </c>
      <c r="S125" t="s">
        <v>119</v>
      </c>
      <c r="T125">
        <v>0</v>
      </c>
    </row>
    <row r="126" spans="1:20" x14ac:dyDescent="0.25">
      <c r="A126" t="s">
        <v>5177</v>
      </c>
      <c r="B126">
        <v>15</v>
      </c>
      <c r="C126" t="s">
        <v>19</v>
      </c>
      <c r="D126">
        <v>14</v>
      </c>
      <c r="E126">
        <v>20</v>
      </c>
      <c r="F126">
        <v>180</v>
      </c>
      <c r="G126">
        <f>E126+5</f>
        <v>25</v>
      </c>
      <c r="H126" t="s">
        <v>102</v>
      </c>
      <c r="I126">
        <v>12</v>
      </c>
      <c r="J126">
        <v>1</v>
      </c>
      <c r="K126">
        <v>0</v>
      </c>
      <c r="L126">
        <v>0</v>
      </c>
      <c r="N126" t="s">
        <v>21</v>
      </c>
      <c r="O126" t="s">
        <v>25</v>
      </c>
      <c r="Q126">
        <v>3</v>
      </c>
      <c r="R126" t="b">
        <v>0</v>
      </c>
      <c r="S126" t="s">
        <v>119</v>
      </c>
      <c r="T126">
        <v>0</v>
      </c>
    </row>
    <row r="127" spans="1:20" x14ac:dyDescent="0.25">
      <c r="A127" t="s">
        <v>5178</v>
      </c>
      <c r="B127">
        <v>15</v>
      </c>
      <c r="C127" t="s">
        <v>19</v>
      </c>
      <c r="D127">
        <v>14</v>
      </c>
      <c r="E127">
        <f>G126+8</f>
        <v>33</v>
      </c>
      <c r="F127">
        <v>196</v>
      </c>
      <c r="G127">
        <f>E127+5</f>
        <v>38</v>
      </c>
      <c r="H127" t="s">
        <v>102</v>
      </c>
      <c r="I127">
        <v>12</v>
      </c>
      <c r="J127">
        <v>0</v>
      </c>
      <c r="K127">
        <v>0</v>
      </c>
      <c r="L127">
        <v>0</v>
      </c>
      <c r="N127" t="s">
        <v>21</v>
      </c>
      <c r="O127" t="s">
        <v>25</v>
      </c>
      <c r="P127" s="1"/>
      <c r="Q127">
        <v>2</v>
      </c>
      <c r="R127" t="b">
        <v>1</v>
      </c>
      <c r="S127" t="s">
        <v>119</v>
      </c>
      <c r="T127">
        <v>0</v>
      </c>
    </row>
    <row r="128" spans="1:20" x14ac:dyDescent="0.25">
      <c r="A128" t="s">
        <v>5179</v>
      </c>
      <c r="B128">
        <v>15</v>
      </c>
      <c r="C128" t="s">
        <v>24</v>
      </c>
      <c r="D128">
        <v>14</v>
      </c>
      <c r="E128">
        <v>60</v>
      </c>
      <c r="F128">
        <v>196</v>
      </c>
      <c r="G128">
        <f>INT(E128+(F128-D128)/11*10)</f>
        <v>225</v>
      </c>
      <c r="I128">
        <v>0</v>
      </c>
      <c r="J128">
        <v>0</v>
      </c>
      <c r="K128">
        <v>0</v>
      </c>
      <c r="L128">
        <v>0</v>
      </c>
      <c r="N128" t="s">
        <v>21</v>
      </c>
      <c r="O128" t="s">
        <v>25</v>
      </c>
      <c r="Q128">
        <v>2</v>
      </c>
      <c r="R128" t="b">
        <v>0</v>
      </c>
      <c r="S128" t="s">
        <v>119</v>
      </c>
      <c r="T128">
        <v>0</v>
      </c>
    </row>
    <row r="129" spans="1:20" x14ac:dyDescent="0.25">
      <c r="A129" t="s">
        <v>5180</v>
      </c>
      <c r="B129">
        <v>15</v>
      </c>
      <c r="C129" t="s">
        <v>19</v>
      </c>
      <c r="D129">
        <v>14</v>
      </c>
      <c r="E129">
        <f>G128+8</f>
        <v>233</v>
      </c>
      <c r="F129">
        <v>196</v>
      </c>
      <c r="G129">
        <f>E129+8</f>
        <v>241</v>
      </c>
      <c r="H129" t="s">
        <v>102</v>
      </c>
      <c r="I129">
        <v>16</v>
      </c>
      <c r="J129">
        <v>0</v>
      </c>
      <c r="K129">
        <v>0</v>
      </c>
      <c r="L129">
        <v>0</v>
      </c>
      <c r="M129" t="s">
        <v>884</v>
      </c>
      <c r="N129" t="s">
        <v>21</v>
      </c>
      <c r="O129" t="s">
        <v>27</v>
      </c>
      <c r="Q129">
        <v>2</v>
      </c>
      <c r="R129" t="b">
        <v>1</v>
      </c>
      <c r="S129" t="s">
        <v>119</v>
      </c>
      <c r="T129">
        <v>0</v>
      </c>
    </row>
    <row r="130" spans="1:20" x14ac:dyDescent="0.25">
      <c r="A130" t="s">
        <v>127</v>
      </c>
      <c r="B130">
        <v>16</v>
      </c>
      <c r="C130" t="s">
        <v>19</v>
      </c>
      <c r="D130">
        <v>14</v>
      </c>
      <c r="E130">
        <v>20</v>
      </c>
      <c r="F130">
        <v>196</v>
      </c>
      <c r="G130">
        <f>E130+5</f>
        <v>25</v>
      </c>
      <c r="H130" t="s">
        <v>102</v>
      </c>
      <c r="I130">
        <v>14</v>
      </c>
      <c r="J130">
        <v>1</v>
      </c>
      <c r="K130">
        <v>0</v>
      </c>
      <c r="L130">
        <v>0</v>
      </c>
      <c r="N130" t="s">
        <v>21</v>
      </c>
      <c r="O130" t="s">
        <v>25</v>
      </c>
      <c r="Q130">
        <v>2</v>
      </c>
      <c r="R130" t="b">
        <v>1</v>
      </c>
      <c r="S130" t="s">
        <v>119</v>
      </c>
      <c r="T130">
        <v>0</v>
      </c>
    </row>
    <row r="131" spans="1:20" x14ac:dyDescent="0.25">
      <c r="A131" t="s">
        <v>5024</v>
      </c>
      <c r="B131">
        <v>16</v>
      </c>
      <c r="C131" t="s">
        <v>19</v>
      </c>
      <c r="D131">
        <v>14</v>
      </c>
      <c r="E131">
        <f>G130+8</f>
        <v>33</v>
      </c>
      <c r="F131">
        <v>196</v>
      </c>
      <c r="G131">
        <f>E131+5</f>
        <v>38</v>
      </c>
      <c r="H131" t="s">
        <v>102</v>
      </c>
      <c r="I131">
        <v>12</v>
      </c>
      <c r="J131">
        <v>0</v>
      </c>
      <c r="K131">
        <v>0</v>
      </c>
      <c r="L131">
        <v>0</v>
      </c>
      <c r="N131" t="s">
        <v>21</v>
      </c>
      <c r="O131" t="s">
        <v>25</v>
      </c>
      <c r="Q131">
        <v>2</v>
      </c>
      <c r="R131" t="b">
        <v>1</v>
      </c>
      <c r="T131">
        <v>0</v>
      </c>
    </row>
    <row r="132" spans="1:20" x14ac:dyDescent="0.25">
      <c r="A132" t="s">
        <v>29</v>
      </c>
      <c r="B132">
        <v>16</v>
      </c>
      <c r="C132" t="s">
        <v>25</v>
      </c>
      <c r="D132">
        <v>14</v>
      </c>
      <c r="E132">
        <v>200</v>
      </c>
      <c r="F132">
        <v>196</v>
      </c>
      <c r="G132">
        <f>E132</f>
        <v>200</v>
      </c>
      <c r="I132">
        <v>0</v>
      </c>
      <c r="J132">
        <v>0</v>
      </c>
      <c r="K132">
        <v>0</v>
      </c>
      <c r="L132">
        <v>0</v>
      </c>
      <c r="N132" t="s">
        <v>21</v>
      </c>
      <c r="O132" t="s">
        <v>25</v>
      </c>
      <c r="Q132">
        <v>2</v>
      </c>
      <c r="R132" t="b">
        <v>0</v>
      </c>
      <c r="S132" t="s">
        <v>119</v>
      </c>
      <c r="T132">
        <v>0</v>
      </c>
    </row>
    <row r="133" spans="1:20" x14ac:dyDescent="0.25">
      <c r="A133" t="s">
        <v>334</v>
      </c>
      <c r="B133">
        <v>16</v>
      </c>
      <c r="C133" t="s">
        <v>19</v>
      </c>
      <c r="D133">
        <f t="shared" ref="D133:D135" si="0">D132</f>
        <v>14</v>
      </c>
      <c r="E133">
        <f>G132+8</f>
        <v>208</v>
      </c>
      <c r="F133">
        <f>F132</f>
        <v>196</v>
      </c>
      <c r="G133">
        <f>E133+4</f>
        <v>212</v>
      </c>
      <c r="H133" t="s">
        <v>102</v>
      </c>
      <c r="I133">
        <v>12</v>
      </c>
      <c r="J133">
        <v>1</v>
      </c>
      <c r="K133">
        <v>0</v>
      </c>
      <c r="L133">
        <v>0</v>
      </c>
      <c r="N133" t="s">
        <v>21</v>
      </c>
      <c r="O133" t="s">
        <v>25</v>
      </c>
      <c r="P133" s="1"/>
      <c r="Q133">
        <v>2</v>
      </c>
      <c r="R133" t="b">
        <v>1</v>
      </c>
      <c r="S133" t="s">
        <v>119</v>
      </c>
      <c r="T133">
        <v>0</v>
      </c>
    </row>
    <row r="134" spans="1:20" x14ac:dyDescent="0.25">
      <c r="A134" t="s">
        <v>666</v>
      </c>
      <c r="B134">
        <v>16</v>
      </c>
      <c r="C134" t="s">
        <v>19</v>
      </c>
      <c r="D134">
        <f t="shared" si="0"/>
        <v>14</v>
      </c>
      <c r="E134">
        <f>G133+2</f>
        <v>214</v>
      </c>
      <c r="F134">
        <f>F133</f>
        <v>196</v>
      </c>
      <c r="G134">
        <f>E134+4</f>
        <v>218</v>
      </c>
      <c r="H134" t="s">
        <v>102</v>
      </c>
      <c r="I134">
        <v>10</v>
      </c>
      <c r="J134">
        <v>0</v>
      </c>
      <c r="K134">
        <v>0</v>
      </c>
      <c r="L134">
        <v>0</v>
      </c>
      <c r="N134" t="s">
        <v>21</v>
      </c>
      <c r="O134" t="s">
        <v>25</v>
      </c>
      <c r="P134" s="1"/>
      <c r="Q134">
        <v>2</v>
      </c>
      <c r="R134" t="b">
        <v>1</v>
      </c>
      <c r="S134" t="s">
        <v>119</v>
      </c>
      <c r="T134">
        <v>0</v>
      </c>
    </row>
    <row r="135" spans="1:20" x14ac:dyDescent="0.25">
      <c r="A135" t="s">
        <v>934</v>
      </c>
      <c r="B135">
        <v>16</v>
      </c>
      <c r="C135" t="s">
        <v>24</v>
      </c>
      <c r="D135">
        <f t="shared" si="0"/>
        <v>14</v>
      </c>
      <c r="E135">
        <f>G134+30</f>
        <v>248</v>
      </c>
      <c r="F135">
        <f>D135+10</f>
        <v>24</v>
      </c>
      <c r="G135">
        <f>E135+(F135-D135)</f>
        <v>258</v>
      </c>
      <c r="I135">
        <v>12</v>
      </c>
      <c r="J135">
        <v>0</v>
      </c>
      <c r="K135">
        <v>0</v>
      </c>
      <c r="L135">
        <v>0</v>
      </c>
      <c r="M135" t="s">
        <v>935</v>
      </c>
      <c r="N135" t="s">
        <v>936</v>
      </c>
      <c r="O135" t="s">
        <v>25</v>
      </c>
      <c r="P135" s="5" t="str">
        <f>"configuration/assets/"&amp;A135&amp;".svg"</f>
        <v>configuration/assets/cc.svg</v>
      </c>
      <c r="Q135">
        <v>2</v>
      </c>
      <c r="R135" t="b">
        <v>1</v>
      </c>
      <c r="T135">
        <v>0</v>
      </c>
    </row>
    <row r="136" spans="1:20" x14ac:dyDescent="0.25">
      <c r="A136" t="s">
        <v>937</v>
      </c>
      <c r="B136">
        <v>16</v>
      </c>
      <c r="C136" t="s">
        <v>24</v>
      </c>
      <c r="D136">
        <f>F135+2</f>
        <v>26</v>
      </c>
      <c r="E136">
        <f>E135</f>
        <v>248</v>
      </c>
      <c r="F136">
        <f>D136+10</f>
        <v>36</v>
      </c>
      <c r="G136">
        <f>E136+(F136-D136)</f>
        <v>258</v>
      </c>
      <c r="I136">
        <v>12</v>
      </c>
      <c r="J136">
        <v>0</v>
      </c>
      <c r="K136">
        <v>0</v>
      </c>
      <c r="L136">
        <v>0</v>
      </c>
      <c r="M136" t="s">
        <v>935</v>
      </c>
      <c r="N136" t="s">
        <v>936</v>
      </c>
      <c r="O136" t="s">
        <v>25</v>
      </c>
      <c r="P136" s="5" t="str">
        <f>"configuration/assets/"&amp;A136&amp;".svg"</f>
        <v>configuration/assets/by.svg</v>
      </c>
      <c r="Q136">
        <v>2</v>
      </c>
      <c r="R136" t="b">
        <v>1</v>
      </c>
      <c r="T136">
        <v>0</v>
      </c>
    </row>
    <row r="137" spans="1:20" x14ac:dyDescent="0.25">
      <c r="A137" t="s">
        <v>938</v>
      </c>
      <c r="B137">
        <v>16</v>
      </c>
      <c r="C137" t="s">
        <v>24</v>
      </c>
      <c r="D137">
        <f>F136+2</f>
        <v>38</v>
      </c>
      <c r="E137">
        <f>E136</f>
        <v>248</v>
      </c>
      <c r="F137">
        <f>D137+10</f>
        <v>48</v>
      </c>
      <c r="G137">
        <f>E137+(F137-D137)</f>
        <v>258</v>
      </c>
      <c r="I137">
        <v>12</v>
      </c>
      <c r="J137">
        <v>0</v>
      </c>
      <c r="K137">
        <v>0</v>
      </c>
      <c r="L137">
        <v>0</v>
      </c>
      <c r="M137" t="s">
        <v>935</v>
      </c>
      <c r="N137" t="s">
        <v>936</v>
      </c>
      <c r="O137" t="s">
        <v>25</v>
      </c>
      <c r="P137" s="5" t="str">
        <f>"configuration/assets/"&amp;A137&amp;".svg"</f>
        <v>configuration/assets/nc.svg</v>
      </c>
      <c r="Q137">
        <v>2</v>
      </c>
      <c r="R137" t="b">
        <v>1</v>
      </c>
      <c r="T137">
        <v>0</v>
      </c>
    </row>
    <row r="138" spans="1:20" ht="15" customHeight="1" x14ac:dyDescent="0.25">
      <c r="A138" t="s">
        <v>115</v>
      </c>
      <c r="B138">
        <v>16</v>
      </c>
      <c r="C138" t="s">
        <v>116</v>
      </c>
      <c r="D138">
        <f>D135</f>
        <v>14</v>
      </c>
      <c r="E138">
        <f>G135+5</f>
        <v>263</v>
      </c>
      <c r="F138">
        <f>F134</f>
        <v>196</v>
      </c>
      <c r="G138">
        <f>E138+3</f>
        <v>266</v>
      </c>
      <c r="H138" t="s">
        <v>102</v>
      </c>
      <c r="I138">
        <v>10</v>
      </c>
      <c r="J138">
        <v>0</v>
      </c>
      <c r="K138">
        <v>0</v>
      </c>
      <c r="L138">
        <v>0</v>
      </c>
      <c r="N138" t="s">
        <v>21</v>
      </c>
      <c r="O138" t="s">
        <v>25</v>
      </c>
      <c r="P138" s="5" t="s">
        <v>939</v>
      </c>
      <c r="Q138">
        <v>2</v>
      </c>
      <c r="R138" t="b">
        <v>1</v>
      </c>
      <c r="S138" t="s">
        <v>118</v>
      </c>
      <c r="T138">
        <v>0</v>
      </c>
    </row>
    <row r="139" spans="1:20" x14ac:dyDescent="0.25">
      <c r="A139" t="s">
        <v>29</v>
      </c>
      <c r="B139">
        <v>16</v>
      </c>
      <c r="C139" t="s">
        <v>25</v>
      </c>
      <c r="D139">
        <f>D135</f>
        <v>14</v>
      </c>
      <c r="E139">
        <f>G138+8</f>
        <v>274</v>
      </c>
      <c r="F139">
        <v>196</v>
      </c>
      <c r="G139">
        <f>E139</f>
        <v>274</v>
      </c>
      <c r="I139">
        <v>0</v>
      </c>
      <c r="J139">
        <v>0</v>
      </c>
      <c r="K139">
        <v>0</v>
      </c>
      <c r="L139">
        <v>0</v>
      </c>
      <c r="N139" t="s">
        <v>21</v>
      </c>
      <c r="O139" t="s">
        <v>25</v>
      </c>
      <c r="Q139">
        <v>2</v>
      </c>
      <c r="R139" t="b">
        <v>0</v>
      </c>
      <c r="S139" t="s">
        <v>119</v>
      </c>
      <c r="T139">
        <v>0</v>
      </c>
    </row>
  </sheetData>
  <autoFilter ref="A1:T48" xr:uid="{00000000-0001-0000-0000-000000000000}"/>
  <phoneticPr fontId="0"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3"/>
  <sheetViews>
    <sheetView tabSelected="1" zoomScale="115" zoomScaleNormal="115" workbookViewId="0">
      <pane xSplit="3" ySplit="1" topLeftCell="D2" activePane="bottomRight" state="frozen"/>
      <selection pane="topRight" activeCell="D1" sqref="D1"/>
      <selection pane="bottomLeft" activeCell="A2" sqref="A2"/>
      <selection pane="bottomRight" activeCell="C2" sqref="C2"/>
    </sheetView>
  </sheetViews>
  <sheetFormatPr defaultColWidth="9.140625" defaultRowHeight="15" x14ac:dyDescent="0.25"/>
  <cols>
    <col min="1" max="1" width="13.7109375" style="15" customWidth="1"/>
    <col min="2" max="2" width="38" style="15" customWidth="1"/>
    <col min="3" max="3" width="52.85546875" style="3" customWidth="1"/>
    <col min="4" max="33" width="48" style="3" customWidth="1"/>
    <col min="34" max="16384" width="9.140625" style="3"/>
  </cols>
  <sheetData>
    <row r="1" spans="1:33" s="14" customFormat="1" x14ac:dyDescent="0.25">
      <c r="A1" s="13" t="s">
        <v>70</v>
      </c>
      <c r="B1" s="13" t="s">
        <v>0</v>
      </c>
      <c r="C1" s="6" t="s">
        <v>65</v>
      </c>
      <c r="D1" s="7" t="s">
        <v>3092</v>
      </c>
      <c r="E1" s="7" t="s">
        <v>211</v>
      </c>
      <c r="F1" s="6" t="s">
        <v>381</v>
      </c>
      <c r="G1" s="6" t="s">
        <v>171</v>
      </c>
      <c r="H1" s="7" t="s">
        <v>2297</v>
      </c>
      <c r="I1" s="7" t="s">
        <v>112</v>
      </c>
      <c r="J1" s="7" t="s">
        <v>111</v>
      </c>
      <c r="K1" s="7" t="s">
        <v>110</v>
      </c>
      <c r="L1" s="7" t="s">
        <v>2333</v>
      </c>
      <c r="M1" s="7" t="s">
        <v>3601</v>
      </c>
      <c r="N1" s="7" t="s">
        <v>109</v>
      </c>
      <c r="O1" s="7" t="s">
        <v>3169</v>
      </c>
      <c r="P1" s="7" t="s">
        <v>522</v>
      </c>
      <c r="Q1" s="7" t="s">
        <v>2473</v>
      </c>
      <c r="R1" s="7" t="s">
        <v>2615</v>
      </c>
      <c r="S1" s="7" t="s">
        <v>2680</v>
      </c>
      <c r="T1" s="14" t="s">
        <v>2727</v>
      </c>
      <c r="U1" s="14" t="s">
        <v>3093</v>
      </c>
      <c r="V1" s="14" t="s">
        <v>108</v>
      </c>
      <c r="W1" s="14" t="s">
        <v>3094</v>
      </c>
      <c r="X1" s="14" t="s">
        <v>3095</v>
      </c>
      <c r="Y1" s="14" t="s">
        <v>73</v>
      </c>
      <c r="Z1" s="14" t="s">
        <v>74</v>
      </c>
      <c r="AA1" s="14" t="s">
        <v>3705</v>
      </c>
      <c r="AB1" s="14" t="s">
        <v>268</v>
      </c>
      <c r="AC1" s="14" t="s">
        <v>107</v>
      </c>
      <c r="AD1" s="14" t="s">
        <v>91</v>
      </c>
      <c r="AE1" s="14" t="s">
        <v>3388</v>
      </c>
      <c r="AF1" s="14" t="s">
        <v>4166</v>
      </c>
      <c r="AG1" s="14" t="s">
        <v>106</v>
      </c>
    </row>
    <row r="2" spans="1:33" x14ac:dyDescent="0.25">
      <c r="A2" s="15" t="s">
        <v>71</v>
      </c>
      <c r="B2" s="15" t="s">
        <v>182</v>
      </c>
      <c r="C2" s="12" t="s">
        <v>65</v>
      </c>
      <c r="D2" s="8" t="s">
        <v>3125</v>
      </c>
      <c r="E2" s="8" t="s">
        <v>366</v>
      </c>
      <c r="F2" s="12" t="s">
        <v>617</v>
      </c>
      <c r="G2" s="8" t="s">
        <v>616</v>
      </c>
      <c r="H2" s="8" t="s">
        <v>3116</v>
      </c>
      <c r="I2" s="8" t="s">
        <v>255</v>
      </c>
      <c r="J2" s="8" t="s">
        <v>183</v>
      </c>
      <c r="K2" s="8" t="s">
        <v>254</v>
      </c>
      <c r="L2" s="8" t="s">
        <v>3117</v>
      </c>
      <c r="M2" s="8" t="s">
        <v>3602</v>
      </c>
      <c r="N2" s="8" t="s">
        <v>608</v>
      </c>
      <c r="O2" s="8" t="s">
        <v>3170</v>
      </c>
      <c r="P2" s="8" t="s">
        <v>522</v>
      </c>
      <c r="Q2" s="8" t="s">
        <v>3118</v>
      </c>
      <c r="R2" s="8" t="s">
        <v>3119</v>
      </c>
      <c r="S2" s="8" t="s">
        <v>3120</v>
      </c>
      <c r="T2" s="3" t="s">
        <v>3121</v>
      </c>
      <c r="U2" s="3" t="s">
        <v>3122</v>
      </c>
      <c r="V2" s="3" t="s">
        <v>108</v>
      </c>
      <c r="W2" s="3" t="s">
        <v>3123</v>
      </c>
      <c r="X2" s="44" t="s">
        <v>3124</v>
      </c>
      <c r="Y2" s="3" t="s">
        <v>724</v>
      </c>
      <c r="Z2" s="3" t="s">
        <v>3961</v>
      </c>
      <c r="AA2" s="3" t="s">
        <v>3706</v>
      </c>
      <c r="AB2" s="3" t="s">
        <v>726</v>
      </c>
      <c r="AC2" s="3" t="s">
        <v>623</v>
      </c>
      <c r="AD2" s="3" t="s">
        <v>4251</v>
      </c>
      <c r="AE2" s="3" t="s">
        <v>3389</v>
      </c>
      <c r="AF2" s="3" t="s">
        <v>4167</v>
      </c>
      <c r="AG2" s="3" t="s">
        <v>467</v>
      </c>
    </row>
    <row r="3" spans="1:33" x14ac:dyDescent="0.25">
      <c r="A3" s="15" t="s">
        <v>71</v>
      </c>
      <c r="B3" s="15" t="s">
        <v>3603</v>
      </c>
      <c r="C3" s="43">
        <v>45714</v>
      </c>
      <c r="D3" s="43">
        <v>45714</v>
      </c>
      <c r="E3" s="43">
        <v>45714</v>
      </c>
      <c r="F3" s="43">
        <v>45714</v>
      </c>
      <c r="G3" s="43">
        <v>45714</v>
      </c>
      <c r="H3" s="43">
        <v>45714</v>
      </c>
      <c r="I3" s="43">
        <v>45714</v>
      </c>
      <c r="J3" s="43">
        <v>45714</v>
      </c>
      <c r="K3" s="43">
        <v>45714</v>
      </c>
      <c r="L3" s="43">
        <v>45714</v>
      </c>
      <c r="M3" s="43">
        <v>45714</v>
      </c>
      <c r="N3" s="43">
        <v>45714</v>
      </c>
      <c r="O3" s="43">
        <v>45714</v>
      </c>
      <c r="P3" s="43">
        <v>45714</v>
      </c>
      <c r="Q3" s="43">
        <v>45714</v>
      </c>
      <c r="R3" s="43">
        <v>45714</v>
      </c>
      <c r="S3" s="43">
        <v>45714</v>
      </c>
      <c r="T3" s="43">
        <v>45714</v>
      </c>
      <c r="U3" s="43">
        <v>45714</v>
      </c>
      <c r="V3" s="43">
        <v>45714</v>
      </c>
      <c r="W3" s="43">
        <v>45714</v>
      </c>
      <c r="X3" s="43">
        <v>45714</v>
      </c>
      <c r="Y3" s="43">
        <v>45714</v>
      </c>
      <c r="Z3" s="43">
        <v>45714</v>
      </c>
      <c r="AA3" s="43">
        <v>45714</v>
      </c>
      <c r="AB3" s="43">
        <v>45714</v>
      </c>
      <c r="AC3" s="43">
        <v>45714</v>
      </c>
      <c r="AD3" s="43">
        <v>45714</v>
      </c>
      <c r="AE3" s="43">
        <v>45714</v>
      </c>
      <c r="AF3" s="43">
        <v>45714</v>
      </c>
      <c r="AG3" s="43">
        <v>45714</v>
      </c>
    </row>
    <row r="4" spans="1:33" x14ac:dyDescent="0.25">
      <c r="A4" s="15" t="s">
        <v>71</v>
      </c>
      <c r="B4" s="15" t="s">
        <v>3960</v>
      </c>
      <c r="C4" s="19">
        <v>1</v>
      </c>
      <c r="D4" s="19">
        <v>0</v>
      </c>
      <c r="E4" s="19">
        <v>1</v>
      </c>
      <c r="F4" s="19">
        <v>1</v>
      </c>
      <c r="G4" s="19">
        <v>1</v>
      </c>
      <c r="H4" s="19">
        <v>0</v>
      </c>
      <c r="I4" s="19">
        <v>0</v>
      </c>
      <c r="J4" s="19">
        <v>0</v>
      </c>
      <c r="K4" s="19">
        <v>0</v>
      </c>
      <c r="L4" s="19">
        <v>0</v>
      </c>
      <c r="M4" s="19">
        <v>0</v>
      </c>
      <c r="N4" s="19">
        <v>0</v>
      </c>
      <c r="O4" s="19">
        <v>0</v>
      </c>
      <c r="P4" s="19">
        <v>0</v>
      </c>
      <c r="Q4" s="19">
        <v>0</v>
      </c>
      <c r="R4" s="19">
        <v>0</v>
      </c>
      <c r="S4" s="19">
        <v>1</v>
      </c>
      <c r="T4" s="42">
        <v>1</v>
      </c>
      <c r="U4" s="3">
        <v>0</v>
      </c>
      <c r="V4" s="3">
        <v>0</v>
      </c>
      <c r="W4" s="3">
        <v>0</v>
      </c>
      <c r="X4" s="44">
        <v>0</v>
      </c>
      <c r="Y4" s="3">
        <v>1</v>
      </c>
      <c r="Z4" s="3">
        <v>1</v>
      </c>
      <c r="AA4" s="3">
        <v>1</v>
      </c>
      <c r="AB4" s="3">
        <v>1</v>
      </c>
      <c r="AC4" s="3">
        <v>0</v>
      </c>
      <c r="AD4" s="3">
        <v>0</v>
      </c>
      <c r="AE4" s="3">
        <v>1</v>
      </c>
      <c r="AF4" s="3">
        <v>0</v>
      </c>
      <c r="AG4" s="3">
        <v>1</v>
      </c>
    </row>
    <row r="5" spans="1:33" x14ac:dyDescent="0.25">
      <c r="A5" s="15" t="s">
        <v>71</v>
      </c>
      <c r="B5" s="15" t="s">
        <v>649</v>
      </c>
      <c r="C5" s="12" t="s">
        <v>639</v>
      </c>
      <c r="D5" s="8" t="s">
        <v>3115</v>
      </c>
      <c r="E5" s="8" t="s">
        <v>645</v>
      </c>
      <c r="F5" s="12" t="s">
        <v>646</v>
      </c>
      <c r="G5" s="8" t="s">
        <v>3959</v>
      </c>
      <c r="H5" s="8" t="s">
        <v>3106</v>
      </c>
      <c r="I5" s="8" t="s">
        <v>647</v>
      </c>
      <c r="J5" s="8" t="s">
        <v>648</v>
      </c>
      <c r="K5" s="8" t="s">
        <v>650</v>
      </c>
      <c r="L5" s="8" t="s">
        <v>3107</v>
      </c>
      <c r="M5" s="8" t="s">
        <v>3452</v>
      </c>
      <c r="N5" s="8" t="s">
        <v>644</v>
      </c>
      <c r="O5" s="8" t="s">
        <v>3320</v>
      </c>
      <c r="P5" s="8" t="s">
        <v>651</v>
      </c>
      <c r="Q5" s="8" t="s">
        <v>3108</v>
      </c>
      <c r="R5" s="8" t="s">
        <v>3109</v>
      </c>
      <c r="S5" s="8" t="s">
        <v>3110</v>
      </c>
      <c r="T5" s="3" t="s">
        <v>3111</v>
      </c>
      <c r="U5" s="3" t="s">
        <v>3112</v>
      </c>
      <c r="V5" s="3" t="s">
        <v>652</v>
      </c>
      <c r="W5" s="3" t="s">
        <v>3113</v>
      </c>
      <c r="X5" s="44" t="s">
        <v>3114</v>
      </c>
      <c r="Y5" s="3" t="s">
        <v>654</v>
      </c>
      <c r="Z5" s="3" t="s">
        <v>654</v>
      </c>
      <c r="AA5" s="3" t="s">
        <v>653</v>
      </c>
      <c r="AB5" s="3" t="s">
        <v>653</v>
      </c>
      <c r="AC5" s="3" t="s">
        <v>655</v>
      </c>
      <c r="AD5" s="3" t="s">
        <v>656</v>
      </c>
      <c r="AE5" s="3" t="s">
        <v>3390</v>
      </c>
      <c r="AF5" s="3" t="s">
        <v>639</v>
      </c>
      <c r="AG5" s="3" t="s">
        <v>657</v>
      </c>
    </row>
    <row r="6" spans="1:33" ht="45" x14ac:dyDescent="0.25">
      <c r="A6" s="15" t="s">
        <v>71</v>
      </c>
      <c r="B6" s="15" t="s">
        <v>180</v>
      </c>
      <c r="C6" s="9" t="s">
        <v>1015</v>
      </c>
      <c r="D6" s="8" t="s">
        <v>2952</v>
      </c>
      <c r="E6" s="8" t="s">
        <v>1174</v>
      </c>
      <c r="F6" s="9" t="s">
        <v>1075</v>
      </c>
      <c r="G6" s="8" t="s">
        <v>2071</v>
      </c>
      <c r="H6" s="16" t="s">
        <v>2151</v>
      </c>
      <c r="I6" s="8" t="s">
        <v>1353</v>
      </c>
      <c r="J6" s="16" t="s">
        <v>1252</v>
      </c>
      <c r="K6" s="16" t="s">
        <v>1252</v>
      </c>
      <c r="L6" s="8" t="s">
        <v>2298</v>
      </c>
      <c r="M6" s="8" t="s">
        <v>3453</v>
      </c>
      <c r="N6" s="8" t="s">
        <v>1559</v>
      </c>
      <c r="O6" s="8" t="s">
        <v>3171</v>
      </c>
      <c r="P6" s="8" t="s">
        <v>1638</v>
      </c>
      <c r="Q6" s="8" t="s">
        <v>2335</v>
      </c>
      <c r="R6" s="8" t="s">
        <v>2474</v>
      </c>
      <c r="S6" s="8" t="s">
        <v>4887</v>
      </c>
      <c r="T6" s="3" t="s">
        <v>2681</v>
      </c>
      <c r="U6" s="3" t="s">
        <v>2728</v>
      </c>
      <c r="V6" s="3" t="s">
        <v>1015</v>
      </c>
      <c r="W6" s="3" t="s">
        <v>2775</v>
      </c>
      <c r="X6" s="44" t="s">
        <v>4506</v>
      </c>
      <c r="Y6" s="3" t="s">
        <v>1823</v>
      </c>
      <c r="Z6" s="3" t="s">
        <v>1823</v>
      </c>
      <c r="AA6" s="3" t="s">
        <v>3707</v>
      </c>
      <c r="AB6" s="3" t="s">
        <v>3971</v>
      </c>
      <c r="AC6" s="3" t="s">
        <v>3377</v>
      </c>
      <c r="AD6" s="3" t="s">
        <v>4252</v>
      </c>
      <c r="AE6" s="3" t="s">
        <v>4416</v>
      </c>
      <c r="AF6" s="3" t="s">
        <v>4012</v>
      </c>
      <c r="AG6" s="3" t="s">
        <v>4652</v>
      </c>
    </row>
    <row r="7" spans="1:33" ht="45" x14ac:dyDescent="0.25">
      <c r="A7" s="15" t="s">
        <v>71</v>
      </c>
      <c r="B7" s="15" t="s">
        <v>863</v>
      </c>
      <c r="C7" s="9" t="s">
        <v>897</v>
      </c>
      <c r="D7" s="8" t="s">
        <v>2953</v>
      </c>
      <c r="E7" s="8" t="s">
        <v>1175</v>
      </c>
      <c r="F7" s="9" t="s">
        <v>1076</v>
      </c>
      <c r="G7" s="8" t="s">
        <v>2072</v>
      </c>
      <c r="H7" s="16" t="s">
        <v>2152</v>
      </c>
      <c r="I7" s="8" t="s">
        <v>1354</v>
      </c>
      <c r="J7" s="16" t="s">
        <v>1253</v>
      </c>
      <c r="K7" s="16" t="s">
        <v>1459</v>
      </c>
      <c r="L7" s="8" t="s">
        <v>4735</v>
      </c>
      <c r="M7" s="8" t="s">
        <v>3454</v>
      </c>
      <c r="N7" s="8" t="s">
        <v>1560</v>
      </c>
      <c r="O7" s="8" t="s">
        <v>3172</v>
      </c>
      <c r="P7" s="8" t="s">
        <v>1639</v>
      </c>
      <c r="Q7" s="8" t="s">
        <v>2336</v>
      </c>
      <c r="R7" s="8" t="s">
        <v>2475</v>
      </c>
      <c r="S7" s="8" t="s">
        <v>4835</v>
      </c>
      <c r="T7" s="3" t="s">
        <v>2682</v>
      </c>
      <c r="U7" s="3" t="s">
        <v>2729</v>
      </c>
      <c r="V7" s="3" t="s">
        <v>1727</v>
      </c>
      <c r="W7" s="3" t="s">
        <v>2776</v>
      </c>
      <c r="X7" s="44" t="s">
        <v>4507</v>
      </c>
      <c r="Y7" s="3" t="s">
        <v>4176</v>
      </c>
      <c r="Z7" s="3" t="s">
        <v>1824</v>
      </c>
      <c r="AA7" s="3" t="s">
        <v>1031</v>
      </c>
      <c r="AB7" s="3" t="s">
        <v>1031</v>
      </c>
      <c r="AC7" s="3" t="s">
        <v>1914</v>
      </c>
      <c r="AD7" s="3" t="s">
        <v>4253</v>
      </c>
      <c r="AE7" s="3" t="s">
        <v>3391</v>
      </c>
      <c r="AF7" s="3" t="s">
        <v>4013</v>
      </c>
      <c r="AG7" s="3" t="s">
        <v>2018</v>
      </c>
    </row>
    <row r="8" spans="1:33" ht="45" x14ac:dyDescent="0.25">
      <c r="A8" s="15" t="s">
        <v>71</v>
      </c>
      <c r="B8" s="15" t="s">
        <v>864</v>
      </c>
      <c r="C8" s="9" t="s">
        <v>974</v>
      </c>
      <c r="D8" s="8" t="s">
        <v>5165</v>
      </c>
      <c r="E8" s="8" t="s">
        <v>4723</v>
      </c>
      <c r="F8" s="9" t="s">
        <v>1077</v>
      </c>
      <c r="G8" s="8" t="s">
        <v>2073</v>
      </c>
      <c r="H8" s="16" t="s">
        <v>2153</v>
      </c>
      <c r="I8" s="8" t="s">
        <v>1355</v>
      </c>
      <c r="J8" s="16" t="s">
        <v>1254</v>
      </c>
      <c r="K8" s="16" t="s">
        <v>1460</v>
      </c>
      <c r="L8" s="8" t="s">
        <v>4736</v>
      </c>
      <c r="M8" s="8" t="s">
        <v>3455</v>
      </c>
      <c r="N8" s="8" t="s">
        <v>1561</v>
      </c>
      <c r="O8" s="8" t="s">
        <v>3173</v>
      </c>
      <c r="P8" s="8" t="s">
        <v>1640</v>
      </c>
      <c r="Q8" s="8" t="s">
        <v>2337</v>
      </c>
      <c r="R8" s="8" t="s">
        <v>2476</v>
      </c>
      <c r="S8" s="8" t="s">
        <v>4836</v>
      </c>
      <c r="T8" s="3" t="s">
        <v>2683</v>
      </c>
      <c r="U8" s="3" t="s">
        <v>2730</v>
      </c>
      <c r="V8" s="3" t="s">
        <v>1728</v>
      </c>
      <c r="W8" s="3" t="s">
        <v>2777</v>
      </c>
      <c r="X8" s="44" t="s">
        <v>4508</v>
      </c>
      <c r="Y8" s="3" t="s">
        <v>4177</v>
      </c>
      <c r="Z8" s="3" t="s">
        <v>1825</v>
      </c>
      <c r="AA8" s="3" t="s">
        <v>3708</v>
      </c>
      <c r="AB8" s="3" t="s">
        <v>3708</v>
      </c>
      <c r="AC8" s="3" t="s">
        <v>1915</v>
      </c>
      <c r="AD8" s="3" t="s">
        <v>4254</v>
      </c>
      <c r="AE8" s="3" t="s">
        <v>4417</v>
      </c>
      <c r="AF8" s="3" t="s">
        <v>4014</v>
      </c>
      <c r="AG8" s="3" t="s">
        <v>2019</v>
      </c>
    </row>
    <row r="9" spans="1:33" ht="45" x14ac:dyDescent="0.25">
      <c r="A9" s="15" t="s">
        <v>71</v>
      </c>
      <c r="B9" s="15" t="s">
        <v>865</v>
      </c>
      <c r="C9" s="9" t="s">
        <v>973</v>
      </c>
      <c r="D9" s="8" t="s">
        <v>2954</v>
      </c>
      <c r="E9" s="8" t="s">
        <v>1176</v>
      </c>
      <c r="F9" s="9" t="s">
        <v>1078</v>
      </c>
      <c r="G9" s="8" t="s">
        <v>2074</v>
      </c>
      <c r="H9" s="16" t="s">
        <v>2154</v>
      </c>
      <c r="I9" s="8" t="s">
        <v>1356</v>
      </c>
      <c r="J9" s="16" t="s">
        <v>1255</v>
      </c>
      <c r="K9" s="16" t="s">
        <v>1461</v>
      </c>
      <c r="L9" s="8" t="s">
        <v>4737</v>
      </c>
      <c r="M9" s="8" t="s">
        <v>3456</v>
      </c>
      <c r="N9" s="8" t="s">
        <v>1562</v>
      </c>
      <c r="O9" s="8" t="s">
        <v>3174</v>
      </c>
      <c r="P9" s="8" t="s">
        <v>1641</v>
      </c>
      <c r="Q9" s="8" t="s">
        <v>2338</v>
      </c>
      <c r="R9" s="8" t="s">
        <v>2477</v>
      </c>
      <c r="S9" s="8" t="s">
        <v>2616</v>
      </c>
      <c r="T9" s="3" t="s">
        <v>2684</v>
      </c>
      <c r="U9" s="3" t="s">
        <v>2731</v>
      </c>
      <c r="V9" s="3" t="s">
        <v>1729</v>
      </c>
      <c r="W9" s="3" t="s">
        <v>2778</v>
      </c>
      <c r="X9" s="44" t="s">
        <v>4509</v>
      </c>
      <c r="Y9" s="3" t="s">
        <v>1826</v>
      </c>
      <c r="Z9" s="3" t="s">
        <v>1826</v>
      </c>
      <c r="AA9" s="3" t="s">
        <v>1032</v>
      </c>
      <c r="AB9" s="3" t="s">
        <v>1032</v>
      </c>
      <c r="AC9" s="3" t="s">
        <v>1916</v>
      </c>
      <c r="AD9" s="3" t="s">
        <v>4255</v>
      </c>
      <c r="AE9" s="3" t="s">
        <v>3392</v>
      </c>
      <c r="AF9" s="3" t="s">
        <v>4015</v>
      </c>
      <c r="AG9" s="3" t="s">
        <v>2020</v>
      </c>
    </row>
    <row r="10" spans="1:33" ht="105" x14ac:dyDescent="0.25">
      <c r="A10" s="15" t="s">
        <v>71</v>
      </c>
      <c r="B10" s="15" t="s">
        <v>887</v>
      </c>
      <c r="C10" s="9" t="s">
        <v>900</v>
      </c>
      <c r="D10" s="8" t="s">
        <v>2955</v>
      </c>
      <c r="E10" s="8" t="s">
        <v>1177</v>
      </c>
      <c r="F10" s="9" t="s">
        <v>1079</v>
      </c>
      <c r="G10" s="8" t="s">
        <v>2075</v>
      </c>
      <c r="H10" s="16" t="s">
        <v>2155</v>
      </c>
      <c r="I10" s="8" t="s">
        <v>1357</v>
      </c>
      <c r="J10" s="16" t="s">
        <v>1256</v>
      </c>
      <c r="K10" s="16" t="s">
        <v>1462</v>
      </c>
      <c r="L10" s="8" t="s">
        <v>2299</v>
      </c>
      <c r="M10" s="8" t="s">
        <v>3457</v>
      </c>
      <c r="N10" s="8" t="s">
        <v>1563</v>
      </c>
      <c r="O10" s="8" t="s">
        <v>3175</v>
      </c>
      <c r="P10" s="8" t="s">
        <v>1642</v>
      </c>
      <c r="Q10" s="8" t="s">
        <v>2339</v>
      </c>
      <c r="R10" s="8" t="s">
        <v>2478</v>
      </c>
      <c r="S10" s="8" t="s">
        <v>4866</v>
      </c>
      <c r="T10" s="3" t="s">
        <v>3612</v>
      </c>
      <c r="U10" s="3" t="s">
        <v>4893</v>
      </c>
      <c r="V10" s="3" t="s">
        <v>1730</v>
      </c>
      <c r="W10" s="3" t="s">
        <v>2779</v>
      </c>
      <c r="X10" s="44" t="s">
        <v>4510</v>
      </c>
      <c r="Y10" s="3" t="s">
        <v>4178</v>
      </c>
      <c r="Z10" s="3" t="s">
        <v>1827</v>
      </c>
      <c r="AA10" s="3" t="s">
        <v>1033</v>
      </c>
      <c r="AB10" s="3" t="s">
        <v>1033</v>
      </c>
      <c r="AC10" s="3" t="s">
        <v>3378</v>
      </c>
      <c r="AD10" s="3" t="s">
        <v>4256</v>
      </c>
      <c r="AE10" s="3" t="s">
        <v>3393</v>
      </c>
      <c r="AF10" s="3" t="s">
        <v>4016</v>
      </c>
      <c r="AG10" s="3" t="s">
        <v>4653</v>
      </c>
    </row>
    <row r="11" spans="1:33" ht="75" x14ac:dyDescent="0.25">
      <c r="A11" s="15" t="s">
        <v>71</v>
      </c>
      <c r="B11" s="15" t="s">
        <v>1010</v>
      </c>
      <c r="C11" s="9" t="s">
        <v>1011</v>
      </c>
      <c r="D11" s="8" t="s">
        <v>2956</v>
      </c>
      <c r="E11" s="8" t="s">
        <v>1178</v>
      </c>
      <c r="F11" s="9" t="s">
        <v>3870</v>
      </c>
      <c r="G11" s="8" t="s">
        <v>3914</v>
      </c>
      <c r="H11" s="16" t="s">
        <v>2156</v>
      </c>
      <c r="I11" s="8" t="s">
        <v>1358</v>
      </c>
      <c r="J11" s="16" t="s">
        <v>1257</v>
      </c>
      <c r="K11" s="16" t="s">
        <v>1463</v>
      </c>
      <c r="L11" s="8" t="s">
        <v>4738</v>
      </c>
      <c r="M11" s="8" t="s">
        <v>3458</v>
      </c>
      <c r="N11" s="8" t="s">
        <v>1564</v>
      </c>
      <c r="O11" s="8" t="s">
        <v>3176</v>
      </c>
      <c r="P11" s="8" t="s">
        <v>1643</v>
      </c>
      <c r="Q11" s="8" t="s">
        <v>2340</v>
      </c>
      <c r="R11" s="8" t="s">
        <v>2479</v>
      </c>
      <c r="S11" s="8" t="s">
        <v>4837</v>
      </c>
      <c r="T11" s="3" t="s">
        <v>3613</v>
      </c>
      <c r="U11" s="3" t="s">
        <v>4894</v>
      </c>
      <c r="V11" s="3" t="s">
        <v>1731</v>
      </c>
      <c r="W11" s="3" t="s">
        <v>2780</v>
      </c>
      <c r="X11" s="44" t="s">
        <v>4511</v>
      </c>
      <c r="Y11" s="3" t="s">
        <v>1828</v>
      </c>
      <c r="Z11" s="3" t="s">
        <v>1828</v>
      </c>
      <c r="AA11" s="3" t="s">
        <v>3709</v>
      </c>
      <c r="AB11" s="3" t="s">
        <v>1148</v>
      </c>
      <c r="AC11" s="3" t="s">
        <v>1917</v>
      </c>
      <c r="AD11" s="3" t="s">
        <v>4257</v>
      </c>
      <c r="AE11" s="3" t="s">
        <v>3394</v>
      </c>
      <c r="AF11" s="3" t="s">
        <v>4017</v>
      </c>
      <c r="AG11" s="3" t="s">
        <v>2021</v>
      </c>
    </row>
    <row r="12" spans="1:33" x14ac:dyDescent="0.25">
      <c r="A12" s="15" t="s">
        <v>71</v>
      </c>
      <c r="B12" s="15" t="s">
        <v>902</v>
      </c>
      <c r="C12" s="9" t="s">
        <v>901</v>
      </c>
      <c r="D12" s="8" t="s">
        <v>2957</v>
      </c>
      <c r="E12" s="8" t="s">
        <v>4724</v>
      </c>
      <c r="F12" s="9" t="s">
        <v>1080</v>
      </c>
      <c r="G12" s="8" t="s">
        <v>2076</v>
      </c>
      <c r="H12" s="16" t="s">
        <v>2157</v>
      </c>
      <c r="I12" s="8" t="s">
        <v>1359</v>
      </c>
      <c r="J12" s="16" t="s">
        <v>1258</v>
      </c>
      <c r="K12" s="16" t="s">
        <v>1464</v>
      </c>
      <c r="L12" s="8" t="s">
        <v>4739</v>
      </c>
      <c r="M12" s="8" t="s">
        <v>3459</v>
      </c>
      <c r="N12" s="8" t="s">
        <v>1565</v>
      </c>
      <c r="O12" s="8" t="s">
        <v>3177</v>
      </c>
      <c r="P12" s="8" t="s">
        <v>1644</v>
      </c>
      <c r="Q12" s="8" t="s">
        <v>2341</v>
      </c>
      <c r="R12" s="8" t="s">
        <v>2480</v>
      </c>
      <c r="S12" s="8" t="s">
        <v>2617</v>
      </c>
      <c r="T12" s="3" t="s">
        <v>2685</v>
      </c>
      <c r="U12" s="3" t="s">
        <v>4895</v>
      </c>
      <c r="V12" s="3" t="s">
        <v>1732</v>
      </c>
      <c r="W12" s="3" t="s">
        <v>2781</v>
      </c>
      <c r="X12" s="44" t="s">
        <v>4512</v>
      </c>
      <c r="Y12" s="3" t="s">
        <v>4179</v>
      </c>
      <c r="Z12" s="3" t="s">
        <v>1829</v>
      </c>
      <c r="AA12" s="3" t="s">
        <v>1149</v>
      </c>
      <c r="AB12" s="3" t="s">
        <v>1149</v>
      </c>
      <c r="AC12" s="3" t="s">
        <v>1918</v>
      </c>
      <c r="AD12" s="3" t="s">
        <v>4258</v>
      </c>
      <c r="AE12" s="3" t="s">
        <v>3395</v>
      </c>
      <c r="AF12" s="3" t="s">
        <v>4018</v>
      </c>
      <c r="AG12" s="3" t="s">
        <v>4654</v>
      </c>
    </row>
    <row r="13" spans="1:33" ht="45" x14ac:dyDescent="0.25">
      <c r="A13" s="15" t="s">
        <v>71</v>
      </c>
      <c r="B13" s="15" t="s">
        <v>23</v>
      </c>
      <c r="C13" s="22" t="s">
        <v>866</v>
      </c>
      <c r="D13" s="8" t="s">
        <v>2958</v>
      </c>
      <c r="E13" s="8" t="s">
        <v>344</v>
      </c>
      <c r="F13" s="9" t="s">
        <v>3871</v>
      </c>
      <c r="G13" s="8" t="s">
        <v>387</v>
      </c>
      <c r="H13" s="16" t="s">
        <v>2158</v>
      </c>
      <c r="I13" s="8" t="s">
        <v>486</v>
      </c>
      <c r="J13" s="16" t="s">
        <v>95</v>
      </c>
      <c r="K13" s="16" t="s">
        <v>447</v>
      </c>
      <c r="L13" s="8" t="s">
        <v>4740</v>
      </c>
      <c r="M13" s="8" t="s">
        <v>3460</v>
      </c>
      <c r="N13" s="8" t="s">
        <v>95</v>
      </c>
      <c r="O13" s="8" t="s">
        <v>3178</v>
      </c>
      <c r="P13" s="8" t="s">
        <v>523</v>
      </c>
      <c r="Q13" s="8" t="s">
        <v>2342</v>
      </c>
      <c r="R13" s="8" t="s">
        <v>2481</v>
      </c>
      <c r="S13" s="8" t="s">
        <v>4838</v>
      </c>
      <c r="T13" s="3" t="s">
        <v>3614</v>
      </c>
      <c r="U13" s="3" t="s">
        <v>4896</v>
      </c>
      <c r="V13" s="3" t="s">
        <v>678</v>
      </c>
      <c r="W13" s="3" t="s">
        <v>2782</v>
      </c>
      <c r="X13" s="44" t="s">
        <v>4513</v>
      </c>
      <c r="Y13" s="3" t="s">
        <v>4180</v>
      </c>
      <c r="Z13" s="3" t="s">
        <v>162</v>
      </c>
      <c r="AA13" s="3" t="s">
        <v>3710</v>
      </c>
      <c r="AB13" s="3" t="s">
        <v>3972</v>
      </c>
      <c r="AC13" s="3" t="s">
        <v>193</v>
      </c>
      <c r="AD13" s="3" t="s">
        <v>4259</v>
      </c>
      <c r="AE13" s="3" t="s">
        <v>3396</v>
      </c>
      <c r="AF13" s="3" t="s">
        <v>4019</v>
      </c>
      <c r="AG13" s="3" t="s">
        <v>4655</v>
      </c>
    </row>
    <row r="14" spans="1:33" x14ac:dyDescent="0.25">
      <c r="A14" s="15" t="s">
        <v>71</v>
      </c>
      <c r="B14" s="15" t="s">
        <v>18</v>
      </c>
      <c r="C14" s="9" t="s">
        <v>909</v>
      </c>
      <c r="D14" s="9" t="s">
        <v>2903</v>
      </c>
      <c r="E14" s="9" t="s">
        <v>909</v>
      </c>
      <c r="F14" s="9" t="s">
        <v>909</v>
      </c>
      <c r="G14" s="9" t="s">
        <v>3167</v>
      </c>
      <c r="H14" s="9" t="s">
        <v>909</v>
      </c>
      <c r="I14" s="8" t="s">
        <v>909</v>
      </c>
      <c r="J14" s="16" t="s">
        <v>909</v>
      </c>
      <c r="K14" s="9" t="s">
        <v>909</v>
      </c>
      <c r="L14" s="9" t="s">
        <v>909</v>
      </c>
      <c r="M14" s="9" t="s">
        <v>909</v>
      </c>
      <c r="N14" s="9" t="s">
        <v>909</v>
      </c>
      <c r="O14" s="9" t="s">
        <v>909</v>
      </c>
      <c r="P14" s="9" t="s">
        <v>909</v>
      </c>
      <c r="Q14" s="9" t="s">
        <v>909</v>
      </c>
      <c r="R14" s="9" t="s">
        <v>909</v>
      </c>
      <c r="S14" s="9" t="s">
        <v>909</v>
      </c>
      <c r="T14" s="3" t="s">
        <v>3356</v>
      </c>
      <c r="U14" s="3" t="s">
        <v>909</v>
      </c>
      <c r="V14" s="3" t="s">
        <v>909</v>
      </c>
      <c r="W14" s="3" t="s">
        <v>909</v>
      </c>
      <c r="X14" s="44" t="s">
        <v>2903</v>
      </c>
      <c r="Y14" s="3" t="s">
        <v>909</v>
      </c>
      <c r="Z14" s="3" t="s">
        <v>909</v>
      </c>
      <c r="AA14" s="3" t="s">
        <v>909</v>
      </c>
      <c r="AB14" s="3" t="s">
        <v>909</v>
      </c>
      <c r="AC14" s="3" t="s">
        <v>909</v>
      </c>
      <c r="AD14" s="3" t="s">
        <v>909</v>
      </c>
      <c r="AE14" s="3" t="s">
        <v>909</v>
      </c>
      <c r="AF14" s="3" t="s">
        <v>909</v>
      </c>
      <c r="AG14" s="3" t="s">
        <v>909</v>
      </c>
    </row>
    <row r="15" spans="1:33" x14ac:dyDescent="0.25">
      <c r="A15" s="15" t="s">
        <v>71</v>
      </c>
      <c r="B15" s="15" t="s">
        <v>1020</v>
      </c>
      <c r="C15" s="9" t="s">
        <v>924</v>
      </c>
      <c r="D15" s="9" t="s">
        <v>2959</v>
      </c>
      <c r="E15" s="9" t="s">
        <v>4849</v>
      </c>
      <c r="F15" s="9" t="s">
        <v>1081</v>
      </c>
      <c r="G15" s="9" t="s">
        <v>1081</v>
      </c>
      <c r="H15" s="9" t="s">
        <v>1259</v>
      </c>
      <c r="I15" s="8" t="s">
        <v>1360</v>
      </c>
      <c r="J15" s="16" t="s">
        <v>1259</v>
      </c>
      <c r="K15" s="9" t="s">
        <v>924</v>
      </c>
      <c r="L15" s="9" t="s">
        <v>4850</v>
      </c>
      <c r="M15" s="9" t="s">
        <v>3461</v>
      </c>
      <c r="N15" s="9" t="s">
        <v>1566</v>
      </c>
      <c r="O15" s="9" t="s">
        <v>3179</v>
      </c>
      <c r="P15" s="9" t="s">
        <v>4848</v>
      </c>
      <c r="Q15" s="8" t="s">
        <v>3126</v>
      </c>
      <c r="R15" s="9" t="s">
        <v>4847</v>
      </c>
      <c r="S15" s="8" t="s">
        <v>4867</v>
      </c>
      <c r="T15" s="3" t="s">
        <v>2686</v>
      </c>
      <c r="U15" s="3" t="s">
        <v>4897</v>
      </c>
      <c r="V15" s="3" t="s">
        <v>1733</v>
      </c>
      <c r="W15" s="3" t="s">
        <v>2783</v>
      </c>
      <c r="X15" s="44" t="s">
        <v>2904</v>
      </c>
      <c r="Y15" s="3" t="s">
        <v>1830</v>
      </c>
      <c r="Z15" s="3" t="s">
        <v>1830</v>
      </c>
      <c r="AA15" s="3" t="s">
        <v>3711</v>
      </c>
      <c r="AB15" s="3" t="s">
        <v>1830</v>
      </c>
      <c r="AC15" s="3" t="s">
        <v>1919</v>
      </c>
      <c r="AD15" s="3" t="s">
        <v>4260</v>
      </c>
      <c r="AE15" s="3" t="s">
        <v>3397</v>
      </c>
      <c r="AF15" s="3" t="s">
        <v>4020</v>
      </c>
      <c r="AG15" s="3" t="s">
        <v>2022</v>
      </c>
    </row>
    <row r="16" spans="1:33" x14ac:dyDescent="0.25">
      <c r="A16" s="15" t="s">
        <v>71</v>
      </c>
      <c r="B16" s="15" t="s">
        <v>976</v>
      </c>
      <c r="C16" s="9" t="s">
        <v>976</v>
      </c>
      <c r="D16" s="9" t="s">
        <v>2960</v>
      </c>
      <c r="E16" s="9" t="s">
        <v>1179</v>
      </c>
      <c r="F16" s="9" t="s">
        <v>1082</v>
      </c>
      <c r="G16" s="9" t="s">
        <v>2077</v>
      </c>
      <c r="H16" s="9" t="s">
        <v>2159</v>
      </c>
      <c r="I16" s="8" t="s">
        <v>1361</v>
      </c>
      <c r="J16" s="16" t="s">
        <v>1260</v>
      </c>
      <c r="K16" s="9" t="s">
        <v>1465</v>
      </c>
      <c r="L16" s="9" t="s">
        <v>4741</v>
      </c>
      <c r="M16" s="9" t="s">
        <v>3462</v>
      </c>
      <c r="N16" s="9" t="s">
        <v>1567</v>
      </c>
      <c r="O16" s="9" t="s">
        <v>3180</v>
      </c>
      <c r="P16" s="9" t="s">
        <v>1645</v>
      </c>
      <c r="Q16" s="8" t="s">
        <v>2343</v>
      </c>
      <c r="R16" s="9" t="s">
        <v>2482</v>
      </c>
      <c r="S16" s="8" t="s">
        <v>4868</v>
      </c>
      <c r="T16" s="3" t="s">
        <v>2687</v>
      </c>
      <c r="U16" s="3" t="s">
        <v>4898</v>
      </c>
      <c r="V16" s="3" t="s">
        <v>1734</v>
      </c>
      <c r="W16" s="3" t="s">
        <v>2784</v>
      </c>
      <c r="X16" s="44" t="s">
        <v>4514</v>
      </c>
      <c r="Y16" s="3" t="s">
        <v>1831</v>
      </c>
      <c r="Z16" s="3" t="s">
        <v>3962</v>
      </c>
      <c r="AA16" s="3" t="s">
        <v>1034</v>
      </c>
      <c r="AB16" s="3" t="s">
        <v>1034</v>
      </c>
      <c r="AC16" s="3" t="s">
        <v>1920</v>
      </c>
      <c r="AD16" s="3" t="s">
        <v>4261</v>
      </c>
      <c r="AE16" s="3" t="s">
        <v>4418</v>
      </c>
      <c r="AF16" s="3" t="s">
        <v>4021</v>
      </c>
      <c r="AG16" s="3" t="s">
        <v>2023</v>
      </c>
    </row>
    <row r="17" spans="1:33" ht="30" x14ac:dyDescent="0.25">
      <c r="A17" s="15" t="s">
        <v>71</v>
      </c>
      <c r="B17" s="15" t="s">
        <v>969</v>
      </c>
      <c r="C17" s="9" t="s">
        <v>969</v>
      </c>
      <c r="D17" s="9" t="s">
        <v>2961</v>
      </c>
      <c r="E17" s="9" t="s">
        <v>4998</v>
      </c>
      <c r="F17" s="9" t="s">
        <v>1083</v>
      </c>
      <c r="G17" s="9" t="s">
        <v>2078</v>
      </c>
      <c r="H17" s="9" t="s">
        <v>2160</v>
      </c>
      <c r="I17" s="8" t="s">
        <v>1362</v>
      </c>
      <c r="J17" s="16" t="s">
        <v>1261</v>
      </c>
      <c r="K17" s="9" t="s">
        <v>1466</v>
      </c>
      <c r="L17" s="9" t="s">
        <v>4742</v>
      </c>
      <c r="M17" s="9" t="s">
        <v>3463</v>
      </c>
      <c r="N17" s="9" t="s">
        <v>1568</v>
      </c>
      <c r="O17" s="9" t="s">
        <v>3181</v>
      </c>
      <c r="P17" s="9" t="s">
        <v>1646</v>
      </c>
      <c r="Q17" s="8" t="s">
        <v>2344</v>
      </c>
      <c r="R17" s="9" t="s">
        <v>2483</v>
      </c>
      <c r="S17" s="8" t="s">
        <v>3780</v>
      </c>
      <c r="T17" s="3" t="s">
        <v>2688</v>
      </c>
      <c r="U17" s="3" t="s">
        <v>2732</v>
      </c>
      <c r="V17" s="3" t="s">
        <v>1735</v>
      </c>
      <c r="W17" s="3" t="s">
        <v>2785</v>
      </c>
      <c r="X17" s="44" t="s">
        <v>4515</v>
      </c>
      <c r="Y17" s="3" t="s">
        <v>1832</v>
      </c>
      <c r="Z17" s="3" t="s">
        <v>1832</v>
      </c>
      <c r="AA17" s="3" t="s">
        <v>1035</v>
      </c>
      <c r="AB17" s="3" t="s">
        <v>1035</v>
      </c>
      <c r="AC17" s="3" t="s">
        <v>1921</v>
      </c>
      <c r="AD17" s="3" t="s">
        <v>4262</v>
      </c>
      <c r="AE17" s="3" t="s">
        <v>3398</v>
      </c>
      <c r="AF17" s="3" t="s">
        <v>4022</v>
      </c>
      <c r="AG17" s="3" t="s">
        <v>2024</v>
      </c>
    </row>
    <row r="18" spans="1:33" x14ac:dyDescent="0.25">
      <c r="A18" s="15" t="s">
        <v>71</v>
      </c>
      <c r="B18" s="15" t="s">
        <v>970</v>
      </c>
      <c r="C18" s="9" t="s">
        <v>970</v>
      </c>
      <c r="D18" s="9" t="s">
        <v>2962</v>
      </c>
      <c r="E18" s="9" t="s">
        <v>1180</v>
      </c>
      <c r="F18" s="9" t="s">
        <v>1084</v>
      </c>
      <c r="G18" s="9" t="s">
        <v>2079</v>
      </c>
      <c r="H18" s="9" t="s">
        <v>2161</v>
      </c>
      <c r="I18" s="8" t="s">
        <v>1363</v>
      </c>
      <c r="J18" s="16" t="s">
        <v>1262</v>
      </c>
      <c r="K18" s="9" t="s">
        <v>1467</v>
      </c>
      <c r="L18" s="9" t="s">
        <v>2300</v>
      </c>
      <c r="M18" s="9" t="s">
        <v>3464</v>
      </c>
      <c r="N18" s="9" t="s">
        <v>1569</v>
      </c>
      <c r="O18" s="9" t="s">
        <v>3182</v>
      </c>
      <c r="P18" s="9" t="s">
        <v>1647</v>
      </c>
      <c r="Q18" s="8" t="s">
        <v>2345</v>
      </c>
      <c r="R18" s="9" t="s">
        <v>2484</v>
      </c>
      <c r="S18" s="8" t="s">
        <v>4869</v>
      </c>
      <c r="T18" s="3" t="s">
        <v>2689</v>
      </c>
      <c r="U18" s="3" t="s">
        <v>2733</v>
      </c>
      <c r="V18" s="3" t="s">
        <v>1736</v>
      </c>
      <c r="W18" s="3" t="s">
        <v>2786</v>
      </c>
      <c r="X18" s="44" t="s">
        <v>2905</v>
      </c>
      <c r="Y18" s="3" t="s">
        <v>4181</v>
      </c>
      <c r="Z18" s="3" t="s">
        <v>1036</v>
      </c>
      <c r="AA18" s="3" t="s">
        <v>3712</v>
      </c>
      <c r="AB18" s="3" t="s">
        <v>1036</v>
      </c>
      <c r="AC18" s="3" t="s">
        <v>1922</v>
      </c>
      <c r="AD18" s="3" t="s">
        <v>4263</v>
      </c>
      <c r="AE18" s="3" t="s">
        <v>4419</v>
      </c>
      <c r="AF18" s="3" t="s">
        <v>4023</v>
      </c>
      <c r="AG18" s="3" t="s">
        <v>2025</v>
      </c>
    </row>
    <row r="19" spans="1:33" x14ac:dyDescent="0.25">
      <c r="A19" s="15" t="s">
        <v>71</v>
      </c>
      <c r="B19" s="15" t="s">
        <v>1016</v>
      </c>
      <c r="C19" s="9" t="s">
        <v>1016</v>
      </c>
      <c r="D19" s="9" t="s">
        <v>2963</v>
      </c>
      <c r="E19" s="9" t="s">
        <v>1181</v>
      </c>
      <c r="F19" s="9" t="s">
        <v>1085</v>
      </c>
      <c r="G19" s="9" t="s">
        <v>2080</v>
      </c>
      <c r="H19" s="9" t="s">
        <v>2162</v>
      </c>
      <c r="I19" s="8" t="s">
        <v>1364</v>
      </c>
      <c r="J19" s="16" t="s">
        <v>1263</v>
      </c>
      <c r="K19" s="9" t="s">
        <v>1468</v>
      </c>
      <c r="L19" s="9" t="s">
        <v>2301</v>
      </c>
      <c r="M19" s="9" t="s">
        <v>3465</v>
      </c>
      <c r="N19" s="9" t="s">
        <v>1570</v>
      </c>
      <c r="O19" s="9" t="s">
        <v>3183</v>
      </c>
      <c r="P19" s="9" t="s">
        <v>1648</v>
      </c>
      <c r="Q19" s="8" t="s">
        <v>2346</v>
      </c>
      <c r="R19" s="9" t="s">
        <v>2485</v>
      </c>
      <c r="S19" s="8" t="s">
        <v>4870</v>
      </c>
      <c r="T19" s="3" t="s">
        <v>2690</v>
      </c>
      <c r="U19" s="3" t="s">
        <v>4899</v>
      </c>
      <c r="V19" s="3" t="s">
        <v>1737</v>
      </c>
      <c r="W19" s="3" t="s">
        <v>2787</v>
      </c>
      <c r="X19" s="44" t="s">
        <v>2906</v>
      </c>
      <c r="Y19" s="3" t="s">
        <v>1037</v>
      </c>
      <c r="Z19" s="3" t="s">
        <v>1037</v>
      </c>
      <c r="AA19" s="3" t="s">
        <v>1037</v>
      </c>
      <c r="AB19" s="3" t="s">
        <v>1037</v>
      </c>
      <c r="AC19" s="3" t="s">
        <v>1923</v>
      </c>
      <c r="AD19" s="3" t="s">
        <v>4264</v>
      </c>
      <c r="AE19" s="3" t="s">
        <v>3399</v>
      </c>
      <c r="AF19" s="3" t="s">
        <v>4024</v>
      </c>
      <c r="AG19" s="3" t="s">
        <v>2026</v>
      </c>
    </row>
    <row r="20" spans="1:33" ht="105" x14ac:dyDescent="0.25">
      <c r="A20" s="15" t="s">
        <v>71</v>
      </c>
      <c r="B20" s="15" t="s">
        <v>1021</v>
      </c>
      <c r="C20" s="9" t="s">
        <v>977</v>
      </c>
      <c r="D20" s="9" t="s">
        <v>2964</v>
      </c>
      <c r="E20" s="9" t="s">
        <v>1182</v>
      </c>
      <c r="F20" s="9" t="s">
        <v>1086</v>
      </c>
      <c r="G20" s="9" t="s">
        <v>2081</v>
      </c>
      <c r="H20" s="9" t="s">
        <v>2163</v>
      </c>
      <c r="I20" s="8" t="s">
        <v>1365</v>
      </c>
      <c r="J20" s="16" t="s">
        <v>1264</v>
      </c>
      <c r="K20" s="9" t="s">
        <v>1469</v>
      </c>
      <c r="L20" s="9" t="s">
        <v>4743</v>
      </c>
      <c r="M20" s="9" t="s">
        <v>3466</v>
      </c>
      <c r="N20" s="9" t="s">
        <v>1571</v>
      </c>
      <c r="O20" s="9" t="s">
        <v>3184</v>
      </c>
      <c r="P20" s="9" t="s">
        <v>1649</v>
      </c>
      <c r="Q20" s="8" t="s">
        <v>2347</v>
      </c>
      <c r="R20" s="9" t="s">
        <v>2486</v>
      </c>
      <c r="S20" s="8" t="s">
        <v>3781</v>
      </c>
      <c r="T20" s="3" t="s">
        <v>3615</v>
      </c>
      <c r="U20" s="3" t="s">
        <v>4900</v>
      </c>
      <c r="V20" s="3" t="s">
        <v>1738</v>
      </c>
      <c r="W20" s="3" t="s">
        <v>2788</v>
      </c>
      <c r="X20" s="44" t="s">
        <v>4516</v>
      </c>
      <c r="Y20" s="3" t="s">
        <v>4182</v>
      </c>
      <c r="Z20" s="3" t="s">
        <v>1833</v>
      </c>
      <c r="AA20" s="3" t="s">
        <v>3713</v>
      </c>
      <c r="AB20" s="3" t="s">
        <v>3973</v>
      </c>
      <c r="AC20" s="3" t="s">
        <v>1924</v>
      </c>
      <c r="AD20" s="3" t="s">
        <v>4265</v>
      </c>
      <c r="AE20" s="3" t="s">
        <v>4420</v>
      </c>
      <c r="AF20" s="3" t="s">
        <v>4025</v>
      </c>
      <c r="AG20" s="3" t="s">
        <v>2027</v>
      </c>
    </row>
    <row r="21" spans="1:33" ht="60" x14ac:dyDescent="0.25">
      <c r="A21" s="15" t="s">
        <v>71</v>
      </c>
      <c r="B21" s="15" t="s">
        <v>5021</v>
      </c>
      <c r="C21" s="9" t="s">
        <v>916</v>
      </c>
      <c r="D21" s="9" t="s">
        <v>2965</v>
      </c>
      <c r="E21" s="9" t="s">
        <v>1183</v>
      </c>
      <c r="F21" s="9" t="s">
        <v>1087</v>
      </c>
      <c r="G21" s="9" t="s">
        <v>2082</v>
      </c>
      <c r="H21" s="9" t="s">
        <v>2164</v>
      </c>
      <c r="I21" s="8" t="s">
        <v>1366</v>
      </c>
      <c r="J21" s="16" t="s">
        <v>1265</v>
      </c>
      <c r="K21" s="9" t="s">
        <v>1470</v>
      </c>
      <c r="L21" s="9" t="s">
        <v>4744</v>
      </c>
      <c r="M21" s="9" t="s">
        <v>3467</v>
      </c>
      <c r="N21" s="9" t="s">
        <v>1572</v>
      </c>
      <c r="O21" s="9" t="s">
        <v>3185</v>
      </c>
      <c r="P21" s="9" t="s">
        <v>1650</v>
      </c>
      <c r="Q21" s="8" t="s">
        <v>3127</v>
      </c>
      <c r="R21" s="9" t="s">
        <v>2487</v>
      </c>
      <c r="S21" s="8" t="s">
        <v>4871</v>
      </c>
      <c r="T21" s="3" t="s">
        <v>3671</v>
      </c>
      <c r="U21" s="3" t="s">
        <v>2734</v>
      </c>
      <c r="V21" s="3" t="s">
        <v>1739</v>
      </c>
      <c r="W21" s="3" t="s">
        <v>2789</v>
      </c>
      <c r="X21" s="44" t="s">
        <v>4517</v>
      </c>
      <c r="Y21" s="3" t="s">
        <v>1834</v>
      </c>
      <c r="Z21" s="3" t="s">
        <v>1834</v>
      </c>
      <c r="AA21" s="3" t="s">
        <v>1038</v>
      </c>
      <c r="AB21" s="3" t="s">
        <v>1038</v>
      </c>
      <c r="AC21" s="3" t="s">
        <v>1925</v>
      </c>
      <c r="AD21" s="3" t="s">
        <v>4266</v>
      </c>
      <c r="AE21" s="3" t="s">
        <v>4421</v>
      </c>
      <c r="AF21" s="3" t="s">
        <v>4026</v>
      </c>
      <c r="AG21" s="3" t="s">
        <v>4656</v>
      </c>
    </row>
    <row r="22" spans="1:33" ht="120" x14ac:dyDescent="0.25">
      <c r="A22" s="15" t="s">
        <v>71</v>
      </c>
      <c r="B22" s="15" t="s">
        <v>1017</v>
      </c>
      <c r="C22" s="9" t="s">
        <v>3847</v>
      </c>
      <c r="D22" s="9" t="s">
        <v>3848</v>
      </c>
      <c r="E22" s="9" t="s">
        <v>4999</v>
      </c>
      <c r="F22" s="9" t="s">
        <v>3872</v>
      </c>
      <c r="G22" s="9" t="s">
        <v>3915</v>
      </c>
      <c r="H22" s="9" t="s">
        <v>3849</v>
      </c>
      <c r="I22" s="8" t="s">
        <v>3850</v>
      </c>
      <c r="J22" s="16" t="s">
        <v>3851</v>
      </c>
      <c r="K22" s="9" t="s">
        <v>3852</v>
      </c>
      <c r="L22" s="9" t="s">
        <v>4745</v>
      </c>
      <c r="M22" s="9" t="s">
        <v>3853</v>
      </c>
      <c r="N22" s="9" t="s">
        <v>3854</v>
      </c>
      <c r="O22" s="9" t="s">
        <v>3855</v>
      </c>
      <c r="P22" s="9" t="s">
        <v>3856</v>
      </c>
      <c r="Q22" s="8" t="s">
        <v>3857</v>
      </c>
      <c r="R22" s="9" t="s">
        <v>3858</v>
      </c>
      <c r="S22" s="8" t="s">
        <v>4872</v>
      </c>
      <c r="T22" s="3" t="s">
        <v>3616</v>
      </c>
      <c r="U22" s="3" t="s">
        <v>4901</v>
      </c>
      <c r="V22" s="3" t="s">
        <v>3859</v>
      </c>
      <c r="W22" s="3" t="s">
        <v>3860</v>
      </c>
      <c r="X22" s="44" t="s">
        <v>4518</v>
      </c>
      <c r="Y22" s="3" t="s">
        <v>4183</v>
      </c>
      <c r="Z22" s="3" t="s">
        <v>3963</v>
      </c>
      <c r="AA22" s="3" t="s">
        <v>3861</v>
      </c>
      <c r="AB22" s="3" t="s">
        <v>5010</v>
      </c>
      <c r="AC22" s="3" t="s">
        <v>3862</v>
      </c>
      <c r="AD22" s="3" t="s">
        <v>4267</v>
      </c>
      <c r="AE22" s="3" t="s">
        <v>4422</v>
      </c>
      <c r="AF22" s="3" t="s">
        <v>4027</v>
      </c>
      <c r="AG22" s="3" t="s">
        <v>4657</v>
      </c>
    </row>
    <row r="23" spans="1:33" ht="60" x14ac:dyDescent="0.25">
      <c r="A23" s="15" t="s">
        <v>71</v>
      </c>
      <c r="B23" s="15" t="s">
        <v>1018</v>
      </c>
      <c r="C23" s="9" t="s">
        <v>1012</v>
      </c>
      <c r="D23" s="9" t="s">
        <v>2966</v>
      </c>
      <c r="E23" s="9" t="s">
        <v>1184</v>
      </c>
      <c r="F23" s="9" t="s">
        <v>1088</v>
      </c>
      <c r="G23" s="9" t="s">
        <v>2083</v>
      </c>
      <c r="H23" s="9" t="s">
        <v>2165</v>
      </c>
      <c r="I23" s="8" t="s">
        <v>1367</v>
      </c>
      <c r="J23" s="16" t="s">
        <v>1266</v>
      </c>
      <c r="K23" s="9" t="s">
        <v>1471</v>
      </c>
      <c r="L23" s="9" t="s">
        <v>4746</v>
      </c>
      <c r="M23" s="9" t="s">
        <v>3468</v>
      </c>
      <c r="N23" s="9" t="s">
        <v>1573</v>
      </c>
      <c r="O23" s="9" t="s">
        <v>3186</v>
      </c>
      <c r="P23" s="9" t="s">
        <v>4224</v>
      </c>
      <c r="Q23" s="8" t="s">
        <v>2348</v>
      </c>
      <c r="R23" s="9" t="s">
        <v>2488</v>
      </c>
      <c r="S23" s="8" t="s">
        <v>2618</v>
      </c>
      <c r="T23" s="3" t="s">
        <v>3672</v>
      </c>
      <c r="U23" s="3" t="s">
        <v>2735</v>
      </c>
      <c r="V23" s="3" t="s">
        <v>1740</v>
      </c>
      <c r="W23" s="3" t="s">
        <v>2790</v>
      </c>
      <c r="X23" s="44" t="s">
        <v>4519</v>
      </c>
      <c r="Y23" s="3" t="s">
        <v>1835</v>
      </c>
      <c r="Z23" s="3" t="s">
        <v>3964</v>
      </c>
      <c r="AA23" s="3" t="s">
        <v>3714</v>
      </c>
      <c r="AB23" s="3" t="s">
        <v>4225</v>
      </c>
      <c r="AC23" s="3" t="s">
        <v>1926</v>
      </c>
      <c r="AD23" s="3" t="s">
        <v>4268</v>
      </c>
      <c r="AE23" s="3" t="s">
        <v>3400</v>
      </c>
      <c r="AF23" s="3" t="s">
        <v>4028</v>
      </c>
      <c r="AG23" s="3" t="s">
        <v>2028</v>
      </c>
    </row>
    <row r="24" spans="1:33" ht="105" x14ac:dyDescent="0.25">
      <c r="A24" s="15" t="s">
        <v>71</v>
      </c>
      <c r="B24" s="15" t="s">
        <v>1019</v>
      </c>
      <c r="C24" s="9" t="s">
        <v>1022</v>
      </c>
      <c r="D24" s="9" t="s">
        <v>5166</v>
      </c>
      <c r="E24" s="9" t="s">
        <v>1185</v>
      </c>
      <c r="F24" s="9" t="s">
        <v>3873</v>
      </c>
      <c r="G24" s="9" t="s">
        <v>3916</v>
      </c>
      <c r="H24" s="9" t="s">
        <v>2166</v>
      </c>
      <c r="I24" s="8" t="s">
        <v>1368</v>
      </c>
      <c r="J24" s="16" t="s">
        <v>1267</v>
      </c>
      <c r="K24" s="9" t="s">
        <v>1472</v>
      </c>
      <c r="L24" s="9" t="s">
        <v>4747</v>
      </c>
      <c r="M24" s="9" t="s">
        <v>3469</v>
      </c>
      <c r="N24" s="9" t="s">
        <v>1574</v>
      </c>
      <c r="O24" s="9" t="s">
        <v>3187</v>
      </c>
      <c r="P24" s="9" t="s">
        <v>1651</v>
      </c>
      <c r="Q24" s="8" t="s">
        <v>2349</v>
      </c>
      <c r="R24" s="9" t="s">
        <v>2489</v>
      </c>
      <c r="S24" s="8" t="s">
        <v>4873</v>
      </c>
      <c r="T24" s="3" t="s">
        <v>3617</v>
      </c>
      <c r="U24" s="3" t="s">
        <v>4902</v>
      </c>
      <c r="V24" s="3" t="s">
        <v>1741</v>
      </c>
      <c r="W24" s="3" t="s">
        <v>2791</v>
      </c>
      <c r="X24" s="44" t="s">
        <v>4520</v>
      </c>
      <c r="Y24" s="3" t="s">
        <v>4184</v>
      </c>
      <c r="Z24" s="3" t="s">
        <v>1836</v>
      </c>
      <c r="AA24" s="3" t="s">
        <v>3715</v>
      </c>
      <c r="AB24" s="3" t="s">
        <v>3974</v>
      </c>
      <c r="AC24" s="3" t="s">
        <v>1927</v>
      </c>
      <c r="AD24" s="3" t="s">
        <v>4269</v>
      </c>
      <c r="AE24" s="3" t="s">
        <v>4423</v>
      </c>
      <c r="AF24" s="3" t="s">
        <v>4029</v>
      </c>
      <c r="AG24" s="3" t="s">
        <v>4658</v>
      </c>
    </row>
    <row r="25" spans="1:33" x14ac:dyDescent="0.25">
      <c r="A25" s="15" t="s">
        <v>786</v>
      </c>
      <c r="B25" s="15" t="s">
        <v>915</v>
      </c>
      <c r="C25" s="9" t="s">
        <v>915</v>
      </c>
      <c r="D25" s="8" t="s">
        <v>2967</v>
      </c>
      <c r="E25" s="8" t="s">
        <v>915</v>
      </c>
      <c r="F25" s="9" t="s">
        <v>3956</v>
      </c>
      <c r="G25" s="8" t="s">
        <v>3953</v>
      </c>
      <c r="H25" s="16" t="s">
        <v>2167</v>
      </c>
      <c r="I25" s="8" t="s">
        <v>1369</v>
      </c>
      <c r="J25" s="16" t="s">
        <v>1268</v>
      </c>
      <c r="K25" s="16" t="s">
        <v>1473</v>
      </c>
      <c r="L25" s="8" t="s">
        <v>2302</v>
      </c>
      <c r="M25" s="8" t="s">
        <v>2619</v>
      </c>
      <c r="N25" s="8" t="s">
        <v>1268</v>
      </c>
      <c r="O25" s="8" t="s">
        <v>3188</v>
      </c>
      <c r="P25" s="8" t="s">
        <v>1652</v>
      </c>
      <c r="Q25" s="8" t="s">
        <v>2350</v>
      </c>
      <c r="R25" s="8" t="s">
        <v>1268</v>
      </c>
      <c r="S25" s="8" t="s">
        <v>2619</v>
      </c>
      <c r="T25" s="3" t="s">
        <v>3618</v>
      </c>
      <c r="U25" s="3" t="s">
        <v>4903</v>
      </c>
      <c r="V25" s="3" t="s">
        <v>1742</v>
      </c>
      <c r="W25" s="3" t="s">
        <v>2792</v>
      </c>
      <c r="X25" s="44" t="s">
        <v>2907</v>
      </c>
      <c r="Y25" s="3" t="s">
        <v>3771</v>
      </c>
      <c r="Z25" s="3" t="s">
        <v>915</v>
      </c>
      <c r="AA25" s="3" t="s">
        <v>915</v>
      </c>
      <c r="AB25" s="3" t="s">
        <v>915</v>
      </c>
      <c r="AC25" s="3" t="s">
        <v>1928</v>
      </c>
      <c r="AD25" s="3" t="s">
        <v>4270</v>
      </c>
      <c r="AE25" s="3" t="s">
        <v>3401</v>
      </c>
      <c r="AF25" s="3" t="s">
        <v>4030</v>
      </c>
      <c r="AG25" s="3" t="s">
        <v>2029</v>
      </c>
    </row>
    <row r="26" spans="1:33" x14ac:dyDescent="0.25">
      <c r="A26" s="15" t="s">
        <v>786</v>
      </c>
      <c r="B26" s="15" t="s">
        <v>914</v>
      </c>
      <c r="C26" s="9" t="s">
        <v>914</v>
      </c>
      <c r="D26" s="8" t="s">
        <v>2968</v>
      </c>
      <c r="E26" s="8" t="s">
        <v>1186</v>
      </c>
      <c r="F26" s="9" t="s">
        <v>3874</v>
      </c>
      <c r="G26" s="8" t="s">
        <v>3874</v>
      </c>
      <c r="H26" s="16" t="s">
        <v>2168</v>
      </c>
      <c r="I26" s="8" t="s">
        <v>1370</v>
      </c>
      <c r="J26" s="16" t="s">
        <v>914</v>
      </c>
      <c r="K26" s="16" t="s">
        <v>1474</v>
      </c>
      <c r="L26" s="8" t="s">
        <v>4748</v>
      </c>
      <c r="M26" s="8" t="s">
        <v>3470</v>
      </c>
      <c r="N26" s="8" t="s">
        <v>4619</v>
      </c>
      <c r="O26" s="8" t="s">
        <v>3189</v>
      </c>
      <c r="P26" s="8" t="s">
        <v>914</v>
      </c>
      <c r="Q26" s="8" t="s">
        <v>2351</v>
      </c>
      <c r="R26" s="8" t="s">
        <v>2490</v>
      </c>
      <c r="S26" s="8" t="s">
        <v>4874</v>
      </c>
      <c r="T26" s="3" t="s">
        <v>2691</v>
      </c>
      <c r="U26" s="3" t="s">
        <v>4904</v>
      </c>
      <c r="V26" s="3" t="s">
        <v>914</v>
      </c>
      <c r="W26" s="3" t="s">
        <v>2351</v>
      </c>
      <c r="X26" s="44" t="s">
        <v>4521</v>
      </c>
      <c r="Y26" s="3" t="s">
        <v>1039</v>
      </c>
      <c r="Z26" s="3" t="s">
        <v>1039</v>
      </c>
      <c r="AA26" s="3" t="s">
        <v>1039</v>
      </c>
      <c r="AB26" s="3" t="s">
        <v>4226</v>
      </c>
      <c r="AC26" s="3" t="s">
        <v>1929</v>
      </c>
      <c r="AD26" s="3" t="s">
        <v>4271</v>
      </c>
      <c r="AE26" s="3" t="s">
        <v>3402</v>
      </c>
      <c r="AF26" s="3" t="s">
        <v>4031</v>
      </c>
      <c r="AG26" s="3" t="s">
        <v>4659</v>
      </c>
    </row>
    <row r="27" spans="1:33" x14ac:dyDescent="0.25">
      <c r="A27" s="15" t="s">
        <v>786</v>
      </c>
      <c r="B27" s="15" t="s">
        <v>913</v>
      </c>
      <c r="C27" s="9" t="s">
        <v>913</v>
      </c>
      <c r="D27" s="8" t="s">
        <v>2969</v>
      </c>
      <c r="E27" s="8" t="s">
        <v>1187</v>
      </c>
      <c r="F27" s="9" t="s">
        <v>3957</v>
      </c>
      <c r="G27" s="8" t="s">
        <v>3954</v>
      </c>
      <c r="H27" s="16" t="s">
        <v>2169</v>
      </c>
      <c r="I27" s="8" t="s">
        <v>1371</v>
      </c>
      <c r="J27" s="16" t="s">
        <v>913</v>
      </c>
      <c r="K27" s="16" t="s">
        <v>1475</v>
      </c>
      <c r="L27" s="8" t="s">
        <v>4749</v>
      </c>
      <c r="M27" s="8" t="s">
        <v>3471</v>
      </c>
      <c r="N27" s="8" t="s">
        <v>913</v>
      </c>
      <c r="O27" s="8" t="s">
        <v>3190</v>
      </c>
      <c r="P27" s="8" t="s">
        <v>1653</v>
      </c>
      <c r="Q27" s="8" t="s">
        <v>2352</v>
      </c>
      <c r="R27" s="8" t="s">
        <v>2491</v>
      </c>
      <c r="S27" s="8" t="s">
        <v>2620</v>
      </c>
      <c r="T27" s="3" t="s">
        <v>3673</v>
      </c>
      <c r="U27" s="3" t="s">
        <v>2736</v>
      </c>
      <c r="V27" s="3" t="s">
        <v>1743</v>
      </c>
      <c r="W27" s="3" t="s">
        <v>2352</v>
      </c>
      <c r="X27" s="44" t="s">
        <v>4522</v>
      </c>
      <c r="Y27" s="3" t="s">
        <v>913</v>
      </c>
      <c r="Z27" s="3" t="s">
        <v>913</v>
      </c>
      <c r="AA27" s="3" t="s">
        <v>913</v>
      </c>
      <c r="AB27" s="3" t="s">
        <v>4227</v>
      </c>
      <c r="AC27" s="3" t="s">
        <v>1930</v>
      </c>
      <c r="AD27" s="3" t="s">
        <v>4272</v>
      </c>
      <c r="AE27" s="3" t="s">
        <v>3403</v>
      </c>
      <c r="AF27" s="3" t="s">
        <v>4032</v>
      </c>
      <c r="AG27" s="3" t="s">
        <v>4660</v>
      </c>
    </row>
    <row r="28" spans="1:33" x14ac:dyDescent="0.25">
      <c r="A28" s="15" t="s">
        <v>786</v>
      </c>
      <c r="B28" s="15" t="s">
        <v>912</v>
      </c>
      <c r="C28" s="9" t="s">
        <v>912</v>
      </c>
      <c r="D28" s="8" t="s">
        <v>2970</v>
      </c>
      <c r="E28" s="8" t="s">
        <v>1188</v>
      </c>
      <c r="F28" s="9" t="s">
        <v>3875</v>
      </c>
      <c r="G28" s="8" t="s">
        <v>3917</v>
      </c>
      <c r="H28" s="16" t="s">
        <v>2170</v>
      </c>
      <c r="I28" s="8" t="s">
        <v>1372</v>
      </c>
      <c r="J28" s="16" t="s">
        <v>1269</v>
      </c>
      <c r="K28" s="16" t="s">
        <v>1476</v>
      </c>
      <c r="L28" s="8" t="s">
        <v>4750</v>
      </c>
      <c r="M28" s="8" t="s">
        <v>3472</v>
      </c>
      <c r="N28" s="8" t="s">
        <v>1575</v>
      </c>
      <c r="O28" s="8" t="s">
        <v>3191</v>
      </c>
      <c r="P28" s="8" t="s">
        <v>1654</v>
      </c>
      <c r="Q28" s="8" t="s">
        <v>2353</v>
      </c>
      <c r="R28" s="8" t="s">
        <v>2492</v>
      </c>
      <c r="S28" s="8" t="s">
        <v>3782</v>
      </c>
      <c r="T28" s="3" t="s">
        <v>2692</v>
      </c>
      <c r="U28" s="3" t="s">
        <v>4905</v>
      </c>
      <c r="V28" s="3" t="s">
        <v>912</v>
      </c>
      <c r="W28" s="3" t="s">
        <v>2353</v>
      </c>
      <c r="X28" s="44" t="s">
        <v>4523</v>
      </c>
      <c r="Y28" s="3" t="s">
        <v>4185</v>
      </c>
      <c r="Z28" s="3" t="s">
        <v>1040</v>
      </c>
      <c r="AA28" s="3" t="s">
        <v>1040</v>
      </c>
      <c r="AB28" s="3" t="s">
        <v>4228</v>
      </c>
      <c r="AC28" s="3" t="s">
        <v>1931</v>
      </c>
      <c r="AD28" s="3" t="s">
        <v>3779</v>
      </c>
      <c r="AE28" s="3" t="s">
        <v>4424</v>
      </c>
      <c r="AF28" s="3" t="s">
        <v>4033</v>
      </c>
      <c r="AG28" s="3" t="s">
        <v>4661</v>
      </c>
    </row>
    <row r="29" spans="1:33" x14ac:dyDescent="0.25">
      <c r="A29" s="15" t="s">
        <v>786</v>
      </c>
      <c r="B29" s="15" t="s">
        <v>911</v>
      </c>
      <c r="C29" s="9" t="s">
        <v>911</v>
      </c>
      <c r="D29" s="8" t="s">
        <v>2971</v>
      </c>
      <c r="E29" s="8" t="s">
        <v>1041</v>
      </c>
      <c r="F29" s="9" t="s">
        <v>3958</v>
      </c>
      <c r="G29" s="8" t="s">
        <v>3955</v>
      </c>
      <c r="H29" s="16" t="s">
        <v>2171</v>
      </c>
      <c r="I29" s="8" t="s">
        <v>1373</v>
      </c>
      <c r="J29" s="16" t="s">
        <v>1270</v>
      </c>
      <c r="K29" s="16" t="s">
        <v>1477</v>
      </c>
      <c r="L29" s="8" t="s">
        <v>4751</v>
      </c>
      <c r="M29" s="8" t="s">
        <v>911</v>
      </c>
      <c r="N29" s="8" t="s">
        <v>911</v>
      </c>
      <c r="O29" s="8" t="s">
        <v>3192</v>
      </c>
      <c r="P29" s="8" t="s">
        <v>1655</v>
      </c>
      <c r="Q29" s="8" t="s">
        <v>2354</v>
      </c>
      <c r="R29" s="8" t="s">
        <v>2493</v>
      </c>
      <c r="S29" s="8" t="s">
        <v>2621</v>
      </c>
      <c r="T29" s="3" t="s">
        <v>3619</v>
      </c>
      <c r="U29" s="3" t="s">
        <v>4906</v>
      </c>
      <c r="V29" s="3" t="s">
        <v>1744</v>
      </c>
      <c r="W29" s="3" t="s">
        <v>2793</v>
      </c>
      <c r="X29" s="44" t="s">
        <v>2908</v>
      </c>
      <c r="Y29" s="3" t="s">
        <v>1041</v>
      </c>
      <c r="Z29" s="3" t="s">
        <v>1041</v>
      </c>
      <c r="AA29" s="3" t="s">
        <v>1041</v>
      </c>
      <c r="AB29" s="3" t="s">
        <v>4229</v>
      </c>
      <c r="AC29" s="3" t="s">
        <v>1932</v>
      </c>
      <c r="AD29" s="3" t="s">
        <v>4273</v>
      </c>
      <c r="AE29" s="3" t="s">
        <v>3404</v>
      </c>
      <c r="AF29" s="3" t="s">
        <v>4034</v>
      </c>
      <c r="AG29" s="3" t="s">
        <v>4662</v>
      </c>
    </row>
    <row r="30" spans="1:33" x14ac:dyDescent="0.25">
      <c r="A30" s="15" t="s">
        <v>978</v>
      </c>
      <c r="B30" s="15" t="s">
        <v>987</v>
      </c>
      <c r="C30" s="9" t="s">
        <v>5012</v>
      </c>
      <c r="D30" s="9" t="s">
        <v>2972</v>
      </c>
      <c r="E30" s="9" t="s">
        <v>1189</v>
      </c>
      <c r="F30" s="9" t="s">
        <v>1089</v>
      </c>
      <c r="G30" s="9" t="s">
        <v>2084</v>
      </c>
      <c r="H30" s="24" t="s">
        <v>2172</v>
      </c>
      <c r="I30" s="8" t="s">
        <v>1374</v>
      </c>
      <c r="J30" s="16" t="s">
        <v>1271</v>
      </c>
      <c r="K30" s="24" t="s">
        <v>1478</v>
      </c>
      <c r="L30" s="9" t="s">
        <v>4851</v>
      </c>
      <c r="M30" s="9" t="s">
        <v>3473</v>
      </c>
      <c r="N30" s="9" t="s">
        <v>1576</v>
      </c>
      <c r="O30" s="9" t="s">
        <v>3193</v>
      </c>
      <c r="P30" s="9" t="s">
        <v>1656</v>
      </c>
      <c r="Q30" s="8" t="s">
        <v>2355</v>
      </c>
      <c r="R30" s="9" t="s">
        <v>2494</v>
      </c>
      <c r="S30" s="8" t="s">
        <v>2622</v>
      </c>
      <c r="T30" s="3" t="s">
        <v>2693</v>
      </c>
      <c r="U30" s="3" t="s">
        <v>2737</v>
      </c>
      <c r="V30" s="3" t="s">
        <v>1745</v>
      </c>
      <c r="W30" s="3" t="s">
        <v>2794</v>
      </c>
      <c r="X30" s="44" t="s">
        <v>4524</v>
      </c>
      <c r="Y30" s="3" t="s">
        <v>1837</v>
      </c>
      <c r="Z30" s="3" t="s">
        <v>1837</v>
      </c>
      <c r="AA30" s="3" t="s">
        <v>1042</v>
      </c>
      <c r="AB30" s="3" t="s">
        <v>4239</v>
      </c>
      <c r="AC30" s="3" t="s">
        <v>1933</v>
      </c>
      <c r="AD30" s="3" t="s">
        <v>4274</v>
      </c>
      <c r="AE30" s="3" t="s">
        <v>3405</v>
      </c>
      <c r="AF30" s="3" t="s">
        <v>4035</v>
      </c>
      <c r="AG30" s="3" t="s">
        <v>4663</v>
      </c>
    </row>
    <row r="31" spans="1:33" x14ac:dyDescent="0.25">
      <c r="A31" s="15" t="s">
        <v>978</v>
      </c>
      <c r="B31" s="15" t="s">
        <v>979</v>
      </c>
      <c r="C31" s="9" t="s">
        <v>5013</v>
      </c>
      <c r="D31" s="9" t="s">
        <v>2973</v>
      </c>
      <c r="E31" s="9" t="s">
        <v>1190</v>
      </c>
      <c r="F31" s="9" t="s">
        <v>1090</v>
      </c>
      <c r="G31" s="9" t="s">
        <v>1090</v>
      </c>
      <c r="H31" s="24" t="s">
        <v>2173</v>
      </c>
      <c r="I31" s="8" t="s">
        <v>1375</v>
      </c>
      <c r="J31" s="16" t="s">
        <v>1272</v>
      </c>
      <c r="K31" s="24" t="s">
        <v>1479</v>
      </c>
      <c r="L31" s="9" t="s">
        <v>4852</v>
      </c>
      <c r="M31" s="9" t="s">
        <v>3474</v>
      </c>
      <c r="N31" s="9" t="s">
        <v>1577</v>
      </c>
      <c r="O31" s="9" t="s">
        <v>3194</v>
      </c>
      <c r="P31" s="9" t="s">
        <v>1657</v>
      </c>
      <c r="Q31" s="8" t="s">
        <v>2356</v>
      </c>
      <c r="R31" s="9" t="s">
        <v>2495</v>
      </c>
      <c r="S31" s="8" t="s">
        <v>2623</v>
      </c>
      <c r="T31" s="3" t="s">
        <v>1090</v>
      </c>
      <c r="U31" s="3" t="s">
        <v>2738</v>
      </c>
      <c r="V31" s="3" t="s">
        <v>1746</v>
      </c>
      <c r="W31" s="3" t="s">
        <v>2795</v>
      </c>
      <c r="X31" s="44" t="s">
        <v>2909</v>
      </c>
      <c r="Y31" s="3" t="s">
        <v>1838</v>
      </c>
      <c r="Z31" s="3" t="s">
        <v>1838</v>
      </c>
      <c r="AA31" s="3" t="s">
        <v>1043</v>
      </c>
      <c r="AB31" s="3" t="s">
        <v>4240</v>
      </c>
      <c r="AC31" s="3" t="s">
        <v>1934</v>
      </c>
      <c r="AD31" s="3" t="s">
        <v>4275</v>
      </c>
      <c r="AE31" s="3" t="s">
        <v>3406</v>
      </c>
      <c r="AF31" s="3" t="s">
        <v>4036</v>
      </c>
      <c r="AG31" s="3" t="s">
        <v>2030</v>
      </c>
    </row>
    <row r="32" spans="1:33" x14ac:dyDescent="0.25">
      <c r="A32" s="15" t="s">
        <v>978</v>
      </c>
      <c r="B32" s="15" t="s">
        <v>980</v>
      </c>
      <c r="C32" s="9" t="s">
        <v>5014</v>
      </c>
      <c r="D32" s="9" t="s">
        <v>2974</v>
      </c>
      <c r="E32" s="9" t="s">
        <v>5009</v>
      </c>
      <c r="F32" s="9" t="s">
        <v>1091</v>
      </c>
      <c r="G32" s="9" t="s">
        <v>2085</v>
      </c>
      <c r="H32" s="24" t="s">
        <v>2174</v>
      </c>
      <c r="I32" s="8" t="s">
        <v>1376</v>
      </c>
      <c r="J32" s="16" t="s">
        <v>1273</v>
      </c>
      <c r="K32" s="24" t="s">
        <v>1480</v>
      </c>
      <c r="L32" s="9" t="s">
        <v>4752</v>
      </c>
      <c r="M32" s="9" t="s">
        <v>3475</v>
      </c>
      <c r="N32" s="9" t="s">
        <v>1578</v>
      </c>
      <c r="O32" s="9" t="s">
        <v>3195</v>
      </c>
      <c r="P32" s="9" t="s">
        <v>1658</v>
      </c>
      <c r="Q32" s="8" t="s">
        <v>2357</v>
      </c>
      <c r="R32" s="9" t="s">
        <v>2496</v>
      </c>
      <c r="S32" s="8" t="s">
        <v>3783</v>
      </c>
      <c r="T32" s="3" t="s">
        <v>2694</v>
      </c>
      <c r="U32" s="3" t="s">
        <v>4907</v>
      </c>
      <c r="V32" s="3" t="s">
        <v>1747</v>
      </c>
      <c r="W32" s="3" t="s">
        <v>2796</v>
      </c>
      <c r="X32" s="44" t="s">
        <v>4525</v>
      </c>
      <c r="Y32" s="3" t="s">
        <v>4186</v>
      </c>
      <c r="Z32" s="3" t="s">
        <v>1839</v>
      </c>
      <c r="AA32" s="3" t="s">
        <v>1044</v>
      </c>
      <c r="AB32" s="3" t="s">
        <v>4241</v>
      </c>
      <c r="AC32" s="3" t="s">
        <v>1935</v>
      </c>
      <c r="AD32" s="3" t="s">
        <v>4276</v>
      </c>
      <c r="AE32" s="3" t="s">
        <v>4425</v>
      </c>
      <c r="AF32" s="3" t="s">
        <v>4037</v>
      </c>
      <c r="AG32" s="3" t="s">
        <v>4664</v>
      </c>
    </row>
    <row r="33" spans="1:33" x14ac:dyDescent="0.25">
      <c r="A33" s="15" t="s">
        <v>978</v>
      </c>
      <c r="B33" s="15" t="s">
        <v>981</v>
      </c>
      <c r="C33" s="9" t="s">
        <v>5015</v>
      </c>
      <c r="D33" s="9" t="s">
        <v>2975</v>
      </c>
      <c r="E33" s="9" t="s">
        <v>1191</v>
      </c>
      <c r="F33" s="9" t="s">
        <v>1092</v>
      </c>
      <c r="G33" s="9" t="s">
        <v>2086</v>
      </c>
      <c r="H33" s="24" t="s">
        <v>2175</v>
      </c>
      <c r="I33" s="8" t="s">
        <v>1377</v>
      </c>
      <c r="J33" s="16" t="s">
        <v>1274</v>
      </c>
      <c r="K33" s="24" t="s">
        <v>1481</v>
      </c>
      <c r="L33" s="9" t="s">
        <v>4853</v>
      </c>
      <c r="M33" s="9" t="s">
        <v>3476</v>
      </c>
      <c r="N33" s="9" t="s">
        <v>1579</v>
      </c>
      <c r="O33" s="9" t="s">
        <v>3196</v>
      </c>
      <c r="P33" s="9" t="s">
        <v>1659</v>
      </c>
      <c r="Q33" s="8" t="s">
        <v>2358</v>
      </c>
      <c r="R33" s="9" t="s">
        <v>2497</v>
      </c>
      <c r="S33" s="8" t="s">
        <v>4875</v>
      </c>
      <c r="T33" s="3" t="s">
        <v>2695</v>
      </c>
      <c r="U33" s="3" t="s">
        <v>4908</v>
      </c>
      <c r="V33" s="3" t="s">
        <v>1748</v>
      </c>
      <c r="W33" s="3" t="s">
        <v>2797</v>
      </c>
      <c r="X33" s="44" t="s">
        <v>2910</v>
      </c>
      <c r="Y33" s="3" t="s">
        <v>1840</v>
      </c>
      <c r="Z33" s="3" t="s">
        <v>1840</v>
      </c>
      <c r="AA33" s="3" t="s">
        <v>1045</v>
      </c>
      <c r="AB33" s="3" t="s">
        <v>4242</v>
      </c>
      <c r="AC33" s="3" t="s">
        <v>1936</v>
      </c>
      <c r="AD33" s="3" t="s">
        <v>4277</v>
      </c>
      <c r="AE33" s="3" t="s">
        <v>4426</v>
      </c>
      <c r="AF33" s="3" t="s">
        <v>4038</v>
      </c>
      <c r="AG33" s="3" t="s">
        <v>4665</v>
      </c>
    </row>
    <row r="34" spans="1:33" x14ac:dyDescent="0.25">
      <c r="A34" s="15" t="s">
        <v>978</v>
      </c>
      <c r="B34" s="15" t="s">
        <v>982</v>
      </c>
      <c r="C34" s="9" t="s">
        <v>5016</v>
      </c>
      <c r="D34" s="9" t="s">
        <v>2976</v>
      </c>
      <c r="E34" s="9" t="s">
        <v>1192</v>
      </c>
      <c r="F34" s="9" t="s">
        <v>1093</v>
      </c>
      <c r="G34" s="9" t="s">
        <v>2087</v>
      </c>
      <c r="H34" s="24" t="s">
        <v>2176</v>
      </c>
      <c r="I34" s="8" t="s">
        <v>1378</v>
      </c>
      <c r="J34" s="16" t="s">
        <v>1275</v>
      </c>
      <c r="K34" s="24" t="s">
        <v>1482</v>
      </c>
      <c r="L34" s="9" t="s">
        <v>4753</v>
      </c>
      <c r="M34" s="9" t="s">
        <v>3477</v>
      </c>
      <c r="N34" s="9" t="s">
        <v>4620</v>
      </c>
      <c r="O34" s="9" t="s">
        <v>3197</v>
      </c>
      <c r="P34" s="9" t="s">
        <v>1660</v>
      </c>
      <c r="Q34" s="8" t="s">
        <v>2359</v>
      </c>
      <c r="R34" s="9" t="s">
        <v>2498</v>
      </c>
      <c r="S34" s="8" t="s">
        <v>2624</v>
      </c>
      <c r="T34" s="3" t="s">
        <v>2696</v>
      </c>
      <c r="U34" s="3" t="s">
        <v>4909</v>
      </c>
      <c r="V34" s="3" t="s">
        <v>1749</v>
      </c>
      <c r="W34" s="3" t="s">
        <v>2798</v>
      </c>
      <c r="X34" s="44" t="s">
        <v>2911</v>
      </c>
      <c r="Y34" s="3" t="s">
        <v>1841</v>
      </c>
      <c r="Z34" s="3" t="s">
        <v>1841</v>
      </c>
      <c r="AA34" s="3" t="s">
        <v>1841</v>
      </c>
      <c r="AB34" s="3" t="s">
        <v>4243</v>
      </c>
      <c r="AC34" s="3" t="s">
        <v>1937</v>
      </c>
      <c r="AD34" s="3" t="s">
        <v>4278</v>
      </c>
      <c r="AE34" s="3" t="s">
        <v>4427</v>
      </c>
      <c r="AF34" s="3" t="s">
        <v>4039</v>
      </c>
      <c r="AG34" s="3" t="s">
        <v>4666</v>
      </c>
    </row>
    <row r="35" spans="1:33" x14ac:dyDescent="0.25">
      <c r="A35" s="15" t="s">
        <v>978</v>
      </c>
      <c r="B35" s="15" t="s">
        <v>983</v>
      </c>
      <c r="C35" s="9" t="s">
        <v>5017</v>
      </c>
      <c r="D35" s="9" t="s">
        <v>2977</v>
      </c>
      <c r="E35" s="9" t="s">
        <v>1193</v>
      </c>
      <c r="F35" s="9" t="s">
        <v>1094</v>
      </c>
      <c r="G35" s="9" t="s">
        <v>2088</v>
      </c>
      <c r="H35" s="24" t="s">
        <v>2177</v>
      </c>
      <c r="I35" s="8" t="s">
        <v>1379</v>
      </c>
      <c r="J35" s="16" t="s">
        <v>1276</v>
      </c>
      <c r="K35" s="24" t="s">
        <v>1483</v>
      </c>
      <c r="L35" s="9" t="s">
        <v>4854</v>
      </c>
      <c r="M35" s="9" t="s">
        <v>3478</v>
      </c>
      <c r="N35" s="9" t="s">
        <v>1580</v>
      </c>
      <c r="O35" s="9" t="s">
        <v>3198</v>
      </c>
      <c r="P35" s="9" t="s">
        <v>1661</v>
      </c>
      <c r="Q35" s="8" t="s">
        <v>2360</v>
      </c>
      <c r="R35" s="9" t="s">
        <v>2499</v>
      </c>
      <c r="S35" s="8" t="s">
        <v>2625</v>
      </c>
      <c r="T35" s="3" t="s">
        <v>2697</v>
      </c>
      <c r="U35" s="3" t="s">
        <v>2739</v>
      </c>
      <c r="V35" s="3" t="s">
        <v>1750</v>
      </c>
      <c r="W35" s="3" t="s">
        <v>2799</v>
      </c>
      <c r="X35" s="44" t="s">
        <v>4526</v>
      </c>
      <c r="Y35" s="3" t="s">
        <v>1842</v>
      </c>
      <c r="Z35" s="3" t="s">
        <v>1842</v>
      </c>
      <c r="AA35" s="3" t="s">
        <v>3716</v>
      </c>
      <c r="AB35" s="3" t="s">
        <v>4244</v>
      </c>
      <c r="AC35" s="3" t="s">
        <v>1938</v>
      </c>
      <c r="AD35" s="3" t="s">
        <v>4279</v>
      </c>
      <c r="AE35" s="3" t="s">
        <v>3407</v>
      </c>
      <c r="AF35" s="3" t="s">
        <v>4040</v>
      </c>
      <c r="AG35" s="3" t="s">
        <v>4667</v>
      </c>
    </row>
    <row r="36" spans="1:33" ht="15" customHeight="1" x14ac:dyDescent="0.25">
      <c r="A36" s="15" t="s">
        <v>978</v>
      </c>
      <c r="B36" s="15" t="s">
        <v>984</v>
      </c>
      <c r="C36" s="9" t="s">
        <v>5018</v>
      </c>
      <c r="D36" s="9" t="s">
        <v>2977</v>
      </c>
      <c r="E36" s="9" t="s">
        <v>1194</v>
      </c>
      <c r="F36" s="9" t="s">
        <v>1095</v>
      </c>
      <c r="G36" s="9" t="s">
        <v>2089</v>
      </c>
      <c r="H36" s="24" t="s">
        <v>2178</v>
      </c>
      <c r="I36" s="8" t="s">
        <v>1380</v>
      </c>
      <c r="J36" s="16" t="s">
        <v>1277</v>
      </c>
      <c r="K36" s="24" t="s">
        <v>1484</v>
      </c>
      <c r="L36" s="9" t="s">
        <v>4855</v>
      </c>
      <c r="M36" s="9" t="s">
        <v>3479</v>
      </c>
      <c r="N36" s="9" t="s">
        <v>4621</v>
      </c>
      <c r="O36" s="9" t="s">
        <v>3198</v>
      </c>
      <c r="P36" s="9" t="s">
        <v>1661</v>
      </c>
      <c r="Q36" s="8" t="s">
        <v>2361</v>
      </c>
      <c r="R36" s="9" t="s">
        <v>2500</v>
      </c>
      <c r="S36" s="8" t="s">
        <v>2626</v>
      </c>
      <c r="T36" s="3" t="s">
        <v>2698</v>
      </c>
      <c r="U36" s="3" t="s">
        <v>2740</v>
      </c>
      <c r="V36" s="3" t="s">
        <v>1751</v>
      </c>
      <c r="W36" s="3" t="s">
        <v>2800</v>
      </c>
      <c r="X36" s="44" t="s">
        <v>2912</v>
      </c>
      <c r="Y36" s="3" t="s">
        <v>1843</v>
      </c>
      <c r="Z36" s="3" t="s">
        <v>1843</v>
      </c>
      <c r="AA36" s="3" t="s">
        <v>1046</v>
      </c>
      <c r="AB36" s="3" t="s">
        <v>4245</v>
      </c>
      <c r="AC36" s="3" t="s">
        <v>1939</v>
      </c>
      <c r="AD36" s="3" t="s">
        <v>4280</v>
      </c>
      <c r="AE36" s="3" t="s">
        <v>3408</v>
      </c>
      <c r="AF36" s="3" t="s">
        <v>4041</v>
      </c>
      <c r="AG36" s="3" t="s">
        <v>4668</v>
      </c>
    </row>
    <row r="37" spans="1:33" ht="15" customHeight="1" x14ac:dyDescent="0.25">
      <c r="A37" s="15" t="s">
        <v>978</v>
      </c>
      <c r="B37" s="15" t="s">
        <v>985</v>
      </c>
      <c r="C37" s="9" t="s">
        <v>5019</v>
      </c>
      <c r="D37" s="9" t="s">
        <v>2977</v>
      </c>
      <c r="E37" s="9" t="s">
        <v>1195</v>
      </c>
      <c r="F37" s="9" t="s">
        <v>3876</v>
      </c>
      <c r="G37" s="9" t="s">
        <v>3918</v>
      </c>
      <c r="H37" s="24" t="s">
        <v>2179</v>
      </c>
      <c r="I37" s="8" t="s">
        <v>1381</v>
      </c>
      <c r="J37" s="16" t="s">
        <v>1278</v>
      </c>
      <c r="K37" s="24" t="s">
        <v>1485</v>
      </c>
      <c r="L37" s="9" t="s">
        <v>4856</v>
      </c>
      <c r="M37" s="9" t="s">
        <v>985</v>
      </c>
      <c r="N37" s="9" t="s">
        <v>4622</v>
      </c>
      <c r="O37" s="9" t="s">
        <v>3199</v>
      </c>
      <c r="P37" s="9" t="s">
        <v>985</v>
      </c>
      <c r="Q37" s="8" t="s">
        <v>2362</v>
      </c>
      <c r="R37" s="9" t="s">
        <v>2499</v>
      </c>
      <c r="S37" s="8" t="s">
        <v>2627</v>
      </c>
      <c r="T37" s="3" t="s">
        <v>3620</v>
      </c>
      <c r="U37" s="3" t="s">
        <v>2741</v>
      </c>
      <c r="V37" s="3" t="s">
        <v>1751</v>
      </c>
      <c r="W37" s="3" t="s">
        <v>2362</v>
      </c>
      <c r="X37" s="44" t="s">
        <v>4527</v>
      </c>
      <c r="Y37" s="3" t="s">
        <v>1047</v>
      </c>
      <c r="Z37" s="3" t="s">
        <v>1047</v>
      </c>
      <c r="AA37" s="3" t="s">
        <v>1047</v>
      </c>
      <c r="AB37" s="3" t="s">
        <v>4246</v>
      </c>
      <c r="AC37" s="3" t="s">
        <v>1939</v>
      </c>
      <c r="AD37" s="3" t="s">
        <v>4281</v>
      </c>
      <c r="AE37" s="3" t="s">
        <v>4428</v>
      </c>
      <c r="AF37" s="3" t="s">
        <v>4042</v>
      </c>
      <c r="AG37" s="3" t="s">
        <v>4669</v>
      </c>
    </row>
    <row r="38" spans="1:33" x14ac:dyDescent="0.25">
      <c r="A38" s="15" t="s">
        <v>978</v>
      </c>
      <c r="B38" s="15" t="s">
        <v>986</v>
      </c>
      <c r="C38" s="9" t="s">
        <v>5020</v>
      </c>
      <c r="D38" s="9" t="s">
        <v>2978</v>
      </c>
      <c r="E38" s="9" t="s">
        <v>1196</v>
      </c>
      <c r="F38" s="9" t="s">
        <v>1096</v>
      </c>
      <c r="G38" s="9" t="s">
        <v>1096</v>
      </c>
      <c r="H38" s="24" t="s">
        <v>2180</v>
      </c>
      <c r="I38" s="8" t="s">
        <v>1382</v>
      </c>
      <c r="J38" s="16" t="s">
        <v>1279</v>
      </c>
      <c r="K38" s="24" t="s">
        <v>1486</v>
      </c>
      <c r="L38" s="9" t="s">
        <v>4857</v>
      </c>
      <c r="M38" s="9" t="s">
        <v>3480</v>
      </c>
      <c r="N38" s="9" t="s">
        <v>1581</v>
      </c>
      <c r="O38" s="9" t="s">
        <v>3200</v>
      </c>
      <c r="P38" s="9" t="s">
        <v>1662</v>
      </c>
      <c r="Q38" s="8" t="s">
        <v>2363</v>
      </c>
      <c r="R38" s="9" t="s">
        <v>2501</v>
      </c>
      <c r="S38" s="8" t="s">
        <v>2628</v>
      </c>
      <c r="T38" s="3" t="s">
        <v>1096</v>
      </c>
      <c r="U38" s="3" t="s">
        <v>2742</v>
      </c>
      <c r="V38" s="3" t="s">
        <v>1752</v>
      </c>
      <c r="W38" s="3" t="s">
        <v>2801</v>
      </c>
      <c r="X38" s="44" t="s">
        <v>4528</v>
      </c>
      <c r="Y38" s="3" t="s">
        <v>1048</v>
      </c>
      <c r="Z38" s="3" t="s">
        <v>1048</v>
      </c>
      <c r="AA38" s="3" t="s">
        <v>1048</v>
      </c>
      <c r="AB38" s="3" t="s">
        <v>4247</v>
      </c>
      <c r="AC38" s="3" t="s">
        <v>1940</v>
      </c>
      <c r="AD38" s="3" t="s">
        <v>4282</v>
      </c>
      <c r="AE38" s="3" t="s">
        <v>3409</v>
      </c>
      <c r="AF38" s="3" t="s">
        <v>4043</v>
      </c>
      <c r="AG38" s="3" t="s">
        <v>2031</v>
      </c>
    </row>
    <row r="39" spans="1:33" ht="120" x14ac:dyDescent="0.25">
      <c r="A39" s="15" t="s">
        <v>978</v>
      </c>
      <c r="B39" s="15" t="s">
        <v>910</v>
      </c>
      <c r="C39" s="9" t="s">
        <v>1003</v>
      </c>
      <c r="D39" s="9" t="s">
        <v>2979</v>
      </c>
      <c r="E39" s="9" t="s">
        <v>1197</v>
      </c>
      <c r="F39" s="9" t="s">
        <v>1097</v>
      </c>
      <c r="G39" s="9" t="s">
        <v>2090</v>
      </c>
      <c r="H39" s="9" t="s">
        <v>2181</v>
      </c>
      <c r="I39" s="8" t="s">
        <v>1383</v>
      </c>
      <c r="J39" s="16" t="s">
        <v>1280</v>
      </c>
      <c r="K39" s="9" t="s">
        <v>1487</v>
      </c>
      <c r="L39" s="9" t="s">
        <v>4754</v>
      </c>
      <c r="M39" s="9" t="s">
        <v>3481</v>
      </c>
      <c r="N39" s="9" t="s">
        <v>1582</v>
      </c>
      <c r="O39" s="9" t="s">
        <v>3201</v>
      </c>
      <c r="P39" s="9" t="s">
        <v>3330</v>
      </c>
      <c r="Q39" s="8" t="s">
        <v>3128</v>
      </c>
      <c r="R39" s="9" t="s">
        <v>2502</v>
      </c>
      <c r="S39" s="8" t="s">
        <v>3784</v>
      </c>
      <c r="T39" s="3" t="s">
        <v>3674</v>
      </c>
      <c r="U39" s="3" t="s">
        <v>4910</v>
      </c>
      <c r="V39" s="3" t="s">
        <v>1753</v>
      </c>
      <c r="W39" s="3" t="s">
        <v>2802</v>
      </c>
      <c r="X39" s="44" t="s">
        <v>4529</v>
      </c>
      <c r="Y39" s="3" t="s">
        <v>3772</v>
      </c>
      <c r="Z39" s="3" t="s">
        <v>1844</v>
      </c>
      <c r="AA39" s="3" t="s">
        <v>3717</v>
      </c>
      <c r="AB39" s="3" t="s">
        <v>3975</v>
      </c>
      <c r="AC39" s="3" t="s">
        <v>1941</v>
      </c>
      <c r="AD39" s="3" t="s">
        <v>4283</v>
      </c>
      <c r="AE39" s="3" t="s">
        <v>4429</v>
      </c>
      <c r="AF39" s="3" t="s">
        <v>4044</v>
      </c>
      <c r="AG39" s="3" t="s">
        <v>4670</v>
      </c>
    </row>
    <row r="40" spans="1:33" x14ac:dyDescent="0.25">
      <c r="A40" s="15" t="s">
        <v>978</v>
      </c>
      <c r="B40" s="15" t="s">
        <v>994</v>
      </c>
      <c r="C40" s="9" t="s">
        <v>994</v>
      </c>
      <c r="D40" s="9" t="s">
        <v>2980</v>
      </c>
      <c r="E40" s="9" t="s">
        <v>1198</v>
      </c>
      <c r="F40" s="9" t="s">
        <v>1098</v>
      </c>
      <c r="G40" s="9" t="s">
        <v>2091</v>
      </c>
      <c r="H40" s="9" t="s">
        <v>2182</v>
      </c>
      <c r="I40" s="8" t="s">
        <v>1384</v>
      </c>
      <c r="J40" s="16" t="s">
        <v>1281</v>
      </c>
      <c r="K40" s="9" t="s">
        <v>1488</v>
      </c>
      <c r="L40" s="9" t="s">
        <v>4755</v>
      </c>
      <c r="M40" s="9" t="s">
        <v>3482</v>
      </c>
      <c r="N40" s="9" t="s">
        <v>1583</v>
      </c>
      <c r="O40" s="9" t="s">
        <v>3202</v>
      </c>
      <c r="P40" s="9" t="s">
        <v>1663</v>
      </c>
      <c r="Q40" s="8" t="s">
        <v>2364</v>
      </c>
      <c r="R40" s="9" t="s">
        <v>2503</v>
      </c>
      <c r="S40" s="8" t="s">
        <v>2629</v>
      </c>
      <c r="T40" s="3" t="s">
        <v>2699</v>
      </c>
      <c r="U40" s="3" t="s">
        <v>2743</v>
      </c>
      <c r="V40" s="3" t="s">
        <v>1754</v>
      </c>
      <c r="W40" s="3" t="s">
        <v>2364</v>
      </c>
      <c r="X40" s="44" t="s">
        <v>4530</v>
      </c>
      <c r="Y40" s="3" t="s">
        <v>1845</v>
      </c>
      <c r="Z40" s="3" t="s">
        <v>1845</v>
      </c>
      <c r="AA40" s="3" t="s">
        <v>1049</v>
      </c>
      <c r="AB40" s="3" t="s">
        <v>1049</v>
      </c>
      <c r="AC40" s="3" t="s">
        <v>1942</v>
      </c>
      <c r="AD40" s="3" t="s">
        <v>4284</v>
      </c>
      <c r="AE40" s="3" t="s">
        <v>3410</v>
      </c>
      <c r="AF40" s="3" t="s">
        <v>4045</v>
      </c>
      <c r="AG40" s="3" t="s">
        <v>2032</v>
      </c>
    </row>
    <row r="41" spans="1:33" x14ac:dyDescent="0.25">
      <c r="A41" s="15" t="s">
        <v>72</v>
      </c>
      <c r="B41" s="15" t="s">
        <v>990</v>
      </c>
      <c r="C41" s="9" t="s">
        <v>990</v>
      </c>
      <c r="D41" s="9" t="s">
        <v>2981</v>
      </c>
      <c r="E41" s="9" t="s">
        <v>1199</v>
      </c>
      <c r="F41" s="9" t="s">
        <v>1099</v>
      </c>
      <c r="G41" s="9" t="s">
        <v>2092</v>
      </c>
      <c r="H41" s="9" t="s">
        <v>2183</v>
      </c>
      <c r="I41" s="8" t="s">
        <v>1385</v>
      </c>
      <c r="J41" s="16" t="s">
        <v>1282</v>
      </c>
      <c r="K41" s="9" t="s">
        <v>1489</v>
      </c>
      <c r="L41" s="9" t="s">
        <v>4756</v>
      </c>
      <c r="M41" s="9" t="s">
        <v>3483</v>
      </c>
      <c r="N41" s="9" t="s">
        <v>1584</v>
      </c>
      <c r="O41" s="9" t="s">
        <v>3203</v>
      </c>
      <c r="P41" s="9" t="s">
        <v>1664</v>
      </c>
      <c r="Q41" s="8" t="s">
        <v>2365</v>
      </c>
      <c r="R41" s="9" t="s">
        <v>2504</v>
      </c>
      <c r="S41" s="8" t="s">
        <v>2630</v>
      </c>
      <c r="T41" s="3" t="s">
        <v>2700</v>
      </c>
      <c r="U41" s="3" t="s">
        <v>2744</v>
      </c>
      <c r="V41" s="3" t="s">
        <v>1755</v>
      </c>
      <c r="W41" s="3" t="s">
        <v>2803</v>
      </c>
      <c r="X41" s="44" t="s">
        <v>4531</v>
      </c>
      <c r="Y41" s="3" t="s">
        <v>1846</v>
      </c>
      <c r="Z41" s="3" t="s">
        <v>1846</v>
      </c>
      <c r="AA41" s="3" t="s">
        <v>1050</v>
      </c>
      <c r="AB41" s="3" t="s">
        <v>1050</v>
      </c>
      <c r="AC41" s="3" t="s">
        <v>1943</v>
      </c>
      <c r="AD41" s="3" t="s">
        <v>4285</v>
      </c>
      <c r="AE41" s="3" t="s">
        <v>4430</v>
      </c>
      <c r="AF41" s="3" t="s">
        <v>4046</v>
      </c>
      <c r="AG41" s="3" t="s">
        <v>4671</v>
      </c>
    </row>
    <row r="42" spans="1:33" ht="30" x14ac:dyDescent="0.25">
      <c r="A42" s="15" t="s">
        <v>72</v>
      </c>
      <c r="B42" s="15" t="s">
        <v>991</v>
      </c>
      <c r="C42" s="9" t="s">
        <v>999</v>
      </c>
      <c r="D42" s="9" t="s">
        <v>3347</v>
      </c>
      <c r="E42" s="9" t="s">
        <v>2137</v>
      </c>
      <c r="F42" s="9" t="s">
        <v>1100</v>
      </c>
      <c r="G42" s="9" t="s">
        <v>2093</v>
      </c>
      <c r="H42" s="9" t="s">
        <v>2184</v>
      </c>
      <c r="I42" s="8" t="s">
        <v>1386</v>
      </c>
      <c r="J42" s="16" t="s">
        <v>2143</v>
      </c>
      <c r="K42" s="9" t="s">
        <v>1490</v>
      </c>
      <c r="L42" s="9" t="s">
        <v>2303</v>
      </c>
      <c r="M42" s="9" t="s">
        <v>3484</v>
      </c>
      <c r="N42" s="9" t="s">
        <v>1585</v>
      </c>
      <c r="O42" s="9" t="s">
        <v>3344</v>
      </c>
      <c r="P42" s="9" t="s">
        <v>1665</v>
      </c>
      <c r="Q42" s="8" t="s">
        <v>3133</v>
      </c>
      <c r="R42" s="9" t="s">
        <v>2505</v>
      </c>
      <c r="S42" s="8" t="s">
        <v>2631</v>
      </c>
      <c r="T42" s="3" t="s">
        <v>3621</v>
      </c>
      <c r="U42" s="3" t="s">
        <v>2745</v>
      </c>
      <c r="V42" s="3" t="s">
        <v>1756</v>
      </c>
      <c r="W42" s="3" t="s">
        <v>3133</v>
      </c>
      <c r="X42" s="44" t="s">
        <v>3350</v>
      </c>
      <c r="Y42" s="3" t="s">
        <v>2146</v>
      </c>
      <c r="Z42" s="3" t="s">
        <v>2146</v>
      </c>
      <c r="AA42" s="3" t="s">
        <v>1171</v>
      </c>
      <c r="AB42" s="3" t="s">
        <v>1171</v>
      </c>
      <c r="AC42" s="3" t="s">
        <v>1944</v>
      </c>
      <c r="AD42" s="3" t="s">
        <v>4286</v>
      </c>
      <c r="AE42" s="3" t="s">
        <v>3411</v>
      </c>
      <c r="AF42" s="3" t="s">
        <v>4163</v>
      </c>
      <c r="AG42" s="3" t="s">
        <v>2033</v>
      </c>
    </row>
    <row r="43" spans="1:33" ht="30" x14ac:dyDescent="0.25">
      <c r="A43" s="15" t="s">
        <v>72</v>
      </c>
      <c r="B43" s="15" t="s">
        <v>992</v>
      </c>
      <c r="C43" s="9" t="s">
        <v>1000</v>
      </c>
      <c r="D43" s="9" t="s">
        <v>3349</v>
      </c>
      <c r="E43" s="9" t="s">
        <v>2138</v>
      </c>
      <c r="F43" s="9" t="s">
        <v>1165</v>
      </c>
      <c r="G43" s="9" t="s">
        <v>3168</v>
      </c>
      <c r="H43" s="9" t="s">
        <v>2185</v>
      </c>
      <c r="I43" s="8" t="s">
        <v>2140</v>
      </c>
      <c r="J43" s="16" t="s">
        <v>2144</v>
      </c>
      <c r="K43" s="9" t="s">
        <v>2142</v>
      </c>
      <c r="L43" s="9" t="s">
        <v>4757</v>
      </c>
      <c r="M43" s="9" t="s">
        <v>3485</v>
      </c>
      <c r="N43" s="9" t="s">
        <v>1586</v>
      </c>
      <c r="O43" s="9" t="s">
        <v>3345</v>
      </c>
      <c r="P43" s="9" t="s">
        <v>1666</v>
      </c>
      <c r="Q43" s="8" t="s">
        <v>3131</v>
      </c>
      <c r="R43" s="9" t="s">
        <v>2506</v>
      </c>
      <c r="S43" s="8" t="s">
        <v>2632</v>
      </c>
      <c r="T43" s="3" t="s">
        <v>3604</v>
      </c>
      <c r="U43" s="3" t="s">
        <v>2746</v>
      </c>
      <c r="V43" s="3" t="s">
        <v>1757</v>
      </c>
      <c r="W43" s="3" t="s">
        <v>3131</v>
      </c>
      <c r="X43" s="44" t="s">
        <v>4532</v>
      </c>
      <c r="Y43" s="3" t="s">
        <v>2147</v>
      </c>
      <c r="Z43" s="3" t="s">
        <v>2147</v>
      </c>
      <c r="AA43" s="3" t="s">
        <v>1172</v>
      </c>
      <c r="AB43" s="3" t="s">
        <v>1172</v>
      </c>
      <c r="AC43" s="3" t="s">
        <v>1945</v>
      </c>
      <c r="AD43" s="3" t="s">
        <v>4287</v>
      </c>
      <c r="AE43" s="3" t="s">
        <v>3412</v>
      </c>
      <c r="AF43" s="3" t="s">
        <v>4164</v>
      </c>
      <c r="AG43" s="3" t="s">
        <v>2034</v>
      </c>
    </row>
    <row r="44" spans="1:33" ht="30" x14ac:dyDescent="0.25">
      <c r="A44" s="15" t="s">
        <v>72</v>
      </c>
      <c r="B44" s="15" t="s">
        <v>993</v>
      </c>
      <c r="C44" s="9" t="s">
        <v>1002</v>
      </c>
      <c r="D44" s="9" t="s">
        <v>3348</v>
      </c>
      <c r="E44" s="9" t="s">
        <v>2139</v>
      </c>
      <c r="F44" s="9" t="s">
        <v>1101</v>
      </c>
      <c r="G44" s="9" t="s">
        <v>2094</v>
      </c>
      <c r="H44" s="9" t="s">
        <v>2186</v>
      </c>
      <c r="I44" s="8" t="s">
        <v>2141</v>
      </c>
      <c r="J44" s="16" t="s">
        <v>2145</v>
      </c>
      <c r="K44" s="9" t="s">
        <v>1491</v>
      </c>
      <c r="L44" s="9" t="s">
        <v>2304</v>
      </c>
      <c r="M44" s="9" t="s">
        <v>3486</v>
      </c>
      <c r="N44" s="9" t="s">
        <v>1587</v>
      </c>
      <c r="O44" s="9" t="s">
        <v>3346</v>
      </c>
      <c r="P44" s="9" t="s">
        <v>1667</v>
      </c>
      <c r="Q44" s="8" t="s">
        <v>3132</v>
      </c>
      <c r="R44" s="9" t="s">
        <v>2507</v>
      </c>
      <c r="S44" s="8" t="s">
        <v>2633</v>
      </c>
      <c r="T44" s="3" t="s">
        <v>2701</v>
      </c>
      <c r="U44" s="3" t="s">
        <v>2747</v>
      </c>
      <c r="V44" s="3" t="s">
        <v>1758</v>
      </c>
      <c r="W44" s="3" t="s">
        <v>3134</v>
      </c>
      <c r="X44" s="44" t="s">
        <v>4533</v>
      </c>
      <c r="Y44" s="3" t="s">
        <v>2148</v>
      </c>
      <c r="Z44" s="3" t="s">
        <v>2148</v>
      </c>
      <c r="AA44" s="3" t="s">
        <v>1173</v>
      </c>
      <c r="AB44" s="3" t="s">
        <v>1173</v>
      </c>
      <c r="AC44" s="3" t="s">
        <v>1946</v>
      </c>
      <c r="AD44" s="3" t="s">
        <v>4288</v>
      </c>
      <c r="AE44" s="3" t="s">
        <v>3413</v>
      </c>
      <c r="AF44" s="3" t="s">
        <v>4165</v>
      </c>
      <c r="AG44" s="3" t="s">
        <v>2035</v>
      </c>
    </row>
    <row r="45" spans="1:33" ht="30" x14ac:dyDescent="0.25">
      <c r="A45" s="15" t="s">
        <v>72</v>
      </c>
      <c r="B45" s="15" t="s">
        <v>998</v>
      </c>
      <c r="C45" s="9" t="s">
        <v>1001</v>
      </c>
      <c r="D45" s="9" t="s">
        <v>2982</v>
      </c>
      <c r="E45" s="9" t="s">
        <v>1200</v>
      </c>
      <c r="F45" s="9" t="s">
        <v>1102</v>
      </c>
      <c r="G45" s="9" t="s">
        <v>2095</v>
      </c>
      <c r="H45" s="9" t="s">
        <v>2187</v>
      </c>
      <c r="I45" s="8" t="s">
        <v>1387</v>
      </c>
      <c r="J45" s="16" t="s">
        <v>1283</v>
      </c>
      <c r="K45" s="9" t="s">
        <v>1492</v>
      </c>
      <c r="L45" s="9" t="s">
        <v>4758</v>
      </c>
      <c r="M45" s="9" t="s">
        <v>3487</v>
      </c>
      <c r="N45" s="9" t="s">
        <v>1588</v>
      </c>
      <c r="O45" s="9" t="s">
        <v>3204</v>
      </c>
      <c r="P45" s="9" t="s">
        <v>1668</v>
      </c>
      <c r="Q45" s="8" t="s">
        <v>2366</v>
      </c>
      <c r="R45" s="9" t="s">
        <v>2508</v>
      </c>
      <c r="S45" s="8" t="s">
        <v>3785</v>
      </c>
      <c r="T45" s="3" t="s">
        <v>3622</v>
      </c>
      <c r="U45" s="3" t="s">
        <v>2748</v>
      </c>
      <c r="V45" s="3" t="s">
        <v>1759</v>
      </c>
      <c r="W45" s="3" t="s">
        <v>2804</v>
      </c>
      <c r="X45" s="44" t="s">
        <v>4534</v>
      </c>
      <c r="Y45" s="3" t="s">
        <v>4187</v>
      </c>
      <c r="Z45" s="3" t="s">
        <v>1847</v>
      </c>
      <c r="AA45" s="3" t="s">
        <v>1051</v>
      </c>
      <c r="AB45" s="3" t="s">
        <v>1051</v>
      </c>
      <c r="AC45" s="3" t="s">
        <v>1947</v>
      </c>
      <c r="AD45" s="3" t="s">
        <v>4289</v>
      </c>
      <c r="AE45" s="3" t="s">
        <v>3414</v>
      </c>
      <c r="AF45" s="3" t="s">
        <v>4047</v>
      </c>
      <c r="AG45" s="3" t="s">
        <v>2036</v>
      </c>
    </row>
    <row r="46" spans="1:33" x14ac:dyDescent="0.25">
      <c r="A46" s="15" t="s">
        <v>72</v>
      </c>
      <c r="B46" s="15" t="s">
        <v>596</v>
      </c>
      <c r="C46" s="9" t="s">
        <v>597</v>
      </c>
      <c r="D46" s="9" t="s">
        <v>2913</v>
      </c>
      <c r="E46" s="9" t="s">
        <v>597</v>
      </c>
      <c r="F46" s="9" t="s">
        <v>598</v>
      </c>
      <c r="G46" s="9" t="s">
        <v>598</v>
      </c>
      <c r="H46" s="9" t="s">
        <v>597</v>
      </c>
      <c r="I46" s="8" t="s">
        <v>661</v>
      </c>
      <c r="J46" s="16" t="s">
        <v>597</v>
      </c>
      <c r="K46" s="9" t="s">
        <v>597</v>
      </c>
      <c r="L46" s="9" t="s">
        <v>597</v>
      </c>
      <c r="M46" s="9" t="s">
        <v>597</v>
      </c>
      <c r="N46" s="9" t="s">
        <v>597</v>
      </c>
      <c r="O46" s="9" t="s">
        <v>3205</v>
      </c>
      <c r="P46" s="9" t="s">
        <v>597</v>
      </c>
      <c r="Q46" s="8" t="s">
        <v>2334</v>
      </c>
      <c r="R46" s="9" t="s">
        <v>597</v>
      </c>
      <c r="S46" s="8" t="s">
        <v>597</v>
      </c>
      <c r="T46" s="3" t="s">
        <v>597</v>
      </c>
      <c r="U46" s="3" t="s">
        <v>597</v>
      </c>
      <c r="V46" s="3" t="s">
        <v>597</v>
      </c>
      <c r="W46" s="3" t="s">
        <v>2334</v>
      </c>
      <c r="X46" s="44" t="s">
        <v>4535</v>
      </c>
      <c r="Y46" s="3" t="s">
        <v>597</v>
      </c>
      <c r="Z46" s="3" t="s">
        <v>597</v>
      </c>
      <c r="AA46" s="3" t="s">
        <v>597</v>
      </c>
      <c r="AB46" s="3" t="s">
        <v>597</v>
      </c>
      <c r="AC46" s="3" t="s">
        <v>601</v>
      </c>
      <c r="AD46" s="3" t="s">
        <v>4290</v>
      </c>
      <c r="AE46" s="3" t="s">
        <v>597</v>
      </c>
      <c r="AF46" s="3" t="s">
        <v>4048</v>
      </c>
      <c r="AG46" s="3" t="s">
        <v>26</v>
      </c>
    </row>
    <row r="47" spans="1:33" x14ac:dyDescent="0.25">
      <c r="A47" s="15" t="s">
        <v>72</v>
      </c>
      <c r="B47" s="15" t="s">
        <v>599</v>
      </c>
      <c r="C47" s="9" t="s">
        <v>599</v>
      </c>
      <c r="D47" s="9" t="s">
        <v>2983</v>
      </c>
      <c r="E47" s="9" t="s">
        <v>599</v>
      </c>
      <c r="F47" s="9" t="s">
        <v>600</v>
      </c>
      <c r="G47" s="9" t="s">
        <v>600</v>
      </c>
      <c r="H47" s="9" t="s">
        <v>599</v>
      </c>
      <c r="I47" s="8" t="s">
        <v>599</v>
      </c>
      <c r="J47" s="16" t="s">
        <v>599</v>
      </c>
      <c r="K47" s="9" t="s">
        <v>599</v>
      </c>
      <c r="L47" s="9" t="s">
        <v>599</v>
      </c>
      <c r="M47" s="9" t="s">
        <v>3488</v>
      </c>
      <c r="N47" s="9" t="s">
        <v>599</v>
      </c>
      <c r="O47" s="9" t="s">
        <v>3206</v>
      </c>
      <c r="P47" s="9" t="s">
        <v>599</v>
      </c>
      <c r="Q47" s="8" t="s">
        <v>2367</v>
      </c>
      <c r="R47" s="9" t="s">
        <v>599</v>
      </c>
      <c r="S47" s="8" t="s">
        <v>599</v>
      </c>
      <c r="T47" s="3" t="s">
        <v>599</v>
      </c>
      <c r="U47" s="3" t="s">
        <v>2749</v>
      </c>
      <c r="V47" s="3" t="s">
        <v>599</v>
      </c>
      <c r="W47" s="3" t="s">
        <v>599</v>
      </c>
      <c r="X47" s="44" t="s">
        <v>2914</v>
      </c>
      <c r="Y47" s="3" t="s">
        <v>599</v>
      </c>
      <c r="Z47" s="3" t="s">
        <v>599</v>
      </c>
      <c r="AA47" s="3" t="s">
        <v>599</v>
      </c>
      <c r="AB47" s="3" t="s">
        <v>599</v>
      </c>
      <c r="AC47" s="3" t="s">
        <v>602</v>
      </c>
      <c r="AD47" s="3" t="s">
        <v>603</v>
      </c>
      <c r="AE47" s="3" t="s">
        <v>599</v>
      </c>
      <c r="AF47" s="3" t="s">
        <v>4049</v>
      </c>
      <c r="AG47" s="3" t="s">
        <v>599</v>
      </c>
    </row>
    <row r="48" spans="1:33" x14ac:dyDescent="0.25">
      <c r="A48" s="15" t="s">
        <v>72</v>
      </c>
      <c r="B48" s="15" t="s">
        <v>604</v>
      </c>
      <c r="C48" s="9" t="s">
        <v>604</v>
      </c>
      <c r="D48" s="9" t="s">
        <v>2984</v>
      </c>
      <c r="E48" s="9" t="s">
        <v>604</v>
      </c>
      <c r="F48" s="9" t="s">
        <v>605</v>
      </c>
      <c r="G48" s="9" t="s">
        <v>605</v>
      </c>
      <c r="H48" s="9" t="s">
        <v>604</v>
      </c>
      <c r="I48" s="8" t="s">
        <v>604</v>
      </c>
      <c r="J48" s="16" t="s">
        <v>604</v>
      </c>
      <c r="K48" s="9" t="s">
        <v>604</v>
      </c>
      <c r="L48" s="9" t="s">
        <v>604</v>
      </c>
      <c r="M48" s="9" t="s">
        <v>604</v>
      </c>
      <c r="N48" s="9" t="s">
        <v>604</v>
      </c>
      <c r="O48" s="9" t="s">
        <v>3207</v>
      </c>
      <c r="P48" s="9" t="s">
        <v>604</v>
      </c>
      <c r="Q48" s="8" t="s">
        <v>2368</v>
      </c>
      <c r="R48" s="9" t="s">
        <v>1493</v>
      </c>
      <c r="S48" s="8" t="s">
        <v>604</v>
      </c>
      <c r="T48" s="3" t="s">
        <v>604</v>
      </c>
      <c r="U48" s="3" t="s">
        <v>4911</v>
      </c>
      <c r="V48" s="3" t="s">
        <v>604</v>
      </c>
      <c r="W48" s="3" t="s">
        <v>604</v>
      </c>
      <c r="X48" s="44" t="s">
        <v>2915</v>
      </c>
      <c r="Y48" s="3" t="s">
        <v>604</v>
      </c>
      <c r="Z48" s="3" t="s">
        <v>604</v>
      </c>
      <c r="AA48" s="3" t="s">
        <v>604</v>
      </c>
      <c r="AB48" s="3" t="s">
        <v>604</v>
      </c>
      <c r="AC48" s="3" t="s">
        <v>606</v>
      </c>
      <c r="AD48" s="3" t="s">
        <v>607</v>
      </c>
      <c r="AE48" s="3" t="s">
        <v>604</v>
      </c>
      <c r="AF48" s="3" t="s">
        <v>4050</v>
      </c>
      <c r="AG48" s="3" t="s">
        <v>604</v>
      </c>
    </row>
    <row r="49" spans="1:33" x14ac:dyDescent="0.25">
      <c r="A49" s="15" t="s">
        <v>72</v>
      </c>
      <c r="B49" s="15" t="s">
        <v>232</v>
      </c>
      <c r="C49" s="9" t="s">
        <v>233</v>
      </c>
      <c r="D49" s="8" t="s">
        <v>2985</v>
      </c>
      <c r="E49" s="8" t="s">
        <v>233</v>
      </c>
      <c r="F49" s="9" t="s">
        <v>251</v>
      </c>
      <c r="G49" s="8" t="s">
        <v>251</v>
      </c>
      <c r="H49" s="16" t="s">
        <v>2188</v>
      </c>
      <c r="I49" s="8" t="s">
        <v>498</v>
      </c>
      <c r="J49" s="16" t="s">
        <v>235</v>
      </c>
      <c r="K49" s="16" t="s">
        <v>233</v>
      </c>
      <c r="L49" s="8" t="s">
        <v>233</v>
      </c>
      <c r="M49" s="8" t="s">
        <v>3489</v>
      </c>
      <c r="N49" s="8" t="s">
        <v>244</v>
      </c>
      <c r="O49" s="8" t="s">
        <v>3208</v>
      </c>
      <c r="P49" s="8" t="s">
        <v>3864</v>
      </c>
      <c r="Q49" s="8" t="s">
        <v>2369</v>
      </c>
      <c r="R49" s="8" t="s">
        <v>233</v>
      </c>
      <c r="S49" s="8" t="s">
        <v>233</v>
      </c>
      <c r="T49" s="3" t="s">
        <v>3623</v>
      </c>
      <c r="U49" s="3" t="s">
        <v>2750</v>
      </c>
      <c r="V49" s="3" t="s">
        <v>287</v>
      </c>
      <c r="W49" s="3" t="s">
        <v>2369</v>
      </c>
      <c r="X49" s="44" t="s">
        <v>2916</v>
      </c>
      <c r="Y49" s="3" t="s">
        <v>250</v>
      </c>
      <c r="Z49" s="3" t="s">
        <v>250</v>
      </c>
      <c r="AA49" s="3" t="s">
        <v>250</v>
      </c>
      <c r="AB49" s="3" t="s">
        <v>250</v>
      </c>
      <c r="AC49" s="3" t="s">
        <v>252</v>
      </c>
      <c r="AD49" s="3" t="s">
        <v>4291</v>
      </c>
      <c r="AE49" s="3" t="s">
        <v>3415</v>
      </c>
      <c r="AF49" s="3" t="s">
        <v>4051</v>
      </c>
      <c r="AG49" s="3" t="s">
        <v>253</v>
      </c>
    </row>
    <row r="50" spans="1:33" x14ac:dyDescent="0.25">
      <c r="A50" s="15" t="s">
        <v>72</v>
      </c>
      <c r="B50" s="15" t="s">
        <v>75</v>
      </c>
      <c r="C50" s="9" t="s">
        <v>75</v>
      </c>
      <c r="D50" s="8" t="s">
        <v>2986</v>
      </c>
      <c r="E50" s="8" t="s">
        <v>212</v>
      </c>
      <c r="F50" s="9" t="s">
        <v>618</v>
      </c>
      <c r="G50" s="8" t="s">
        <v>388</v>
      </c>
      <c r="H50" s="16" t="s">
        <v>2189</v>
      </c>
      <c r="I50" s="8" t="s">
        <v>487</v>
      </c>
      <c r="J50" s="16" t="s">
        <v>564</v>
      </c>
      <c r="K50" s="16" t="s">
        <v>448</v>
      </c>
      <c r="L50" s="8" t="s">
        <v>2305</v>
      </c>
      <c r="M50" s="8" t="s">
        <v>3490</v>
      </c>
      <c r="N50" s="8" t="s">
        <v>236</v>
      </c>
      <c r="O50" s="8" t="s">
        <v>3209</v>
      </c>
      <c r="P50" s="8" t="s">
        <v>524</v>
      </c>
      <c r="Q50" s="8" t="s">
        <v>2370</v>
      </c>
      <c r="R50" s="8" t="s">
        <v>2509</v>
      </c>
      <c r="S50" s="8" t="s">
        <v>2634</v>
      </c>
      <c r="T50" s="3" t="s">
        <v>388</v>
      </c>
      <c r="U50" s="3" t="s">
        <v>4912</v>
      </c>
      <c r="V50" s="3" t="s">
        <v>679</v>
      </c>
      <c r="W50" s="3" t="s">
        <v>2805</v>
      </c>
      <c r="X50" s="44" t="s">
        <v>2917</v>
      </c>
      <c r="Y50" s="3" t="s">
        <v>438</v>
      </c>
      <c r="Z50" s="3" t="s">
        <v>158</v>
      </c>
      <c r="AA50" s="3" t="s">
        <v>226</v>
      </c>
      <c r="AB50" s="3" t="s">
        <v>143</v>
      </c>
      <c r="AC50" s="3" t="s">
        <v>194</v>
      </c>
      <c r="AD50" s="3" t="s">
        <v>4292</v>
      </c>
      <c r="AE50" s="3" t="s">
        <v>4431</v>
      </c>
      <c r="AF50" s="3" t="s">
        <v>4052</v>
      </c>
      <c r="AG50" s="3" t="s">
        <v>185</v>
      </c>
    </row>
    <row r="51" spans="1:33" x14ac:dyDescent="0.25">
      <c r="A51" s="15" t="s">
        <v>72</v>
      </c>
      <c r="B51" s="15" t="s">
        <v>125</v>
      </c>
      <c r="C51" s="9" t="s">
        <v>125</v>
      </c>
      <c r="D51" s="8" t="s">
        <v>2987</v>
      </c>
      <c r="E51" s="8" t="s">
        <v>345</v>
      </c>
      <c r="F51" s="9" t="s">
        <v>172</v>
      </c>
      <c r="G51" s="8" t="s">
        <v>172</v>
      </c>
      <c r="H51" s="16" t="s">
        <v>2190</v>
      </c>
      <c r="I51" s="8" t="s">
        <v>488</v>
      </c>
      <c r="J51" s="16" t="s">
        <v>615</v>
      </c>
      <c r="K51" s="16" t="s">
        <v>257</v>
      </c>
      <c r="L51" s="8" t="s">
        <v>2306</v>
      </c>
      <c r="M51" s="8" t="s">
        <v>3491</v>
      </c>
      <c r="N51" s="8" t="s">
        <v>4623</v>
      </c>
      <c r="O51" s="8" t="s">
        <v>3210</v>
      </c>
      <c r="P51" s="8" t="s">
        <v>525</v>
      </c>
      <c r="Q51" s="8" t="s">
        <v>2371</v>
      </c>
      <c r="R51" s="8" t="s">
        <v>2510</v>
      </c>
      <c r="S51" s="8" t="s">
        <v>2635</v>
      </c>
      <c r="T51" s="3" t="s">
        <v>2702</v>
      </c>
      <c r="U51" s="3" t="s">
        <v>2751</v>
      </c>
      <c r="V51" s="3" t="s">
        <v>680</v>
      </c>
      <c r="W51" s="3" t="s">
        <v>2371</v>
      </c>
      <c r="X51" s="44" t="s">
        <v>2918</v>
      </c>
      <c r="Y51" s="3" t="s">
        <v>144</v>
      </c>
      <c r="Z51" s="3" t="s">
        <v>144</v>
      </c>
      <c r="AA51" s="3" t="s">
        <v>227</v>
      </c>
      <c r="AB51" s="3" t="s">
        <v>358</v>
      </c>
      <c r="AC51" s="3" t="s">
        <v>624</v>
      </c>
      <c r="AD51" s="3" t="s">
        <v>4293</v>
      </c>
      <c r="AE51" s="3" t="s">
        <v>3416</v>
      </c>
      <c r="AF51" s="3" t="s">
        <v>4053</v>
      </c>
      <c r="AG51" s="3" t="s">
        <v>186</v>
      </c>
    </row>
    <row r="52" spans="1:33" x14ac:dyDescent="0.25">
      <c r="A52" s="15" t="s">
        <v>72</v>
      </c>
      <c r="B52" s="15" t="s">
        <v>76</v>
      </c>
      <c r="C52" s="9" t="s">
        <v>76</v>
      </c>
      <c r="D52" s="8" t="s">
        <v>2988</v>
      </c>
      <c r="E52" s="8" t="s">
        <v>213</v>
      </c>
      <c r="F52" s="9" t="s">
        <v>389</v>
      </c>
      <c r="G52" s="8" t="s">
        <v>173</v>
      </c>
      <c r="H52" s="16" t="s">
        <v>2191</v>
      </c>
      <c r="I52" s="8" t="s">
        <v>489</v>
      </c>
      <c r="J52" s="16" t="s">
        <v>565</v>
      </c>
      <c r="K52" s="16" t="s">
        <v>671</v>
      </c>
      <c r="L52" s="8" t="s">
        <v>2307</v>
      </c>
      <c r="M52" s="8" t="s">
        <v>3492</v>
      </c>
      <c r="N52" s="8" t="s">
        <v>667</v>
      </c>
      <c r="O52" s="8" t="s">
        <v>3211</v>
      </c>
      <c r="P52" s="8" t="s">
        <v>526</v>
      </c>
      <c r="Q52" s="8" t="s">
        <v>2372</v>
      </c>
      <c r="R52" s="8" t="s">
        <v>2511</v>
      </c>
      <c r="S52" s="8" t="s">
        <v>3786</v>
      </c>
      <c r="T52" s="3" t="s">
        <v>3624</v>
      </c>
      <c r="U52" s="3" t="s">
        <v>4913</v>
      </c>
      <c r="V52" s="3" t="s">
        <v>681</v>
      </c>
      <c r="W52" s="3" t="s">
        <v>2806</v>
      </c>
      <c r="X52" s="44" t="s">
        <v>2919</v>
      </c>
      <c r="Y52" s="3" t="s">
        <v>145</v>
      </c>
      <c r="Z52" s="3" t="s">
        <v>145</v>
      </c>
      <c r="AA52" s="3" t="s">
        <v>128</v>
      </c>
      <c r="AB52" s="3" t="s">
        <v>128</v>
      </c>
      <c r="AC52" s="3" t="s">
        <v>625</v>
      </c>
      <c r="AD52" s="3" t="s">
        <v>4294</v>
      </c>
      <c r="AE52" s="3" t="s">
        <v>4432</v>
      </c>
      <c r="AF52" s="3" t="s">
        <v>4054</v>
      </c>
      <c r="AG52" s="3" t="s">
        <v>187</v>
      </c>
    </row>
    <row r="53" spans="1:33" x14ac:dyDescent="0.25">
      <c r="A53" s="15" t="s">
        <v>72</v>
      </c>
      <c r="B53" s="15" t="s">
        <v>77</v>
      </c>
      <c r="C53" s="9" t="s">
        <v>77</v>
      </c>
      <c r="D53" s="8" t="s">
        <v>2989</v>
      </c>
      <c r="E53" s="8" t="s">
        <v>214</v>
      </c>
      <c r="F53" s="9" t="s">
        <v>390</v>
      </c>
      <c r="G53" s="8" t="s">
        <v>174</v>
      </c>
      <c r="H53" s="16" t="s">
        <v>2192</v>
      </c>
      <c r="I53" s="8" t="s">
        <v>490</v>
      </c>
      <c r="J53" s="16" t="s">
        <v>121</v>
      </c>
      <c r="K53" s="16" t="s">
        <v>672</v>
      </c>
      <c r="L53" s="8" t="s">
        <v>2308</v>
      </c>
      <c r="M53" s="8" t="s">
        <v>3493</v>
      </c>
      <c r="N53" s="8" t="s">
        <v>237</v>
      </c>
      <c r="O53" s="8" t="s">
        <v>3212</v>
      </c>
      <c r="P53" s="8" t="s">
        <v>527</v>
      </c>
      <c r="Q53" s="8" t="s">
        <v>2373</v>
      </c>
      <c r="R53" s="8" t="s">
        <v>2512</v>
      </c>
      <c r="S53" s="8" t="s">
        <v>2636</v>
      </c>
      <c r="T53" s="3" t="s">
        <v>3625</v>
      </c>
      <c r="U53" s="3" t="s">
        <v>4914</v>
      </c>
      <c r="V53" s="3" t="s">
        <v>682</v>
      </c>
      <c r="W53" s="3" t="s">
        <v>2807</v>
      </c>
      <c r="X53" s="44" t="s">
        <v>2920</v>
      </c>
      <c r="Y53" s="3" t="s">
        <v>146</v>
      </c>
      <c r="Z53" s="3" t="s">
        <v>146</v>
      </c>
      <c r="AA53" s="3" t="s">
        <v>228</v>
      </c>
      <c r="AB53" s="3" t="s">
        <v>228</v>
      </c>
      <c r="AC53" s="3" t="s">
        <v>195</v>
      </c>
      <c r="AD53" s="3" t="s">
        <v>4295</v>
      </c>
      <c r="AE53" s="3" t="s">
        <v>4433</v>
      </c>
      <c r="AF53" s="3" t="s">
        <v>4055</v>
      </c>
      <c r="AG53" s="3" t="s">
        <v>4672</v>
      </c>
    </row>
    <row r="54" spans="1:33" ht="45" x14ac:dyDescent="0.25">
      <c r="A54" s="15" t="s">
        <v>72</v>
      </c>
      <c r="B54" s="15" t="s">
        <v>78</v>
      </c>
      <c r="C54" s="9" t="s">
        <v>78</v>
      </c>
      <c r="D54" s="8" t="s">
        <v>2990</v>
      </c>
      <c r="E54" s="8" t="s">
        <v>215</v>
      </c>
      <c r="F54" s="9" t="s">
        <v>391</v>
      </c>
      <c r="G54" s="8" t="s">
        <v>391</v>
      </c>
      <c r="H54" s="16" t="s">
        <v>2193</v>
      </c>
      <c r="I54" s="8" t="s">
        <v>491</v>
      </c>
      <c r="J54" s="16" t="s">
        <v>122</v>
      </c>
      <c r="K54" s="16" t="s">
        <v>449</v>
      </c>
      <c r="L54" s="8" t="s">
        <v>2309</v>
      </c>
      <c r="M54" s="8" t="s">
        <v>3494</v>
      </c>
      <c r="N54" s="8" t="s">
        <v>4624</v>
      </c>
      <c r="O54" s="8" t="s">
        <v>3213</v>
      </c>
      <c r="P54" s="8" t="s">
        <v>528</v>
      </c>
      <c r="Q54" s="8" t="s">
        <v>2374</v>
      </c>
      <c r="R54" s="8" t="s">
        <v>2513</v>
      </c>
      <c r="S54" s="8" t="s">
        <v>4888</v>
      </c>
      <c r="T54" s="3" t="s">
        <v>3675</v>
      </c>
      <c r="U54" s="3" t="s">
        <v>2752</v>
      </c>
      <c r="V54" s="3" t="s">
        <v>712</v>
      </c>
      <c r="W54" s="3" t="s">
        <v>2808</v>
      </c>
      <c r="X54" s="44" t="s">
        <v>4536</v>
      </c>
      <c r="Y54" s="3" t="s">
        <v>129</v>
      </c>
      <c r="Z54" s="3" t="s">
        <v>159</v>
      </c>
      <c r="AA54" s="3" t="s">
        <v>129</v>
      </c>
      <c r="AB54" s="3" t="s">
        <v>129</v>
      </c>
      <c r="AC54" s="3" t="s">
        <v>196</v>
      </c>
      <c r="AD54" s="3" t="s">
        <v>4296</v>
      </c>
      <c r="AE54" s="3" t="s">
        <v>3417</v>
      </c>
      <c r="AF54" s="3" t="s">
        <v>4056</v>
      </c>
      <c r="AG54" s="3" t="s">
        <v>468</v>
      </c>
    </row>
    <row r="55" spans="1:33" ht="30" x14ac:dyDescent="0.25">
      <c r="A55" s="15" t="s">
        <v>72</v>
      </c>
      <c r="B55" s="15" t="s">
        <v>80</v>
      </c>
      <c r="C55" s="9" t="s">
        <v>80</v>
      </c>
      <c r="D55" s="8" t="s">
        <v>2991</v>
      </c>
      <c r="E55" s="8" t="s">
        <v>216</v>
      </c>
      <c r="F55" s="9" t="s">
        <v>3877</v>
      </c>
      <c r="G55" s="8" t="s">
        <v>3919</v>
      </c>
      <c r="H55" s="16" t="s">
        <v>2194</v>
      </c>
      <c r="I55" s="8" t="s">
        <v>492</v>
      </c>
      <c r="J55" s="16" t="s">
        <v>566</v>
      </c>
      <c r="K55" s="16" t="s">
        <v>258</v>
      </c>
      <c r="L55" s="8" t="s">
        <v>2310</v>
      </c>
      <c r="M55" s="8" t="s">
        <v>3495</v>
      </c>
      <c r="N55" s="8" t="s">
        <v>238</v>
      </c>
      <c r="O55" s="8" t="s">
        <v>3214</v>
      </c>
      <c r="P55" s="8" t="s">
        <v>529</v>
      </c>
      <c r="Q55" s="8" t="s">
        <v>2375</v>
      </c>
      <c r="R55" s="8" t="s">
        <v>2514</v>
      </c>
      <c r="S55" s="8" t="s">
        <v>2637</v>
      </c>
      <c r="T55" s="3" t="s">
        <v>2703</v>
      </c>
      <c r="U55" s="3" t="s">
        <v>4915</v>
      </c>
      <c r="V55" s="3" t="s">
        <v>683</v>
      </c>
      <c r="W55" s="3" t="s">
        <v>2809</v>
      </c>
      <c r="X55" s="44" t="s">
        <v>4537</v>
      </c>
      <c r="Y55" s="3" t="s">
        <v>147</v>
      </c>
      <c r="Z55" s="3" t="s">
        <v>160</v>
      </c>
      <c r="AA55" s="3" t="s">
        <v>130</v>
      </c>
      <c r="AB55" s="3" t="s">
        <v>130</v>
      </c>
      <c r="AC55" s="3" t="s">
        <v>197</v>
      </c>
      <c r="AD55" s="3" t="s">
        <v>4297</v>
      </c>
      <c r="AE55" s="3" t="s">
        <v>4434</v>
      </c>
      <c r="AF55" s="3" t="s">
        <v>4057</v>
      </c>
      <c r="AG55" s="3" t="s">
        <v>4673</v>
      </c>
    </row>
    <row r="56" spans="1:33" ht="45" x14ac:dyDescent="0.25">
      <c r="A56" s="15" t="s">
        <v>72</v>
      </c>
      <c r="B56" s="15" t="s">
        <v>79</v>
      </c>
      <c r="C56" s="9" t="s">
        <v>79</v>
      </c>
      <c r="D56" s="8" t="s">
        <v>2992</v>
      </c>
      <c r="E56" s="8" t="s">
        <v>217</v>
      </c>
      <c r="F56" s="9" t="s">
        <v>3878</v>
      </c>
      <c r="G56" s="8" t="s">
        <v>3920</v>
      </c>
      <c r="H56" s="16" t="s">
        <v>2195</v>
      </c>
      <c r="I56" s="8" t="s">
        <v>493</v>
      </c>
      <c r="J56" s="16" t="s">
        <v>567</v>
      </c>
      <c r="K56" s="16" t="s">
        <v>259</v>
      </c>
      <c r="L56" s="8" t="s">
        <v>2311</v>
      </c>
      <c r="M56" s="8" t="s">
        <v>3496</v>
      </c>
      <c r="N56" s="8" t="s">
        <v>239</v>
      </c>
      <c r="O56" s="8" t="s">
        <v>3215</v>
      </c>
      <c r="P56" s="8" t="s">
        <v>530</v>
      </c>
      <c r="Q56" s="8" t="s">
        <v>2376</v>
      </c>
      <c r="R56" s="8" t="s">
        <v>2515</v>
      </c>
      <c r="S56" s="8" t="s">
        <v>2638</v>
      </c>
      <c r="T56" s="3" t="s">
        <v>2704</v>
      </c>
      <c r="U56" s="3" t="s">
        <v>4916</v>
      </c>
      <c r="V56" s="3" t="s">
        <v>684</v>
      </c>
      <c r="W56" s="3" t="s">
        <v>2810</v>
      </c>
      <c r="X56" s="44" t="s">
        <v>4538</v>
      </c>
      <c r="Y56" s="3" t="s">
        <v>148</v>
      </c>
      <c r="Z56" s="3" t="s">
        <v>161</v>
      </c>
      <c r="AA56" s="3" t="s">
        <v>131</v>
      </c>
      <c r="AB56" s="3" t="s">
        <v>131</v>
      </c>
      <c r="AC56" s="3" t="s">
        <v>626</v>
      </c>
      <c r="AD56" s="3" t="s">
        <v>4298</v>
      </c>
      <c r="AE56" s="3" t="s">
        <v>3418</v>
      </c>
      <c r="AF56" s="3" t="s">
        <v>4058</v>
      </c>
      <c r="AG56" s="3" t="s">
        <v>4674</v>
      </c>
    </row>
    <row r="57" spans="1:33" ht="45" x14ac:dyDescent="0.25">
      <c r="A57" s="15" t="s">
        <v>72</v>
      </c>
      <c r="B57" s="15" t="s">
        <v>614</v>
      </c>
      <c r="C57" s="9" t="s">
        <v>614</v>
      </c>
      <c r="D57" s="8" t="s">
        <v>2993</v>
      </c>
      <c r="E57" s="8" t="s">
        <v>346</v>
      </c>
      <c r="F57" s="9" t="s">
        <v>393</v>
      </c>
      <c r="G57" s="8" t="s">
        <v>392</v>
      </c>
      <c r="H57" s="16" t="s">
        <v>2196</v>
      </c>
      <c r="I57" s="8" t="s">
        <v>660</v>
      </c>
      <c r="J57" s="16" t="s">
        <v>568</v>
      </c>
      <c r="K57" s="16" t="s">
        <v>450</v>
      </c>
      <c r="L57" s="8" t="s">
        <v>4759</v>
      </c>
      <c r="M57" s="8" t="s">
        <v>3497</v>
      </c>
      <c r="N57" s="8" t="s">
        <v>4625</v>
      </c>
      <c r="O57" s="8" t="s">
        <v>3216</v>
      </c>
      <c r="P57" s="8" t="s">
        <v>531</v>
      </c>
      <c r="Q57" s="8" t="s">
        <v>2377</v>
      </c>
      <c r="R57" s="8" t="s">
        <v>2516</v>
      </c>
      <c r="S57" s="8" t="s">
        <v>4839</v>
      </c>
      <c r="T57" s="3" t="s">
        <v>3676</v>
      </c>
      <c r="U57" s="3" t="s">
        <v>4917</v>
      </c>
      <c r="V57" s="3" t="s">
        <v>685</v>
      </c>
      <c r="W57" s="3" t="s">
        <v>2811</v>
      </c>
      <c r="X57" s="44" t="s">
        <v>4539</v>
      </c>
      <c r="Y57" s="3" t="s">
        <v>439</v>
      </c>
      <c r="Z57" s="3" t="s">
        <v>435</v>
      </c>
      <c r="AA57" s="3" t="s">
        <v>3718</v>
      </c>
      <c r="AB57" s="3" t="s">
        <v>229</v>
      </c>
      <c r="AC57" s="3" t="s">
        <v>627</v>
      </c>
      <c r="AD57" s="3" t="s">
        <v>4299</v>
      </c>
      <c r="AE57" s="3" t="s">
        <v>4435</v>
      </c>
      <c r="AF57" s="3" t="s">
        <v>4059</v>
      </c>
      <c r="AG57" s="3" t="s">
        <v>4675</v>
      </c>
    </row>
    <row r="58" spans="1:33" x14ac:dyDescent="0.25">
      <c r="A58" s="15" t="s">
        <v>72</v>
      </c>
      <c r="B58" s="15" t="s">
        <v>81</v>
      </c>
      <c r="C58" s="9" t="s">
        <v>81</v>
      </c>
      <c r="D58" s="8" t="s">
        <v>2994</v>
      </c>
      <c r="E58" s="8" t="s">
        <v>347</v>
      </c>
      <c r="F58" s="9" t="s">
        <v>175</v>
      </c>
      <c r="G58" s="8" t="s">
        <v>175</v>
      </c>
      <c r="H58" s="16" t="s">
        <v>2197</v>
      </c>
      <c r="I58" s="8" t="s">
        <v>494</v>
      </c>
      <c r="J58" s="16" t="s">
        <v>123</v>
      </c>
      <c r="K58" s="16" t="s">
        <v>260</v>
      </c>
      <c r="L58" s="8" t="s">
        <v>2312</v>
      </c>
      <c r="M58" s="8" t="s">
        <v>3498</v>
      </c>
      <c r="N58" s="8" t="s">
        <v>240</v>
      </c>
      <c r="O58" s="8" t="s">
        <v>3217</v>
      </c>
      <c r="P58" s="8" t="s">
        <v>532</v>
      </c>
      <c r="Q58" s="8" t="s">
        <v>2378</v>
      </c>
      <c r="R58" s="8" t="s">
        <v>2517</v>
      </c>
      <c r="S58" s="8" t="s">
        <v>2639</v>
      </c>
      <c r="T58" s="3" t="s">
        <v>2705</v>
      </c>
      <c r="U58" s="3" t="s">
        <v>4918</v>
      </c>
      <c r="V58" s="3" t="s">
        <v>285</v>
      </c>
      <c r="W58" s="3" t="s">
        <v>2378</v>
      </c>
      <c r="X58" s="44" t="s">
        <v>2921</v>
      </c>
      <c r="Y58" s="3" t="s">
        <v>347</v>
      </c>
      <c r="Z58" s="3" t="s">
        <v>149</v>
      </c>
      <c r="AA58" s="3" t="s">
        <v>359</v>
      </c>
      <c r="AB58" s="3" t="s">
        <v>359</v>
      </c>
      <c r="AC58" s="3" t="s">
        <v>198</v>
      </c>
      <c r="AD58" s="3" t="s">
        <v>367</v>
      </c>
      <c r="AE58" s="3" t="s">
        <v>3419</v>
      </c>
      <c r="AF58" s="3" t="s">
        <v>4060</v>
      </c>
      <c r="AG58" s="3" t="s">
        <v>188</v>
      </c>
    </row>
    <row r="59" spans="1:33" x14ac:dyDescent="0.25">
      <c r="A59" s="15" t="s">
        <v>72</v>
      </c>
      <c r="B59" s="15" t="s">
        <v>82</v>
      </c>
      <c r="C59" s="9" t="s">
        <v>82</v>
      </c>
      <c r="D59" s="8" t="s">
        <v>2995</v>
      </c>
      <c r="E59" s="8" t="s">
        <v>218</v>
      </c>
      <c r="F59" s="9" t="s">
        <v>394</v>
      </c>
      <c r="G59" s="8" t="s">
        <v>394</v>
      </c>
      <c r="H59" s="16" t="s">
        <v>2198</v>
      </c>
      <c r="I59" s="8" t="s">
        <v>495</v>
      </c>
      <c r="J59" s="16" t="s">
        <v>569</v>
      </c>
      <c r="K59" s="16" t="s">
        <v>261</v>
      </c>
      <c r="L59" s="8" t="s">
        <v>2313</v>
      </c>
      <c r="M59" s="8" t="s">
        <v>3499</v>
      </c>
      <c r="N59" s="8" t="s">
        <v>241</v>
      </c>
      <c r="O59" s="8" t="s">
        <v>3218</v>
      </c>
      <c r="P59" s="8" t="s">
        <v>533</v>
      </c>
      <c r="Q59" s="8" t="s">
        <v>2379</v>
      </c>
      <c r="R59" s="8" t="s">
        <v>2518</v>
      </c>
      <c r="S59" s="8" t="s">
        <v>3787</v>
      </c>
      <c r="T59" s="3" t="s">
        <v>2706</v>
      </c>
      <c r="U59" s="3" t="s">
        <v>2753</v>
      </c>
      <c r="V59" s="3" t="s">
        <v>686</v>
      </c>
      <c r="W59" s="3" t="s">
        <v>2379</v>
      </c>
      <c r="X59" s="44" t="s">
        <v>2995</v>
      </c>
      <c r="Y59" s="3" t="s">
        <v>150</v>
      </c>
      <c r="Z59" s="3" t="s">
        <v>436</v>
      </c>
      <c r="AA59" s="3" t="s">
        <v>360</v>
      </c>
      <c r="AB59" s="3" t="s">
        <v>360</v>
      </c>
      <c r="AC59" s="3" t="s">
        <v>199</v>
      </c>
      <c r="AD59" s="3" t="s">
        <v>169</v>
      </c>
      <c r="AE59" s="3" t="s">
        <v>3420</v>
      </c>
      <c r="AF59" s="3" t="s">
        <v>4061</v>
      </c>
      <c r="AG59" s="3" t="s">
        <v>189</v>
      </c>
    </row>
    <row r="60" spans="1:33" x14ac:dyDescent="0.25">
      <c r="A60" s="15" t="s">
        <v>72</v>
      </c>
      <c r="B60" s="15" t="s">
        <v>83</v>
      </c>
      <c r="C60" s="9" t="s">
        <v>83</v>
      </c>
      <c r="D60" s="8" t="s">
        <v>2996</v>
      </c>
      <c r="E60" s="8" t="s">
        <v>348</v>
      </c>
      <c r="F60" s="9" t="s">
        <v>176</v>
      </c>
      <c r="G60" s="8" t="s">
        <v>176</v>
      </c>
      <c r="H60" s="16" t="s">
        <v>2199</v>
      </c>
      <c r="I60" s="8" t="s">
        <v>496</v>
      </c>
      <c r="J60" s="16" t="s">
        <v>124</v>
      </c>
      <c r="K60" s="16" t="s">
        <v>262</v>
      </c>
      <c r="L60" s="8" t="s">
        <v>2314</v>
      </c>
      <c r="M60" s="8" t="s">
        <v>3500</v>
      </c>
      <c r="N60" s="8" t="s">
        <v>242</v>
      </c>
      <c r="O60" s="8" t="s">
        <v>3219</v>
      </c>
      <c r="P60" s="8" t="s">
        <v>534</v>
      </c>
      <c r="Q60" s="8" t="s">
        <v>2380</v>
      </c>
      <c r="R60" s="8" t="s">
        <v>2519</v>
      </c>
      <c r="S60" s="8" t="s">
        <v>132</v>
      </c>
      <c r="T60" s="3" t="s">
        <v>2707</v>
      </c>
      <c r="U60" s="3" t="s">
        <v>4919</v>
      </c>
      <c r="V60" s="3" t="s">
        <v>286</v>
      </c>
      <c r="W60" s="3" t="s">
        <v>2380</v>
      </c>
      <c r="X60" s="44" t="s">
        <v>4540</v>
      </c>
      <c r="Y60" s="3" t="s">
        <v>348</v>
      </c>
      <c r="Z60" s="3" t="s">
        <v>132</v>
      </c>
      <c r="AA60" s="3" t="s">
        <v>348</v>
      </c>
      <c r="AB60" s="3" t="s">
        <v>348</v>
      </c>
      <c r="AC60" s="3" t="s">
        <v>200</v>
      </c>
      <c r="AD60" s="3" t="s">
        <v>170</v>
      </c>
      <c r="AE60" s="3" t="s">
        <v>3421</v>
      </c>
      <c r="AF60" s="3" t="s">
        <v>4062</v>
      </c>
      <c r="AG60" s="3" t="s">
        <v>190</v>
      </c>
    </row>
    <row r="61" spans="1:33" x14ac:dyDescent="0.25">
      <c r="A61" s="15" t="s">
        <v>72</v>
      </c>
      <c r="B61" s="15" t="s">
        <v>874</v>
      </c>
      <c r="C61" s="9" t="s">
        <v>874</v>
      </c>
      <c r="D61" s="8" t="s">
        <v>2997</v>
      </c>
      <c r="E61" s="8" t="s">
        <v>874</v>
      </c>
      <c r="F61" s="9" t="s">
        <v>1103</v>
      </c>
      <c r="G61" s="8" t="s">
        <v>1103</v>
      </c>
      <c r="H61" s="16" t="s">
        <v>1388</v>
      </c>
      <c r="I61" s="8" t="s">
        <v>1388</v>
      </c>
      <c r="J61" s="16" t="s">
        <v>1284</v>
      </c>
      <c r="K61" s="16" t="s">
        <v>1494</v>
      </c>
      <c r="L61" s="8" t="s">
        <v>2315</v>
      </c>
      <c r="M61" s="8" t="s">
        <v>3501</v>
      </c>
      <c r="N61" s="8" t="s">
        <v>4626</v>
      </c>
      <c r="O61" s="8" t="s">
        <v>3220</v>
      </c>
      <c r="P61" s="8" t="s">
        <v>1669</v>
      </c>
      <c r="Q61" s="8" t="s">
        <v>2381</v>
      </c>
      <c r="R61" s="8" t="s">
        <v>2520</v>
      </c>
      <c r="S61" s="8" t="s">
        <v>874</v>
      </c>
      <c r="T61" s="3" t="s">
        <v>2708</v>
      </c>
      <c r="U61" s="3" t="s">
        <v>2754</v>
      </c>
      <c r="V61" s="3" t="s">
        <v>1760</v>
      </c>
      <c r="W61" s="3" t="s">
        <v>2812</v>
      </c>
      <c r="X61" s="44" t="s">
        <v>2922</v>
      </c>
      <c r="Y61" s="3" t="s">
        <v>1848</v>
      </c>
      <c r="Z61" s="3" t="s">
        <v>1848</v>
      </c>
      <c r="AA61" s="3" t="s">
        <v>874</v>
      </c>
      <c r="AB61" s="3" t="s">
        <v>874</v>
      </c>
      <c r="AC61" s="3" t="s">
        <v>1948</v>
      </c>
      <c r="AD61" s="3" t="s">
        <v>4300</v>
      </c>
      <c r="AE61" s="3" t="s">
        <v>4436</v>
      </c>
      <c r="AF61" s="3" t="s">
        <v>4063</v>
      </c>
      <c r="AG61" s="3" t="s">
        <v>2037</v>
      </c>
    </row>
    <row r="62" spans="1:33" x14ac:dyDescent="0.25">
      <c r="A62" s="15" t="s">
        <v>72</v>
      </c>
      <c r="B62" s="15" t="s">
        <v>875</v>
      </c>
      <c r="C62" s="9" t="s">
        <v>875</v>
      </c>
      <c r="D62" s="8" t="s">
        <v>2998</v>
      </c>
      <c r="E62" s="8" t="s">
        <v>1052</v>
      </c>
      <c r="F62" s="9" t="s">
        <v>1104</v>
      </c>
      <c r="G62" s="8" t="s">
        <v>1104</v>
      </c>
      <c r="H62" s="16" t="s">
        <v>2200</v>
      </c>
      <c r="I62" s="8" t="s">
        <v>1389</v>
      </c>
      <c r="J62" s="16" t="s">
        <v>1285</v>
      </c>
      <c r="K62" s="16" t="s">
        <v>1285</v>
      </c>
      <c r="L62" s="8" t="s">
        <v>4760</v>
      </c>
      <c r="M62" s="8" t="s">
        <v>3502</v>
      </c>
      <c r="N62" s="8" t="s">
        <v>1285</v>
      </c>
      <c r="O62" s="8" t="s">
        <v>3221</v>
      </c>
      <c r="P62" s="8" t="s">
        <v>1670</v>
      </c>
      <c r="Q62" s="8" t="s">
        <v>2382</v>
      </c>
      <c r="R62" s="8" t="s">
        <v>2521</v>
      </c>
      <c r="S62" s="8" t="s">
        <v>3788</v>
      </c>
      <c r="T62" s="3" t="s">
        <v>2709</v>
      </c>
      <c r="U62" s="3" t="s">
        <v>2755</v>
      </c>
      <c r="V62" s="3" t="s">
        <v>1761</v>
      </c>
      <c r="W62" s="3" t="s">
        <v>2813</v>
      </c>
      <c r="X62" s="44" t="s">
        <v>4541</v>
      </c>
      <c r="Y62" s="3" t="s">
        <v>1849</v>
      </c>
      <c r="Z62" s="3" t="s">
        <v>1849</v>
      </c>
      <c r="AA62" s="3" t="s">
        <v>1052</v>
      </c>
      <c r="AB62" s="3" t="s">
        <v>1052</v>
      </c>
      <c r="AC62" s="3" t="s">
        <v>1949</v>
      </c>
      <c r="AD62" s="3" t="s">
        <v>2017</v>
      </c>
      <c r="AE62" s="3" t="s">
        <v>3422</v>
      </c>
      <c r="AF62" s="3" t="s">
        <v>4064</v>
      </c>
      <c r="AG62" s="3" t="s">
        <v>4676</v>
      </c>
    </row>
    <row r="63" spans="1:33" ht="60" x14ac:dyDescent="0.25">
      <c r="A63" s="15" t="s">
        <v>72</v>
      </c>
      <c r="B63" s="15" t="s">
        <v>84</v>
      </c>
      <c r="C63" s="9" t="s">
        <v>870</v>
      </c>
      <c r="D63" s="8" t="s">
        <v>2999</v>
      </c>
      <c r="E63" s="8" t="s">
        <v>1201</v>
      </c>
      <c r="F63" s="9" t="s">
        <v>3879</v>
      </c>
      <c r="G63" s="8" t="s">
        <v>3921</v>
      </c>
      <c r="H63" s="16" t="s">
        <v>2201</v>
      </c>
      <c r="I63" s="8" t="s">
        <v>1390</v>
      </c>
      <c r="J63" s="16" t="s">
        <v>1286</v>
      </c>
      <c r="K63" s="16" t="s">
        <v>1495</v>
      </c>
      <c r="L63" s="8" t="s">
        <v>4761</v>
      </c>
      <c r="M63" s="8" t="s">
        <v>3503</v>
      </c>
      <c r="N63" s="8" t="s">
        <v>3327</v>
      </c>
      <c r="O63" s="8" t="s">
        <v>3222</v>
      </c>
      <c r="P63" s="8" t="s">
        <v>3331</v>
      </c>
      <c r="Q63" s="8" t="s">
        <v>3145</v>
      </c>
      <c r="R63" s="8" t="s">
        <v>3341</v>
      </c>
      <c r="S63" s="8" t="s">
        <v>2640</v>
      </c>
      <c r="T63" s="3" t="s">
        <v>3677</v>
      </c>
      <c r="U63" s="3" t="s">
        <v>4920</v>
      </c>
      <c r="V63" s="3" t="s">
        <v>3336</v>
      </c>
      <c r="W63" s="3" t="s">
        <v>3139</v>
      </c>
      <c r="X63" s="44" t="s">
        <v>4542</v>
      </c>
      <c r="Y63" s="3" t="s">
        <v>3773</v>
      </c>
      <c r="Z63" s="3" t="s">
        <v>1850</v>
      </c>
      <c r="AA63" s="3" t="s">
        <v>1167</v>
      </c>
      <c r="AB63" s="3" t="s">
        <v>1167</v>
      </c>
      <c r="AC63" s="3" t="s">
        <v>1950</v>
      </c>
      <c r="AD63" s="3" t="s">
        <v>4301</v>
      </c>
      <c r="AE63" s="3" t="s">
        <v>4437</v>
      </c>
      <c r="AF63" s="3" t="s">
        <v>4065</v>
      </c>
      <c r="AG63" s="3" t="s">
        <v>4677</v>
      </c>
    </row>
    <row r="64" spans="1:33" ht="75" x14ac:dyDescent="0.25">
      <c r="A64" s="15" t="s">
        <v>72</v>
      </c>
      <c r="B64" s="15" t="s">
        <v>85</v>
      </c>
      <c r="C64" s="9" t="s">
        <v>871</v>
      </c>
      <c r="D64" s="8" t="s">
        <v>3000</v>
      </c>
      <c r="E64" s="8" t="s">
        <v>1202</v>
      </c>
      <c r="F64" s="9" t="s">
        <v>1105</v>
      </c>
      <c r="G64" s="8" t="s">
        <v>2096</v>
      </c>
      <c r="H64" s="16" t="s">
        <v>2202</v>
      </c>
      <c r="I64" s="8" t="s">
        <v>1391</v>
      </c>
      <c r="J64" s="16" t="s">
        <v>1287</v>
      </c>
      <c r="K64" s="16" t="s">
        <v>3322</v>
      </c>
      <c r="L64" s="8" t="s">
        <v>4762</v>
      </c>
      <c r="M64" s="8" t="s">
        <v>3504</v>
      </c>
      <c r="N64" s="8" t="s">
        <v>4627</v>
      </c>
      <c r="O64" s="8" t="s">
        <v>3223</v>
      </c>
      <c r="P64" s="8" t="s">
        <v>3332</v>
      </c>
      <c r="Q64" s="8" t="s">
        <v>3135</v>
      </c>
      <c r="R64" s="8" t="s">
        <v>3342</v>
      </c>
      <c r="S64" s="8" t="s">
        <v>4840</v>
      </c>
      <c r="T64" s="3" t="s">
        <v>3678</v>
      </c>
      <c r="U64" s="3" t="s">
        <v>4921</v>
      </c>
      <c r="V64" s="3" t="s">
        <v>3337</v>
      </c>
      <c r="W64" s="3" t="s">
        <v>3140</v>
      </c>
      <c r="X64" s="44" t="s">
        <v>4543</v>
      </c>
      <c r="Y64" s="3" t="s">
        <v>4188</v>
      </c>
      <c r="Z64" s="3" t="s">
        <v>1851</v>
      </c>
      <c r="AA64" s="3" t="s">
        <v>3719</v>
      </c>
      <c r="AB64" s="3" t="s">
        <v>3976</v>
      </c>
      <c r="AC64" s="3" t="s">
        <v>1951</v>
      </c>
      <c r="AD64" s="3" t="s">
        <v>4302</v>
      </c>
      <c r="AE64" s="3" t="s">
        <v>4438</v>
      </c>
      <c r="AF64" s="3" t="s">
        <v>4066</v>
      </c>
      <c r="AG64" s="3" t="s">
        <v>4678</v>
      </c>
    </row>
    <row r="65" spans="1:33" ht="75" x14ac:dyDescent="0.25">
      <c r="A65" s="15" t="s">
        <v>72</v>
      </c>
      <c r="B65" s="15" t="s">
        <v>86</v>
      </c>
      <c r="C65" s="9" t="s">
        <v>877</v>
      </c>
      <c r="D65" s="8" t="s">
        <v>3001</v>
      </c>
      <c r="E65" s="8" t="s">
        <v>1203</v>
      </c>
      <c r="F65" s="9" t="s">
        <v>1106</v>
      </c>
      <c r="G65" s="8" t="s">
        <v>2097</v>
      </c>
      <c r="H65" s="16" t="s">
        <v>2203</v>
      </c>
      <c r="I65" s="8" t="s">
        <v>1392</v>
      </c>
      <c r="J65" s="16" t="s">
        <v>3323</v>
      </c>
      <c r="K65" s="16" t="s">
        <v>1496</v>
      </c>
      <c r="L65" s="8" t="s">
        <v>4763</v>
      </c>
      <c r="M65" s="8" t="s">
        <v>3505</v>
      </c>
      <c r="N65" s="8" t="s">
        <v>3328</v>
      </c>
      <c r="O65" s="8" t="s">
        <v>3224</v>
      </c>
      <c r="P65" s="8" t="s">
        <v>3333</v>
      </c>
      <c r="Q65" s="8" t="s">
        <v>3136</v>
      </c>
      <c r="R65" s="8" t="s">
        <v>3343</v>
      </c>
      <c r="S65" s="8" t="s">
        <v>3789</v>
      </c>
      <c r="T65" s="3" t="s">
        <v>3679</v>
      </c>
      <c r="U65" s="3" t="s">
        <v>4922</v>
      </c>
      <c r="V65" s="3" t="s">
        <v>3338</v>
      </c>
      <c r="W65" s="3" t="s">
        <v>3141</v>
      </c>
      <c r="X65" s="44" t="s">
        <v>4544</v>
      </c>
      <c r="Y65" s="3" t="s">
        <v>3774</v>
      </c>
      <c r="Z65" s="3" t="s">
        <v>1852</v>
      </c>
      <c r="AA65" s="3" t="s">
        <v>3720</v>
      </c>
      <c r="AB65" s="3" t="s">
        <v>1168</v>
      </c>
      <c r="AC65" s="3" t="s">
        <v>1952</v>
      </c>
      <c r="AD65" s="3" t="s">
        <v>4303</v>
      </c>
      <c r="AE65" s="3" t="s">
        <v>4439</v>
      </c>
      <c r="AF65" s="3" t="s">
        <v>4067</v>
      </c>
      <c r="AG65" s="3" t="s">
        <v>4679</v>
      </c>
    </row>
    <row r="66" spans="1:33" ht="90" x14ac:dyDescent="0.25">
      <c r="A66" s="15" t="s">
        <v>72</v>
      </c>
      <c r="B66" s="15" t="s">
        <v>273</v>
      </c>
      <c r="C66" s="9" t="s">
        <v>872</v>
      </c>
      <c r="D66" s="8" t="s">
        <v>3002</v>
      </c>
      <c r="E66" s="8" t="s">
        <v>4725</v>
      </c>
      <c r="F66" s="9" t="s">
        <v>3880</v>
      </c>
      <c r="G66" s="8" t="s">
        <v>3922</v>
      </c>
      <c r="H66" s="16" t="s">
        <v>2204</v>
      </c>
      <c r="I66" s="8" t="s">
        <v>1393</v>
      </c>
      <c r="J66" s="16" t="s">
        <v>1288</v>
      </c>
      <c r="K66" s="16" t="s">
        <v>3324</v>
      </c>
      <c r="L66" s="8" t="s">
        <v>4764</v>
      </c>
      <c r="M66" s="8" t="s">
        <v>3506</v>
      </c>
      <c r="N66" s="8" t="s">
        <v>4628</v>
      </c>
      <c r="O66" s="8" t="s">
        <v>3225</v>
      </c>
      <c r="P66" s="8" t="s">
        <v>3334</v>
      </c>
      <c r="Q66" s="8" t="s">
        <v>3146</v>
      </c>
      <c r="R66" s="8" t="s">
        <v>2522</v>
      </c>
      <c r="S66" s="8" t="s">
        <v>4841</v>
      </c>
      <c r="T66" s="3" t="s">
        <v>3680</v>
      </c>
      <c r="U66" s="3" t="s">
        <v>4923</v>
      </c>
      <c r="V66" s="3" t="s">
        <v>3351</v>
      </c>
      <c r="W66" s="3" t="s">
        <v>3142</v>
      </c>
      <c r="X66" s="44" t="s">
        <v>4545</v>
      </c>
      <c r="Y66" s="3" t="s">
        <v>4189</v>
      </c>
      <c r="Z66" s="3" t="s">
        <v>1853</v>
      </c>
      <c r="AA66" s="3" t="s">
        <v>3721</v>
      </c>
      <c r="AB66" s="3" t="s">
        <v>1170</v>
      </c>
      <c r="AC66" s="3" t="s">
        <v>3352</v>
      </c>
      <c r="AD66" s="3" t="s">
        <v>4304</v>
      </c>
      <c r="AE66" s="3" t="s">
        <v>4440</v>
      </c>
      <c r="AF66" s="3" t="s">
        <v>4068</v>
      </c>
      <c r="AG66" s="3" t="s">
        <v>4680</v>
      </c>
    </row>
    <row r="67" spans="1:33" ht="120" x14ac:dyDescent="0.25">
      <c r="A67" s="15" t="s">
        <v>72</v>
      </c>
      <c r="B67" s="15" t="s">
        <v>274</v>
      </c>
      <c r="C67" s="9" t="s">
        <v>873</v>
      </c>
      <c r="D67" s="8" t="s">
        <v>3003</v>
      </c>
      <c r="E67" s="8" t="s">
        <v>4726</v>
      </c>
      <c r="F67" s="9" t="s">
        <v>3881</v>
      </c>
      <c r="G67" s="8" t="s">
        <v>3923</v>
      </c>
      <c r="H67" s="16" t="s">
        <v>2205</v>
      </c>
      <c r="I67" s="8" t="s">
        <v>1394</v>
      </c>
      <c r="J67" s="16" t="s">
        <v>1289</v>
      </c>
      <c r="K67" s="16" t="s">
        <v>3325</v>
      </c>
      <c r="L67" s="8" t="s">
        <v>4765</v>
      </c>
      <c r="M67" s="8" t="s">
        <v>3507</v>
      </c>
      <c r="N67" s="8" t="s">
        <v>4629</v>
      </c>
      <c r="O67" s="8" t="s">
        <v>3226</v>
      </c>
      <c r="P67" s="8" t="s">
        <v>3863</v>
      </c>
      <c r="Q67" s="8" t="s">
        <v>3137</v>
      </c>
      <c r="R67" s="8" t="s">
        <v>2523</v>
      </c>
      <c r="S67" s="8" t="s">
        <v>4842</v>
      </c>
      <c r="T67" s="3" t="s">
        <v>3681</v>
      </c>
      <c r="U67" s="3" t="s">
        <v>4924</v>
      </c>
      <c r="V67" s="3" t="s">
        <v>3339</v>
      </c>
      <c r="W67" s="3" t="s">
        <v>3143</v>
      </c>
      <c r="X67" s="44" t="s">
        <v>4546</v>
      </c>
      <c r="Y67" s="3" t="s">
        <v>4190</v>
      </c>
      <c r="Z67" s="3" t="s">
        <v>1854</v>
      </c>
      <c r="AA67" s="3" t="s">
        <v>3722</v>
      </c>
      <c r="AB67" s="3" t="s">
        <v>3977</v>
      </c>
      <c r="AC67" s="3" t="s">
        <v>1953</v>
      </c>
      <c r="AD67" s="3" t="s">
        <v>4305</v>
      </c>
      <c r="AE67" s="3" t="s">
        <v>4441</v>
      </c>
      <c r="AF67" s="3" t="s">
        <v>4069</v>
      </c>
      <c r="AG67" s="3" t="s">
        <v>4681</v>
      </c>
    </row>
    <row r="68" spans="1:33" ht="105" x14ac:dyDescent="0.25">
      <c r="A68" s="15" t="s">
        <v>72</v>
      </c>
      <c r="B68" s="15" t="s">
        <v>5109</v>
      </c>
      <c r="C68" s="9" t="s">
        <v>5110</v>
      </c>
      <c r="D68" s="8" t="s">
        <v>5111</v>
      </c>
      <c r="E68" s="8" t="s">
        <v>5112</v>
      </c>
      <c r="F68" s="9" t="s">
        <v>5113</v>
      </c>
      <c r="G68" s="8" t="s">
        <v>5114</v>
      </c>
      <c r="H68" s="16" t="s">
        <v>5115</v>
      </c>
      <c r="I68" s="8" t="s">
        <v>5116</v>
      </c>
      <c r="J68" s="16" t="s">
        <v>5117</v>
      </c>
      <c r="K68" s="16" t="s">
        <v>5118</v>
      </c>
      <c r="L68" s="8" t="s">
        <v>5119</v>
      </c>
      <c r="M68" s="8" t="s">
        <v>5120</v>
      </c>
      <c r="N68" s="8" t="s">
        <v>5121</v>
      </c>
      <c r="O68" s="8" t="s">
        <v>5122</v>
      </c>
      <c r="P68" s="8" t="s">
        <v>5123</v>
      </c>
      <c r="Q68" s="8" t="s">
        <v>5124</v>
      </c>
      <c r="R68" s="8" t="s">
        <v>5125</v>
      </c>
      <c r="S68" s="8" t="s">
        <v>5126</v>
      </c>
      <c r="T68" s="3" t="s">
        <v>5127</v>
      </c>
      <c r="U68" s="3" t="s">
        <v>5128</v>
      </c>
      <c r="V68" s="3" t="s">
        <v>5129</v>
      </c>
      <c r="W68" s="3" t="s">
        <v>5130</v>
      </c>
      <c r="X68" s="44" t="s">
        <v>5174</v>
      </c>
      <c r="Y68" s="3" t="s">
        <v>5131</v>
      </c>
      <c r="Z68" s="3" t="s">
        <v>5132</v>
      </c>
      <c r="AA68" s="3" t="s">
        <v>5133</v>
      </c>
      <c r="AB68" s="3" t="s">
        <v>5134</v>
      </c>
      <c r="AC68" s="3" t="s">
        <v>5135</v>
      </c>
      <c r="AD68" s="3" t="s">
        <v>5136</v>
      </c>
      <c r="AE68" s="3" t="s">
        <v>5137</v>
      </c>
      <c r="AF68" s="3" t="s">
        <v>5138</v>
      </c>
      <c r="AG68" s="3" t="s">
        <v>5139</v>
      </c>
    </row>
    <row r="69" spans="1:33" ht="105" x14ac:dyDescent="0.25">
      <c r="A69" s="15" t="s">
        <v>72</v>
      </c>
      <c r="B69" s="15" t="s">
        <v>829</v>
      </c>
      <c r="C69" s="9" t="s">
        <v>876</v>
      </c>
      <c r="D69" s="8" t="s">
        <v>3004</v>
      </c>
      <c r="E69" s="8" t="s">
        <v>5000</v>
      </c>
      <c r="F69" s="9" t="s">
        <v>1107</v>
      </c>
      <c r="G69" s="8" t="s">
        <v>2098</v>
      </c>
      <c r="H69" s="16" t="s">
        <v>2206</v>
      </c>
      <c r="I69" s="8" t="s">
        <v>1395</v>
      </c>
      <c r="J69" s="16" t="s">
        <v>1290</v>
      </c>
      <c r="K69" s="16" t="s">
        <v>3326</v>
      </c>
      <c r="L69" s="8" t="s">
        <v>4766</v>
      </c>
      <c r="M69" s="8" t="s">
        <v>3508</v>
      </c>
      <c r="N69" s="8" t="s">
        <v>3329</v>
      </c>
      <c r="O69" s="8" t="s">
        <v>3227</v>
      </c>
      <c r="P69" s="8" t="s">
        <v>3335</v>
      </c>
      <c r="Q69" s="8" t="s">
        <v>3138</v>
      </c>
      <c r="R69" s="8" t="s">
        <v>2524</v>
      </c>
      <c r="S69" s="8" t="s">
        <v>4876</v>
      </c>
      <c r="T69" s="3" t="s">
        <v>3682</v>
      </c>
      <c r="U69" s="3" t="s">
        <v>5140</v>
      </c>
      <c r="V69" s="3" t="s">
        <v>3340</v>
      </c>
      <c r="W69" s="3" t="s">
        <v>3144</v>
      </c>
      <c r="X69" s="44" t="s">
        <v>4610</v>
      </c>
      <c r="Y69" s="3" t="s">
        <v>4191</v>
      </c>
      <c r="Z69" s="3" t="s">
        <v>3965</v>
      </c>
      <c r="AA69" s="3" t="s">
        <v>3723</v>
      </c>
      <c r="AB69" s="3" t="s">
        <v>1169</v>
      </c>
      <c r="AC69" s="3" t="s">
        <v>1954</v>
      </c>
      <c r="AD69" s="3" t="s">
        <v>4306</v>
      </c>
      <c r="AE69" s="3" t="s">
        <v>4442</v>
      </c>
      <c r="AF69" s="3" t="s">
        <v>4070</v>
      </c>
      <c r="AG69" s="3" t="s">
        <v>4682</v>
      </c>
    </row>
    <row r="70" spans="1:33" ht="30" x14ac:dyDescent="0.25">
      <c r="A70" s="15" t="s">
        <v>72</v>
      </c>
      <c r="B70" s="15" t="s">
        <v>87</v>
      </c>
      <c r="C70" s="9" t="s">
        <v>87</v>
      </c>
      <c r="D70" s="8" t="s">
        <v>3005</v>
      </c>
      <c r="E70" s="8" t="s">
        <v>219</v>
      </c>
      <c r="F70" s="9" t="s">
        <v>396</v>
      </c>
      <c r="G70" s="8" t="s">
        <v>395</v>
      </c>
      <c r="H70" s="16" t="s">
        <v>2207</v>
      </c>
      <c r="I70" s="8" t="s">
        <v>497</v>
      </c>
      <c r="J70" s="16" t="s">
        <v>570</v>
      </c>
      <c r="K70" s="16" t="s">
        <v>451</v>
      </c>
      <c r="L70" s="8" t="s">
        <v>4767</v>
      </c>
      <c r="M70" s="8" t="s">
        <v>3509</v>
      </c>
      <c r="N70" s="8" t="s">
        <v>243</v>
      </c>
      <c r="O70" s="8" t="s">
        <v>3228</v>
      </c>
      <c r="P70" s="8" t="s">
        <v>535</v>
      </c>
      <c r="Q70" s="8" t="s">
        <v>2383</v>
      </c>
      <c r="R70" s="8" t="s">
        <v>2525</v>
      </c>
      <c r="S70" s="8" t="s">
        <v>2641</v>
      </c>
      <c r="T70" s="3" t="s">
        <v>3626</v>
      </c>
      <c r="U70" s="3" t="s">
        <v>4925</v>
      </c>
      <c r="V70" s="3" t="s">
        <v>687</v>
      </c>
      <c r="W70" s="3" t="s">
        <v>2814</v>
      </c>
      <c r="X70" s="44" t="s">
        <v>2923</v>
      </c>
      <c r="Y70" s="3" t="s">
        <v>133</v>
      </c>
      <c r="Z70" s="3" t="s">
        <v>133</v>
      </c>
      <c r="AA70" s="3" t="s">
        <v>133</v>
      </c>
      <c r="AB70" s="3" t="s">
        <v>133</v>
      </c>
      <c r="AC70" s="3" t="s">
        <v>628</v>
      </c>
      <c r="AD70" s="3" t="s">
        <v>4307</v>
      </c>
      <c r="AE70" s="3" t="s">
        <v>4443</v>
      </c>
      <c r="AF70" s="3" t="s">
        <v>4071</v>
      </c>
      <c r="AG70" s="3" t="s">
        <v>470</v>
      </c>
    </row>
    <row r="71" spans="1:33" ht="75" x14ac:dyDescent="0.25">
      <c r="A71" s="15" t="s">
        <v>72</v>
      </c>
      <c r="B71" s="15" t="s">
        <v>90</v>
      </c>
      <c r="C71" s="9" t="s">
        <v>1013</v>
      </c>
      <c r="D71" s="8" t="s">
        <v>3006</v>
      </c>
      <c r="E71" s="8" t="s">
        <v>1204</v>
      </c>
      <c r="F71" s="9" t="s">
        <v>3882</v>
      </c>
      <c r="G71" s="8" t="s">
        <v>3924</v>
      </c>
      <c r="H71" s="16" t="s">
        <v>2208</v>
      </c>
      <c r="I71" s="8" t="s">
        <v>1396</v>
      </c>
      <c r="J71" s="16" t="s">
        <v>1291</v>
      </c>
      <c r="K71" s="16" t="s">
        <v>1497</v>
      </c>
      <c r="L71" s="8" t="s">
        <v>2316</v>
      </c>
      <c r="M71" s="8" t="s">
        <v>3510</v>
      </c>
      <c r="N71" s="8" t="s">
        <v>1589</v>
      </c>
      <c r="O71" s="8" t="s">
        <v>3229</v>
      </c>
      <c r="P71" s="8" t="s">
        <v>1671</v>
      </c>
      <c r="Q71" s="8" t="s">
        <v>2384</v>
      </c>
      <c r="R71" s="8" t="s">
        <v>2526</v>
      </c>
      <c r="S71" s="8" t="s">
        <v>2642</v>
      </c>
      <c r="T71" s="3" t="s">
        <v>3627</v>
      </c>
      <c r="U71" s="3" t="s">
        <v>2757</v>
      </c>
      <c r="V71" s="3" t="s">
        <v>1762</v>
      </c>
      <c r="W71" s="3" t="s">
        <v>2815</v>
      </c>
      <c r="X71" s="44" t="s">
        <v>4547</v>
      </c>
      <c r="Y71" s="3" t="s">
        <v>4192</v>
      </c>
      <c r="Z71" s="3" t="s">
        <v>1855</v>
      </c>
      <c r="AA71" s="3" t="s">
        <v>3724</v>
      </c>
      <c r="AB71" s="3" t="s">
        <v>4230</v>
      </c>
      <c r="AC71" s="3" t="s">
        <v>1955</v>
      </c>
      <c r="AD71" s="3" t="s">
        <v>4308</v>
      </c>
      <c r="AE71" s="3" t="s">
        <v>4503</v>
      </c>
      <c r="AF71" s="3" t="s">
        <v>4072</v>
      </c>
      <c r="AG71" s="3" t="s">
        <v>2038</v>
      </c>
    </row>
    <row r="72" spans="1:33" ht="30" x14ac:dyDescent="0.25">
      <c r="A72" s="15" t="s">
        <v>72</v>
      </c>
      <c r="B72" s="15" t="s">
        <v>88</v>
      </c>
      <c r="C72" s="9" t="s">
        <v>88</v>
      </c>
      <c r="D72" s="8" t="s">
        <v>3007</v>
      </c>
      <c r="E72" s="8" t="s">
        <v>1205</v>
      </c>
      <c r="F72" s="9" t="s">
        <v>3883</v>
      </c>
      <c r="G72" s="8" t="s">
        <v>3925</v>
      </c>
      <c r="H72" s="16" t="s">
        <v>2209</v>
      </c>
      <c r="I72" s="8" t="s">
        <v>1397</v>
      </c>
      <c r="J72" s="16" t="s">
        <v>1292</v>
      </c>
      <c r="K72" s="16" t="s">
        <v>1498</v>
      </c>
      <c r="L72" s="8" t="s">
        <v>2317</v>
      </c>
      <c r="M72" s="8" t="s">
        <v>3511</v>
      </c>
      <c r="N72" s="8" t="s">
        <v>1590</v>
      </c>
      <c r="O72" s="8" t="s">
        <v>3230</v>
      </c>
      <c r="P72" s="8" t="s">
        <v>3865</v>
      </c>
      <c r="Q72" s="8" t="s">
        <v>2385</v>
      </c>
      <c r="R72" s="8" t="s">
        <v>2527</v>
      </c>
      <c r="S72" s="8" t="s">
        <v>2643</v>
      </c>
      <c r="T72" s="3" t="s">
        <v>3628</v>
      </c>
      <c r="U72" s="3" t="s">
        <v>4926</v>
      </c>
      <c r="V72" s="3" t="s">
        <v>1763</v>
      </c>
      <c r="W72" s="3" t="s">
        <v>2816</v>
      </c>
      <c r="X72" s="44" t="s">
        <v>2924</v>
      </c>
      <c r="Y72" s="3" t="s">
        <v>4193</v>
      </c>
      <c r="Z72" s="3" t="s">
        <v>1856</v>
      </c>
      <c r="AA72" s="3" t="s">
        <v>3725</v>
      </c>
      <c r="AB72" s="3" t="s">
        <v>1053</v>
      </c>
      <c r="AC72" s="3" t="s">
        <v>1956</v>
      </c>
      <c r="AD72" s="3" t="s">
        <v>4309</v>
      </c>
      <c r="AE72" s="3" t="s">
        <v>3423</v>
      </c>
      <c r="AF72" s="3" t="s">
        <v>4073</v>
      </c>
      <c r="AG72" s="3" t="s">
        <v>4683</v>
      </c>
    </row>
    <row r="73" spans="1:33" ht="30" x14ac:dyDescent="0.25">
      <c r="A73" s="15" t="s">
        <v>72</v>
      </c>
      <c r="B73" s="15" t="s">
        <v>89</v>
      </c>
      <c r="C73" s="9" t="s">
        <v>89</v>
      </c>
      <c r="D73" s="8" t="s">
        <v>3008</v>
      </c>
      <c r="E73" s="8" t="s">
        <v>1206</v>
      </c>
      <c r="F73" s="9" t="s">
        <v>3884</v>
      </c>
      <c r="G73" s="8" t="s">
        <v>3926</v>
      </c>
      <c r="H73" s="16" t="s">
        <v>2210</v>
      </c>
      <c r="I73" s="8" t="s">
        <v>1398</v>
      </c>
      <c r="J73" s="16" t="s">
        <v>1293</v>
      </c>
      <c r="K73" s="16" t="s">
        <v>1499</v>
      </c>
      <c r="L73" s="8" t="s">
        <v>2318</v>
      </c>
      <c r="M73" s="8" t="s">
        <v>3512</v>
      </c>
      <c r="N73" s="8" t="s">
        <v>4630</v>
      </c>
      <c r="O73" s="8" t="s">
        <v>3231</v>
      </c>
      <c r="P73" s="8" t="s">
        <v>3866</v>
      </c>
      <c r="Q73" s="8" t="s">
        <v>2386</v>
      </c>
      <c r="R73" s="8" t="s">
        <v>2528</v>
      </c>
      <c r="S73" s="8" t="s">
        <v>2644</v>
      </c>
      <c r="T73" s="3" t="s">
        <v>3683</v>
      </c>
      <c r="U73" s="3" t="s">
        <v>4927</v>
      </c>
      <c r="V73" s="3" t="s">
        <v>1764</v>
      </c>
      <c r="W73" s="3" t="s">
        <v>2817</v>
      </c>
      <c r="X73" s="44" t="s">
        <v>2925</v>
      </c>
      <c r="Y73" s="3" t="s">
        <v>4194</v>
      </c>
      <c r="Z73" s="3" t="s">
        <v>1857</v>
      </c>
      <c r="AA73" s="3" t="s">
        <v>3726</v>
      </c>
      <c r="AB73" s="3" t="s">
        <v>3978</v>
      </c>
      <c r="AC73" s="3" t="s">
        <v>1957</v>
      </c>
      <c r="AD73" s="3" t="s">
        <v>4310</v>
      </c>
      <c r="AE73" s="3" t="s">
        <v>3424</v>
      </c>
      <c r="AF73" s="3" t="s">
        <v>4074</v>
      </c>
      <c r="AG73" s="3" t="s">
        <v>4684</v>
      </c>
    </row>
    <row r="74" spans="1:33" ht="45" x14ac:dyDescent="0.25">
      <c r="A74" s="15" t="s">
        <v>72</v>
      </c>
      <c r="B74" s="15" t="s">
        <v>103</v>
      </c>
      <c r="C74" s="9" t="s">
        <v>1014</v>
      </c>
      <c r="D74" s="8" t="s">
        <v>3009</v>
      </c>
      <c r="E74" s="8" t="s">
        <v>1207</v>
      </c>
      <c r="F74" s="9" t="s">
        <v>1108</v>
      </c>
      <c r="G74" s="8" t="s">
        <v>2099</v>
      </c>
      <c r="H74" s="16" t="s">
        <v>2211</v>
      </c>
      <c r="I74" s="8" t="s">
        <v>1399</v>
      </c>
      <c r="J74" s="16" t="s">
        <v>1294</v>
      </c>
      <c r="K74" s="16" t="s">
        <v>1500</v>
      </c>
      <c r="L74" s="8" t="s">
        <v>4768</v>
      </c>
      <c r="M74" s="8" t="s">
        <v>3513</v>
      </c>
      <c r="N74" s="8" t="s">
        <v>1591</v>
      </c>
      <c r="O74" s="8" t="s">
        <v>3232</v>
      </c>
      <c r="P74" s="8" t="s">
        <v>1672</v>
      </c>
      <c r="Q74" s="8" t="s">
        <v>2387</v>
      </c>
      <c r="R74" s="8" t="s">
        <v>2529</v>
      </c>
      <c r="S74" s="8" t="s">
        <v>4843</v>
      </c>
      <c r="T74" s="3" t="s">
        <v>3684</v>
      </c>
      <c r="U74" s="3" t="s">
        <v>4928</v>
      </c>
      <c r="V74" s="3" t="s">
        <v>1765</v>
      </c>
      <c r="W74" s="3" t="s">
        <v>2818</v>
      </c>
      <c r="X74" s="44" t="s">
        <v>4548</v>
      </c>
      <c r="Y74" s="3" t="s">
        <v>1858</v>
      </c>
      <c r="Z74" s="3" t="s">
        <v>1858</v>
      </c>
      <c r="AA74" s="3" t="s">
        <v>1150</v>
      </c>
      <c r="AB74" s="3" t="s">
        <v>1150</v>
      </c>
      <c r="AC74" s="3" t="s">
        <v>1958</v>
      </c>
      <c r="AD74" s="3" t="s">
        <v>4311</v>
      </c>
      <c r="AE74" s="3" t="s">
        <v>4444</v>
      </c>
      <c r="AF74" s="3" t="s">
        <v>4075</v>
      </c>
      <c r="AG74" s="3" t="s">
        <v>4685</v>
      </c>
    </row>
    <row r="75" spans="1:33" ht="90" x14ac:dyDescent="0.25">
      <c r="A75" s="15" t="s">
        <v>71</v>
      </c>
      <c r="B75" s="15" t="s">
        <v>930</v>
      </c>
      <c r="C75" s="9" t="s">
        <v>931</v>
      </c>
      <c r="D75" s="8" t="s">
        <v>3010</v>
      </c>
      <c r="E75" s="8" t="s">
        <v>1208</v>
      </c>
      <c r="F75" s="9" t="s">
        <v>1109</v>
      </c>
      <c r="G75" s="8" t="s">
        <v>2100</v>
      </c>
      <c r="H75" s="16" t="s">
        <v>2212</v>
      </c>
      <c r="I75" s="8" t="s">
        <v>1400</v>
      </c>
      <c r="J75" s="16" t="s">
        <v>1295</v>
      </c>
      <c r="K75" s="16" t="s">
        <v>1501</v>
      </c>
      <c r="L75" s="8" t="s">
        <v>4769</v>
      </c>
      <c r="M75" s="8" t="s">
        <v>3514</v>
      </c>
      <c r="N75" s="8" t="s">
        <v>1592</v>
      </c>
      <c r="O75" s="8" t="s">
        <v>3233</v>
      </c>
      <c r="P75" s="8" t="s">
        <v>3354</v>
      </c>
      <c r="Q75" s="8" t="s">
        <v>2388</v>
      </c>
      <c r="R75" s="8" t="s">
        <v>2530</v>
      </c>
      <c r="S75" s="8" t="s">
        <v>3790</v>
      </c>
      <c r="T75" s="3" t="s">
        <v>3685</v>
      </c>
      <c r="U75" s="3" t="s">
        <v>4929</v>
      </c>
      <c r="V75" s="3" t="s">
        <v>3372</v>
      </c>
      <c r="W75" s="3" t="s">
        <v>2819</v>
      </c>
      <c r="X75" s="44" t="s">
        <v>4549</v>
      </c>
      <c r="Y75" s="3" t="s">
        <v>3355</v>
      </c>
      <c r="Z75" s="3" t="s">
        <v>3355</v>
      </c>
      <c r="AA75" s="3" t="s">
        <v>3727</v>
      </c>
      <c r="AB75" s="3" t="s">
        <v>1166</v>
      </c>
      <c r="AC75" s="3" t="s">
        <v>1959</v>
      </c>
      <c r="AD75" s="3" t="s">
        <v>4312</v>
      </c>
      <c r="AE75" s="3" t="s">
        <v>4445</v>
      </c>
      <c r="AF75" s="3" t="s">
        <v>4076</v>
      </c>
      <c r="AG75" s="3" t="s">
        <v>4686</v>
      </c>
    </row>
    <row r="76" spans="1:33" ht="120" x14ac:dyDescent="0.25">
      <c r="A76" s="15" t="s">
        <v>71</v>
      </c>
      <c r="B76" s="15" t="s">
        <v>58</v>
      </c>
      <c r="C76" s="9" t="s">
        <v>431</v>
      </c>
      <c r="D76" s="8" t="s">
        <v>3011</v>
      </c>
      <c r="E76" s="8" t="s">
        <v>349</v>
      </c>
      <c r="F76" s="9" t="s">
        <v>3912</v>
      </c>
      <c r="G76" s="8" t="s">
        <v>3927</v>
      </c>
      <c r="H76" s="16" t="s">
        <v>2213</v>
      </c>
      <c r="I76" s="8" t="s">
        <v>499</v>
      </c>
      <c r="J76" s="16" t="s">
        <v>432</v>
      </c>
      <c r="K76" s="16" t="s">
        <v>673</v>
      </c>
      <c r="L76" s="8" t="s">
        <v>4770</v>
      </c>
      <c r="M76" s="8" t="s">
        <v>3515</v>
      </c>
      <c r="N76" s="8" t="s">
        <v>4631</v>
      </c>
      <c r="O76" s="8" t="s">
        <v>3234</v>
      </c>
      <c r="P76" s="8" t="s">
        <v>536</v>
      </c>
      <c r="Q76" s="8" t="s">
        <v>2389</v>
      </c>
      <c r="R76" s="8" t="s">
        <v>2531</v>
      </c>
      <c r="S76" s="8" t="s">
        <v>4844</v>
      </c>
      <c r="T76" s="3" t="s">
        <v>3686</v>
      </c>
      <c r="U76" s="3" t="s">
        <v>4930</v>
      </c>
      <c r="V76" s="3" t="s">
        <v>1766</v>
      </c>
      <c r="W76" s="3" t="s">
        <v>2820</v>
      </c>
      <c r="X76" s="44" t="s">
        <v>4550</v>
      </c>
      <c r="Y76" s="3" t="s">
        <v>4195</v>
      </c>
      <c r="Z76" s="3" t="s">
        <v>3966</v>
      </c>
      <c r="AA76" s="3" t="s">
        <v>3728</v>
      </c>
      <c r="AB76" s="3" t="s">
        <v>3979</v>
      </c>
      <c r="AC76" s="3" t="s">
        <v>281</v>
      </c>
      <c r="AD76" s="3" t="s">
        <v>4313</v>
      </c>
      <c r="AE76" s="3" t="s">
        <v>4446</v>
      </c>
      <c r="AF76" s="3" t="s">
        <v>4077</v>
      </c>
      <c r="AG76" s="3" t="s">
        <v>4687</v>
      </c>
    </row>
    <row r="77" spans="1:33" ht="120" x14ac:dyDescent="0.25">
      <c r="A77" s="15" t="s">
        <v>71</v>
      </c>
      <c r="B77" s="15" t="s">
        <v>101</v>
      </c>
      <c r="C77" s="9" t="s">
        <v>433</v>
      </c>
      <c r="D77" s="8" t="s">
        <v>3012</v>
      </c>
      <c r="E77" s="8" t="s">
        <v>350</v>
      </c>
      <c r="F77" s="9" t="s">
        <v>3913</v>
      </c>
      <c r="G77" s="8" t="s">
        <v>3952</v>
      </c>
      <c r="H77" s="16" t="s">
        <v>2214</v>
      </c>
      <c r="I77" s="8" t="s">
        <v>500</v>
      </c>
      <c r="J77" s="16" t="s">
        <v>434</v>
      </c>
      <c r="K77" s="16" t="s">
        <v>674</v>
      </c>
      <c r="L77" s="8" t="s">
        <v>4771</v>
      </c>
      <c r="M77" s="8" t="s">
        <v>3516</v>
      </c>
      <c r="N77" s="8" t="s">
        <v>4632</v>
      </c>
      <c r="O77" s="8" t="s">
        <v>3235</v>
      </c>
      <c r="P77" s="8" t="s">
        <v>537</v>
      </c>
      <c r="Q77" s="8" t="s">
        <v>2390</v>
      </c>
      <c r="R77" s="8" t="s">
        <v>2532</v>
      </c>
      <c r="S77" s="8" t="s">
        <v>4845</v>
      </c>
      <c r="T77" s="3" t="s">
        <v>3687</v>
      </c>
      <c r="U77" s="3" t="s">
        <v>4931</v>
      </c>
      <c r="V77" s="3" t="s">
        <v>1767</v>
      </c>
      <c r="W77" s="3" t="s">
        <v>2821</v>
      </c>
      <c r="X77" s="44" t="s">
        <v>4551</v>
      </c>
      <c r="Y77" s="3" t="s">
        <v>4196</v>
      </c>
      <c r="Z77" s="3" t="s">
        <v>3967</v>
      </c>
      <c r="AA77" s="3" t="s">
        <v>3729</v>
      </c>
      <c r="AB77" s="3" t="s">
        <v>3980</v>
      </c>
      <c r="AC77" s="3" t="s">
        <v>282</v>
      </c>
      <c r="AD77" s="3" t="s">
        <v>4314</v>
      </c>
      <c r="AE77" s="3" t="s">
        <v>4447</v>
      </c>
      <c r="AF77" s="3" t="s">
        <v>4078</v>
      </c>
      <c r="AG77" s="3" t="s">
        <v>4688</v>
      </c>
    </row>
    <row r="78" spans="1:33" ht="390" x14ac:dyDescent="0.25">
      <c r="A78" s="15" t="s">
        <v>71</v>
      </c>
      <c r="B78" s="15" t="s">
        <v>946</v>
      </c>
      <c r="C78" s="9" t="s">
        <v>942</v>
      </c>
      <c r="D78" s="8" t="s">
        <v>3013</v>
      </c>
      <c r="E78" s="8" t="s">
        <v>4727</v>
      </c>
      <c r="F78" s="9" t="s">
        <v>3885</v>
      </c>
      <c r="G78" s="8" t="s">
        <v>3928</v>
      </c>
      <c r="H78" s="16" t="s">
        <v>2215</v>
      </c>
      <c r="I78" s="8" t="s">
        <v>1401</v>
      </c>
      <c r="J78" s="16" t="s">
        <v>1296</v>
      </c>
      <c r="K78" s="16" t="s">
        <v>1502</v>
      </c>
      <c r="L78" s="8" t="s">
        <v>4772</v>
      </c>
      <c r="M78" s="8" t="s">
        <v>3517</v>
      </c>
      <c r="N78" s="8" t="s">
        <v>1593</v>
      </c>
      <c r="O78" s="8" t="s">
        <v>3236</v>
      </c>
      <c r="P78" s="8" t="s">
        <v>1673</v>
      </c>
      <c r="Q78" s="8" t="s">
        <v>3129</v>
      </c>
      <c r="R78" s="8" t="s">
        <v>2533</v>
      </c>
      <c r="S78" s="8" t="s">
        <v>4889</v>
      </c>
      <c r="T78" s="3" t="s">
        <v>3688</v>
      </c>
      <c r="U78" s="3" t="s">
        <v>4932</v>
      </c>
      <c r="V78" s="3" t="s">
        <v>1768</v>
      </c>
      <c r="W78" s="3" t="s">
        <v>2822</v>
      </c>
      <c r="X78" s="44" t="s">
        <v>4552</v>
      </c>
      <c r="Y78" s="3" t="s">
        <v>4221</v>
      </c>
      <c r="Z78" s="3" t="s">
        <v>1859</v>
      </c>
      <c r="AA78" s="3" t="s">
        <v>3769</v>
      </c>
      <c r="AB78" s="3" t="s">
        <v>3981</v>
      </c>
      <c r="AC78" s="3" t="s">
        <v>3387</v>
      </c>
      <c r="AD78" s="3" t="s">
        <v>4315</v>
      </c>
      <c r="AE78" s="3" t="s">
        <v>4504</v>
      </c>
      <c r="AF78" s="3" t="s">
        <v>4079</v>
      </c>
      <c r="AG78" s="3" t="s">
        <v>4715</v>
      </c>
    </row>
    <row r="79" spans="1:33" ht="195" x14ac:dyDescent="0.25">
      <c r="A79" s="15" t="s">
        <v>71</v>
      </c>
      <c r="B79" s="15" t="s">
        <v>944</v>
      </c>
      <c r="C79" s="9" t="s">
        <v>945</v>
      </c>
      <c r="D79" s="8" t="s">
        <v>3014</v>
      </c>
      <c r="E79" s="8" t="s">
        <v>4728</v>
      </c>
      <c r="F79" s="9" t="s">
        <v>3886</v>
      </c>
      <c r="G79" s="8" t="s">
        <v>3929</v>
      </c>
      <c r="H79" s="16" t="s">
        <v>2216</v>
      </c>
      <c r="I79" s="8" t="s">
        <v>1402</v>
      </c>
      <c r="J79" s="16" t="s">
        <v>1297</v>
      </c>
      <c r="K79" s="24" t="s">
        <v>1503</v>
      </c>
      <c r="L79" s="8" t="s">
        <v>4858</v>
      </c>
      <c r="M79" s="8" t="s">
        <v>3518</v>
      </c>
      <c r="N79" s="8" t="s">
        <v>1594</v>
      </c>
      <c r="O79" s="8" t="s">
        <v>3237</v>
      </c>
      <c r="P79" s="8" t="s">
        <v>1674</v>
      </c>
      <c r="Q79" s="8" t="s">
        <v>2391</v>
      </c>
      <c r="R79" s="8" t="s">
        <v>2534</v>
      </c>
      <c r="S79" s="8" t="s">
        <v>4890</v>
      </c>
      <c r="T79" s="3" t="s">
        <v>3689</v>
      </c>
      <c r="U79" s="3" t="s">
        <v>4933</v>
      </c>
      <c r="V79" s="3" t="s">
        <v>1769</v>
      </c>
      <c r="W79" s="3" t="s">
        <v>2823</v>
      </c>
      <c r="X79" s="44" t="s">
        <v>4553</v>
      </c>
      <c r="Y79" s="3" t="s">
        <v>4197</v>
      </c>
      <c r="Z79" s="3" t="s">
        <v>3968</v>
      </c>
      <c r="AA79" s="3" t="s">
        <v>3730</v>
      </c>
      <c r="AB79" s="3" t="s">
        <v>3982</v>
      </c>
      <c r="AC79" s="3" t="s">
        <v>1960</v>
      </c>
      <c r="AD79" s="3" t="s">
        <v>4316</v>
      </c>
      <c r="AE79" s="3" t="s">
        <v>4448</v>
      </c>
      <c r="AF79" s="3" t="s">
        <v>4080</v>
      </c>
      <c r="AG79" s="3" t="s">
        <v>4716</v>
      </c>
    </row>
    <row r="80" spans="1:33" ht="300" x14ac:dyDescent="0.25">
      <c r="A80" s="15" t="s">
        <v>71</v>
      </c>
      <c r="B80" s="15" t="s">
        <v>943</v>
      </c>
      <c r="C80" s="9" t="s">
        <v>5141</v>
      </c>
      <c r="D80" s="8" t="s">
        <v>3015</v>
      </c>
      <c r="E80" s="8" t="s">
        <v>5142</v>
      </c>
      <c r="F80" s="9" t="s">
        <v>5145</v>
      </c>
      <c r="G80" s="8" t="s">
        <v>5146</v>
      </c>
      <c r="H80" s="16" t="s">
        <v>5147</v>
      </c>
      <c r="I80" s="8" t="s">
        <v>5144</v>
      </c>
      <c r="J80" s="16" t="s">
        <v>5143</v>
      </c>
      <c r="K80" s="20" t="s">
        <v>5148</v>
      </c>
      <c r="L80" s="8" t="s">
        <v>5149</v>
      </c>
      <c r="M80" s="8" t="s">
        <v>3519</v>
      </c>
      <c r="N80" s="8" t="s">
        <v>5150</v>
      </c>
      <c r="O80" s="8" t="s">
        <v>5151</v>
      </c>
      <c r="P80" s="8" t="s">
        <v>5152</v>
      </c>
      <c r="Q80" s="8" t="s">
        <v>3130</v>
      </c>
      <c r="R80" s="8" t="s">
        <v>5153</v>
      </c>
      <c r="S80" s="8" t="s">
        <v>5154</v>
      </c>
      <c r="T80" s="3" t="s">
        <v>5155</v>
      </c>
      <c r="U80" s="3" t="s">
        <v>5156</v>
      </c>
      <c r="V80" s="3" t="s">
        <v>5157</v>
      </c>
      <c r="W80" s="3" t="s">
        <v>2824</v>
      </c>
      <c r="X80" s="44" t="s">
        <v>4554</v>
      </c>
      <c r="Y80" s="3" t="s">
        <v>5158</v>
      </c>
      <c r="Z80" s="3" t="s">
        <v>5159</v>
      </c>
      <c r="AA80" s="3" t="s">
        <v>5160</v>
      </c>
      <c r="AB80" s="3" t="s">
        <v>5161</v>
      </c>
      <c r="AC80" s="3" t="s">
        <v>1961</v>
      </c>
      <c r="AD80" s="3" t="s">
        <v>4317</v>
      </c>
      <c r="AE80" s="3" t="s">
        <v>5162</v>
      </c>
      <c r="AF80" s="3" t="s">
        <v>5163</v>
      </c>
      <c r="AG80" s="3" t="s">
        <v>5164</v>
      </c>
    </row>
    <row r="81" spans="1:33" ht="45" x14ac:dyDescent="0.25">
      <c r="A81" s="15" t="s">
        <v>71</v>
      </c>
      <c r="B81" s="15" t="s">
        <v>31</v>
      </c>
      <c r="C81" s="9" t="s">
        <v>821</v>
      </c>
      <c r="D81" s="8" t="s">
        <v>3016</v>
      </c>
      <c r="E81" s="8" t="s">
        <v>1209</v>
      </c>
      <c r="F81" s="9" t="s">
        <v>3887</v>
      </c>
      <c r="G81" s="8" t="s">
        <v>3930</v>
      </c>
      <c r="H81" s="16" t="s">
        <v>2217</v>
      </c>
      <c r="I81" s="8" t="s">
        <v>1403</v>
      </c>
      <c r="J81" s="16" t="s">
        <v>1298</v>
      </c>
      <c r="K81" s="16" t="s">
        <v>1504</v>
      </c>
      <c r="L81" s="8" t="s">
        <v>2319</v>
      </c>
      <c r="M81" s="8" t="s">
        <v>3520</v>
      </c>
      <c r="N81" s="8" t="s">
        <v>1595</v>
      </c>
      <c r="O81" s="8" t="s">
        <v>3238</v>
      </c>
      <c r="P81" s="8" t="s">
        <v>822</v>
      </c>
      <c r="Q81" s="8" t="s">
        <v>2392</v>
      </c>
      <c r="R81" s="8" t="s">
        <v>2535</v>
      </c>
      <c r="S81" s="8" t="s">
        <v>2645</v>
      </c>
      <c r="T81" s="3" t="s">
        <v>3690</v>
      </c>
      <c r="U81" s="3" t="s">
        <v>4934</v>
      </c>
      <c r="V81" s="3" t="s">
        <v>1770</v>
      </c>
      <c r="W81" s="3" t="s">
        <v>2825</v>
      </c>
      <c r="X81" s="44" t="s">
        <v>4555</v>
      </c>
      <c r="Y81" s="3" t="s">
        <v>4198</v>
      </c>
      <c r="Z81" s="3" t="s">
        <v>1860</v>
      </c>
      <c r="AA81" s="3" t="s">
        <v>3731</v>
      </c>
      <c r="AB81" s="3" t="s">
        <v>4231</v>
      </c>
      <c r="AC81" s="3" t="s">
        <v>1962</v>
      </c>
      <c r="AD81" s="3" t="s">
        <v>4318</v>
      </c>
      <c r="AE81" s="3" t="s">
        <v>4449</v>
      </c>
      <c r="AF81" s="3" t="s">
        <v>4081</v>
      </c>
      <c r="AG81" s="3" t="s">
        <v>2039</v>
      </c>
    </row>
    <row r="82" spans="1:33" ht="30" x14ac:dyDescent="0.25">
      <c r="A82" s="15" t="s">
        <v>71</v>
      </c>
      <c r="B82" s="15" t="s">
        <v>32</v>
      </c>
      <c r="C82" s="9" t="s">
        <v>802</v>
      </c>
      <c r="D82" s="8" t="s">
        <v>3017</v>
      </c>
      <c r="E82" s="8" t="s">
        <v>4729</v>
      </c>
      <c r="F82" s="9" t="s">
        <v>1110</v>
      </c>
      <c r="G82" s="8" t="s">
        <v>2101</v>
      </c>
      <c r="H82" s="16" t="s">
        <v>2218</v>
      </c>
      <c r="I82" s="8" t="s">
        <v>1404</v>
      </c>
      <c r="J82" s="16" t="s">
        <v>1299</v>
      </c>
      <c r="K82" s="16" t="s">
        <v>1505</v>
      </c>
      <c r="L82" s="8" t="s">
        <v>4859</v>
      </c>
      <c r="M82" s="8" t="s">
        <v>3521</v>
      </c>
      <c r="N82" s="8" t="s">
        <v>4633</v>
      </c>
      <c r="O82" s="8" t="s">
        <v>3239</v>
      </c>
      <c r="P82" s="8" t="s">
        <v>1675</v>
      </c>
      <c r="Q82" s="8" t="s">
        <v>2393</v>
      </c>
      <c r="R82" s="8" t="s">
        <v>2536</v>
      </c>
      <c r="S82" s="8" t="s">
        <v>4877</v>
      </c>
      <c r="T82" s="3" t="s">
        <v>3629</v>
      </c>
      <c r="U82" s="3" t="s">
        <v>4935</v>
      </c>
      <c r="V82" s="3" t="s">
        <v>1771</v>
      </c>
      <c r="W82" s="3" t="s">
        <v>2826</v>
      </c>
      <c r="X82" s="44" t="s">
        <v>2926</v>
      </c>
      <c r="Y82" s="3" t="s">
        <v>4199</v>
      </c>
      <c r="Z82" s="3" t="s">
        <v>1861</v>
      </c>
      <c r="AA82" s="3" t="s">
        <v>3732</v>
      </c>
      <c r="AB82" s="3" t="s">
        <v>3732</v>
      </c>
      <c r="AC82" s="3" t="s">
        <v>1963</v>
      </c>
      <c r="AD82" s="3" t="s">
        <v>4319</v>
      </c>
      <c r="AE82" s="3" t="s">
        <v>4450</v>
      </c>
      <c r="AF82" s="3" t="s">
        <v>4082</v>
      </c>
      <c r="AG82" s="3" t="s">
        <v>4689</v>
      </c>
    </row>
    <row r="83" spans="1:33" ht="180" x14ac:dyDescent="0.25">
      <c r="A83" s="15" t="s">
        <v>71</v>
      </c>
      <c r="B83" s="15" t="s">
        <v>801</v>
      </c>
      <c r="C83" s="9" t="s">
        <v>971</v>
      </c>
      <c r="D83" s="8" t="s">
        <v>3018</v>
      </c>
      <c r="E83" s="8" t="s">
        <v>1210</v>
      </c>
      <c r="F83" s="9" t="s">
        <v>3888</v>
      </c>
      <c r="G83" s="8" t="s">
        <v>3931</v>
      </c>
      <c r="H83" s="16" t="s">
        <v>2219</v>
      </c>
      <c r="I83" s="8" t="s">
        <v>1405</v>
      </c>
      <c r="J83" s="16" t="s">
        <v>1300</v>
      </c>
      <c r="K83" s="16" t="s">
        <v>1506</v>
      </c>
      <c r="L83" s="8" t="s">
        <v>4860</v>
      </c>
      <c r="M83" s="8" t="s">
        <v>3522</v>
      </c>
      <c r="N83" s="8" t="s">
        <v>4634</v>
      </c>
      <c r="O83" s="8" t="s">
        <v>3240</v>
      </c>
      <c r="P83" s="8" t="s">
        <v>1676</v>
      </c>
      <c r="Q83" s="8" t="s">
        <v>2394</v>
      </c>
      <c r="R83" s="8" t="s">
        <v>2537</v>
      </c>
      <c r="S83" s="8" t="s">
        <v>4891</v>
      </c>
      <c r="T83" s="3" t="s">
        <v>3691</v>
      </c>
      <c r="U83" s="3" t="s">
        <v>4936</v>
      </c>
      <c r="V83" s="3" t="s">
        <v>1772</v>
      </c>
      <c r="W83" s="3" t="s">
        <v>2827</v>
      </c>
      <c r="X83" s="44" t="s">
        <v>4556</v>
      </c>
      <c r="Y83" s="3" t="s">
        <v>3775</v>
      </c>
      <c r="Z83" s="3" t="s">
        <v>1862</v>
      </c>
      <c r="AA83" s="3" t="s">
        <v>3733</v>
      </c>
      <c r="AB83" s="3" t="s">
        <v>3983</v>
      </c>
      <c r="AC83" s="3" t="s">
        <v>1964</v>
      </c>
      <c r="AD83" s="3" t="s">
        <v>4320</v>
      </c>
      <c r="AE83" s="3" t="s">
        <v>4451</v>
      </c>
      <c r="AF83" s="3" t="s">
        <v>4083</v>
      </c>
      <c r="AG83" s="3" t="s">
        <v>4690</v>
      </c>
    </row>
    <row r="84" spans="1:33" ht="30" x14ac:dyDescent="0.25">
      <c r="A84" s="15" t="s">
        <v>71</v>
      </c>
      <c r="B84" s="15" t="s">
        <v>35</v>
      </c>
      <c r="C84" s="9" t="s">
        <v>961</v>
      </c>
      <c r="D84" s="8" t="s">
        <v>5167</v>
      </c>
      <c r="E84" s="8" t="s">
        <v>5004</v>
      </c>
      <c r="F84" s="9" t="s">
        <v>3889</v>
      </c>
      <c r="G84" s="8" t="s">
        <v>3889</v>
      </c>
      <c r="H84" s="16" t="s">
        <v>2220</v>
      </c>
      <c r="I84" s="8" t="s">
        <v>1406</v>
      </c>
      <c r="J84" s="16" t="s">
        <v>1301</v>
      </c>
      <c r="K84" s="16" t="s">
        <v>1507</v>
      </c>
      <c r="L84" s="8" t="s">
        <v>4773</v>
      </c>
      <c r="M84" s="8" t="s">
        <v>3523</v>
      </c>
      <c r="N84" s="8" t="s">
        <v>1596</v>
      </c>
      <c r="O84" s="8" t="s">
        <v>3241</v>
      </c>
      <c r="P84" s="8" t="s">
        <v>1677</v>
      </c>
      <c r="Q84" s="8" t="s">
        <v>2395</v>
      </c>
      <c r="R84" s="8" t="s">
        <v>2538</v>
      </c>
      <c r="S84" s="8" t="s">
        <v>3791</v>
      </c>
      <c r="T84" s="3" t="s">
        <v>3630</v>
      </c>
      <c r="U84" s="3" t="s">
        <v>4937</v>
      </c>
      <c r="V84" s="3" t="s">
        <v>1773</v>
      </c>
      <c r="W84" s="3" t="s">
        <v>2395</v>
      </c>
      <c r="X84" s="44" t="s">
        <v>4557</v>
      </c>
      <c r="Y84" s="3" t="s">
        <v>1863</v>
      </c>
      <c r="Z84" s="3" t="s">
        <v>1863</v>
      </c>
      <c r="AA84" s="3" t="s">
        <v>1054</v>
      </c>
      <c r="AB84" s="3" t="s">
        <v>3984</v>
      </c>
      <c r="AC84" s="3" t="s">
        <v>1965</v>
      </c>
      <c r="AD84" s="3" t="s">
        <v>4321</v>
      </c>
      <c r="AE84" s="3" t="s">
        <v>4452</v>
      </c>
      <c r="AF84" s="3" t="s">
        <v>4084</v>
      </c>
      <c r="AG84" s="3" t="s">
        <v>4691</v>
      </c>
    </row>
    <row r="85" spans="1:33" ht="60" x14ac:dyDescent="0.25">
      <c r="A85" s="15" t="s">
        <v>71</v>
      </c>
      <c r="B85" s="15" t="s">
        <v>104</v>
      </c>
      <c r="C85" s="9" t="s">
        <v>968</v>
      </c>
      <c r="D85" s="8" t="s">
        <v>3019</v>
      </c>
      <c r="E85" s="8" t="s">
        <v>1211</v>
      </c>
      <c r="F85" s="9" t="s">
        <v>3890</v>
      </c>
      <c r="G85" s="8" t="s">
        <v>3932</v>
      </c>
      <c r="H85" s="16" t="s">
        <v>2221</v>
      </c>
      <c r="I85" s="8" t="s">
        <v>1407</v>
      </c>
      <c r="J85" s="16" t="s">
        <v>1302</v>
      </c>
      <c r="K85" s="16" t="s">
        <v>1508</v>
      </c>
      <c r="L85" s="8" t="s">
        <v>4774</v>
      </c>
      <c r="M85" s="8" t="s">
        <v>3524</v>
      </c>
      <c r="N85" s="8" t="s">
        <v>1597</v>
      </c>
      <c r="O85" s="8" t="s">
        <v>3242</v>
      </c>
      <c r="P85" s="8" t="s">
        <v>1678</v>
      </c>
      <c r="Q85" s="8" t="s">
        <v>2396</v>
      </c>
      <c r="R85" s="8" t="s">
        <v>2539</v>
      </c>
      <c r="S85" s="8" t="s">
        <v>3792</v>
      </c>
      <c r="T85" s="3" t="s">
        <v>3631</v>
      </c>
      <c r="U85" s="3" t="s">
        <v>4938</v>
      </c>
      <c r="V85" s="3" t="s">
        <v>1774</v>
      </c>
      <c r="W85" s="3" t="s">
        <v>2828</v>
      </c>
      <c r="X85" s="44" t="s">
        <v>2927</v>
      </c>
      <c r="Y85" s="3" t="s">
        <v>1864</v>
      </c>
      <c r="Z85" s="3" t="s">
        <v>1864</v>
      </c>
      <c r="AA85" s="3" t="s">
        <v>1055</v>
      </c>
      <c r="AB85" s="3" t="s">
        <v>1055</v>
      </c>
      <c r="AC85" s="3" t="s">
        <v>1966</v>
      </c>
      <c r="AD85" s="3" t="s">
        <v>4322</v>
      </c>
      <c r="AE85" s="3" t="s">
        <v>3425</v>
      </c>
      <c r="AF85" s="3" t="s">
        <v>4085</v>
      </c>
      <c r="AG85" s="3" t="s">
        <v>2040</v>
      </c>
    </row>
    <row r="86" spans="1:33" ht="30" x14ac:dyDescent="0.25">
      <c r="A86" s="15" t="s">
        <v>71</v>
      </c>
      <c r="B86" s="15" t="s">
        <v>36</v>
      </c>
      <c r="C86" s="9" t="s">
        <v>962</v>
      </c>
      <c r="D86" s="8" t="s">
        <v>3020</v>
      </c>
      <c r="E86" s="8" t="s">
        <v>5005</v>
      </c>
      <c r="F86" s="9" t="s">
        <v>1111</v>
      </c>
      <c r="G86" s="8" t="s">
        <v>2102</v>
      </c>
      <c r="H86" s="16" t="s">
        <v>2222</v>
      </c>
      <c r="I86" s="8" t="s">
        <v>1408</v>
      </c>
      <c r="J86" s="16" t="s">
        <v>1303</v>
      </c>
      <c r="K86" s="16" t="s">
        <v>1509</v>
      </c>
      <c r="L86" s="8" t="s">
        <v>4775</v>
      </c>
      <c r="M86" s="8" t="s">
        <v>3525</v>
      </c>
      <c r="N86" s="8" t="s">
        <v>1598</v>
      </c>
      <c r="O86" s="8" t="s">
        <v>3243</v>
      </c>
      <c r="P86" s="8" t="s">
        <v>1679</v>
      </c>
      <c r="Q86" s="8" t="s">
        <v>2397</v>
      </c>
      <c r="R86" s="8" t="s">
        <v>2540</v>
      </c>
      <c r="S86" s="8" t="s">
        <v>4878</v>
      </c>
      <c r="T86" s="3" t="s">
        <v>3632</v>
      </c>
      <c r="U86" s="3" t="s">
        <v>4939</v>
      </c>
      <c r="V86" s="3" t="s">
        <v>1775</v>
      </c>
      <c r="W86" s="3" t="s">
        <v>2829</v>
      </c>
      <c r="X86" s="44" t="s">
        <v>2928</v>
      </c>
      <c r="Y86" s="3" t="s">
        <v>1865</v>
      </c>
      <c r="Z86" s="3" t="s">
        <v>1865</v>
      </c>
      <c r="AA86" s="3" t="s">
        <v>1151</v>
      </c>
      <c r="AB86" s="3" t="s">
        <v>3985</v>
      </c>
      <c r="AC86" s="3" t="s">
        <v>1967</v>
      </c>
      <c r="AD86" s="3" t="s">
        <v>4323</v>
      </c>
      <c r="AE86" s="3" t="s">
        <v>4453</v>
      </c>
      <c r="AF86" s="3" t="s">
        <v>4086</v>
      </c>
      <c r="AG86" s="3" t="s">
        <v>4692</v>
      </c>
    </row>
    <row r="87" spans="1:33" ht="75" x14ac:dyDescent="0.25">
      <c r="A87" s="15" t="s">
        <v>71</v>
      </c>
      <c r="B87" s="15" t="s">
        <v>105</v>
      </c>
      <c r="C87" s="9" t="s">
        <v>3704</v>
      </c>
      <c r="D87" s="8" t="s">
        <v>3021</v>
      </c>
      <c r="E87" s="8" t="s">
        <v>1212</v>
      </c>
      <c r="F87" s="9" t="s">
        <v>1112</v>
      </c>
      <c r="G87" s="8" t="s">
        <v>2103</v>
      </c>
      <c r="H87" s="16" t="s">
        <v>2223</v>
      </c>
      <c r="I87" s="8" t="s">
        <v>1409</v>
      </c>
      <c r="J87" s="16" t="s">
        <v>1304</v>
      </c>
      <c r="K87" s="16" t="s">
        <v>1510</v>
      </c>
      <c r="L87" s="8" t="s">
        <v>4776</v>
      </c>
      <c r="M87" s="8" t="s">
        <v>3526</v>
      </c>
      <c r="N87" s="8" t="s">
        <v>4635</v>
      </c>
      <c r="O87" s="8" t="s">
        <v>3244</v>
      </c>
      <c r="P87" s="8" t="s">
        <v>1680</v>
      </c>
      <c r="Q87" s="8" t="s">
        <v>2398</v>
      </c>
      <c r="R87" s="8" t="s">
        <v>2541</v>
      </c>
      <c r="S87" s="8" t="s">
        <v>4879</v>
      </c>
      <c r="T87" s="3" t="s">
        <v>3633</v>
      </c>
      <c r="U87" s="3" t="s">
        <v>4940</v>
      </c>
      <c r="V87" s="3" t="s">
        <v>1776</v>
      </c>
      <c r="W87" s="3" t="s">
        <v>2830</v>
      </c>
      <c r="X87" s="44" t="s">
        <v>2929</v>
      </c>
      <c r="Y87" s="3" t="s">
        <v>4200</v>
      </c>
      <c r="Z87" s="3" t="s">
        <v>1866</v>
      </c>
      <c r="AA87" s="3" t="s">
        <v>3734</v>
      </c>
      <c r="AB87" s="3" t="s">
        <v>3986</v>
      </c>
      <c r="AC87" s="3" t="s">
        <v>1968</v>
      </c>
      <c r="AD87" s="3" t="s">
        <v>4324</v>
      </c>
      <c r="AE87" s="3" t="s">
        <v>4454</v>
      </c>
      <c r="AF87" s="3" t="s">
        <v>4087</v>
      </c>
      <c r="AG87" s="3" t="s">
        <v>4693</v>
      </c>
    </row>
    <row r="88" spans="1:33" x14ac:dyDescent="0.25">
      <c r="A88" s="15" t="s">
        <v>71</v>
      </c>
      <c r="B88" s="15" t="s">
        <v>384</v>
      </c>
      <c r="C88" s="9" t="s">
        <v>97</v>
      </c>
      <c r="D88" s="8" t="s">
        <v>3022</v>
      </c>
      <c r="E88" s="8" t="s">
        <v>370</v>
      </c>
      <c r="F88" s="9" t="s">
        <v>398</v>
      </c>
      <c r="G88" s="8" t="s">
        <v>397</v>
      </c>
      <c r="H88" s="16" t="s">
        <v>2224</v>
      </c>
      <c r="I88" s="8" t="s">
        <v>501</v>
      </c>
      <c r="J88" s="16" t="s">
        <v>571</v>
      </c>
      <c r="K88" s="16" t="s">
        <v>263</v>
      </c>
      <c r="L88" s="8" t="s">
        <v>2320</v>
      </c>
      <c r="M88" s="8" t="s">
        <v>3527</v>
      </c>
      <c r="N88" s="8" t="s">
        <v>609</v>
      </c>
      <c r="O88" s="8" t="s">
        <v>3245</v>
      </c>
      <c r="P88" s="8" t="s">
        <v>538</v>
      </c>
      <c r="Q88" s="8" t="s">
        <v>2399</v>
      </c>
      <c r="R88" s="8" t="s">
        <v>2542</v>
      </c>
      <c r="S88" s="8" t="s">
        <v>3793</v>
      </c>
      <c r="T88" s="3" t="s">
        <v>3605</v>
      </c>
      <c r="U88" s="3" t="s">
        <v>4941</v>
      </c>
      <c r="V88" s="3" t="s">
        <v>688</v>
      </c>
      <c r="W88" s="3" t="s">
        <v>2831</v>
      </c>
      <c r="X88" s="44" t="s">
        <v>2930</v>
      </c>
      <c r="Y88" s="3" t="s">
        <v>151</v>
      </c>
      <c r="Z88" s="3" t="s">
        <v>163</v>
      </c>
      <c r="AA88" s="3" t="s">
        <v>230</v>
      </c>
      <c r="AB88" s="3" t="s">
        <v>376</v>
      </c>
      <c r="AC88" s="3" t="s">
        <v>201</v>
      </c>
      <c r="AD88" s="3" t="s">
        <v>4325</v>
      </c>
      <c r="AE88" s="3" t="s">
        <v>4455</v>
      </c>
      <c r="AF88" s="3" t="s">
        <v>4088</v>
      </c>
      <c r="AG88" s="3" t="s">
        <v>469</v>
      </c>
    </row>
    <row r="89" spans="1:33" ht="315" x14ac:dyDescent="0.25">
      <c r="A89" s="15" t="s">
        <v>71</v>
      </c>
      <c r="B89" s="15" t="s">
        <v>42</v>
      </c>
      <c r="C89" s="10" t="s">
        <v>640</v>
      </c>
      <c r="D89" s="8" t="s">
        <v>3023</v>
      </c>
      <c r="E89" s="8" t="s">
        <v>371</v>
      </c>
      <c r="F89" s="10" t="s">
        <v>3891</v>
      </c>
      <c r="G89" s="11" t="s">
        <v>3933</v>
      </c>
      <c r="H89" s="16" t="s">
        <v>2225</v>
      </c>
      <c r="I89" s="11" t="s">
        <v>502</v>
      </c>
      <c r="J89" s="16" t="s">
        <v>572</v>
      </c>
      <c r="K89" s="16" t="s">
        <v>452</v>
      </c>
      <c r="L89" s="8" t="s">
        <v>4777</v>
      </c>
      <c r="M89" s="8" t="s">
        <v>3528</v>
      </c>
      <c r="N89" s="11" t="s">
        <v>658</v>
      </c>
      <c r="O89" s="8" t="s">
        <v>3246</v>
      </c>
      <c r="P89" s="8" t="s">
        <v>539</v>
      </c>
      <c r="Q89" s="8" t="s">
        <v>2400</v>
      </c>
      <c r="R89" s="8" t="s">
        <v>2543</v>
      </c>
      <c r="S89" s="8" t="s">
        <v>4880</v>
      </c>
      <c r="T89" s="3" t="s">
        <v>3634</v>
      </c>
      <c r="U89" s="3" t="s">
        <v>4942</v>
      </c>
      <c r="V89" s="3" t="s">
        <v>689</v>
      </c>
      <c r="W89" s="3" t="s">
        <v>2832</v>
      </c>
      <c r="X89" s="44" t="s">
        <v>2931</v>
      </c>
      <c r="Y89" s="3" t="s">
        <v>4201</v>
      </c>
      <c r="Z89" s="3" t="s">
        <v>592</v>
      </c>
      <c r="AA89" s="3" t="s">
        <v>3735</v>
      </c>
      <c r="AB89" s="3" t="s">
        <v>3987</v>
      </c>
      <c r="AC89" s="3" t="s">
        <v>662</v>
      </c>
      <c r="AD89" s="3" t="s">
        <v>4326</v>
      </c>
      <c r="AE89" s="3" t="s">
        <v>4456</v>
      </c>
      <c r="AF89" s="3" t="s">
        <v>4089</v>
      </c>
      <c r="AG89" s="3" t="s">
        <v>4694</v>
      </c>
    </row>
    <row r="90" spans="1:33" x14ac:dyDescent="0.25">
      <c r="A90" s="15" t="s">
        <v>71</v>
      </c>
      <c r="B90" s="15" t="s">
        <v>827</v>
      </c>
      <c r="C90" s="10" t="s">
        <v>828</v>
      </c>
      <c r="D90" s="8" t="s">
        <v>3024</v>
      </c>
      <c r="E90" s="8" t="s">
        <v>1213</v>
      </c>
      <c r="F90" s="10" t="s">
        <v>1113</v>
      </c>
      <c r="G90" s="11" t="s">
        <v>2104</v>
      </c>
      <c r="H90" s="16" t="s">
        <v>2226</v>
      </c>
      <c r="I90" s="11" t="s">
        <v>1410</v>
      </c>
      <c r="J90" s="16" t="s">
        <v>1305</v>
      </c>
      <c r="K90" s="16" t="s">
        <v>1511</v>
      </c>
      <c r="L90" s="8" t="s">
        <v>4778</v>
      </c>
      <c r="M90" s="8" t="s">
        <v>3529</v>
      </c>
      <c r="N90" s="11" t="s">
        <v>4636</v>
      </c>
      <c r="O90" s="8" t="s">
        <v>3247</v>
      </c>
      <c r="P90" s="8" t="s">
        <v>1681</v>
      </c>
      <c r="Q90" s="8" t="s">
        <v>2401</v>
      </c>
      <c r="R90" s="8" t="s">
        <v>2544</v>
      </c>
      <c r="S90" s="8" t="s">
        <v>3794</v>
      </c>
      <c r="T90" s="3" t="s">
        <v>3635</v>
      </c>
      <c r="U90" s="3" t="s">
        <v>4943</v>
      </c>
      <c r="V90" s="3" t="s">
        <v>1777</v>
      </c>
      <c r="W90" s="3" t="s">
        <v>2833</v>
      </c>
      <c r="X90" s="44" t="s">
        <v>4558</v>
      </c>
      <c r="Y90" s="3" t="s">
        <v>1867</v>
      </c>
      <c r="Z90" s="3" t="s">
        <v>1867</v>
      </c>
      <c r="AA90" s="3" t="s">
        <v>3736</v>
      </c>
      <c r="AB90" s="3" t="s">
        <v>1152</v>
      </c>
      <c r="AC90" s="3" t="s">
        <v>1969</v>
      </c>
      <c r="AD90" s="3" t="s">
        <v>4327</v>
      </c>
      <c r="AE90" s="3" t="s">
        <v>3426</v>
      </c>
      <c r="AF90" s="3" t="s">
        <v>4090</v>
      </c>
      <c r="AG90" s="3" t="s">
        <v>2041</v>
      </c>
    </row>
    <row r="91" spans="1:33" ht="45" x14ac:dyDescent="0.25">
      <c r="A91" s="15" t="s">
        <v>71</v>
      </c>
      <c r="B91" s="15" t="s">
        <v>805</v>
      </c>
      <c r="C91" s="10" t="s">
        <v>975</v>
      </c>
      <c r="D91" s="8" t="s">
        <v>3025</v>
      </c>
      <c r="E91" s="8" t="s">
        <v>1214</v>
      </c>
      <c r="F91" s="10" t="s">
        <v>1114</v>
      </c>
      <c r="G91" s="11" t="s">
        <v>2105</v>
      </c>
      <c r="H91" s="16" t="s">
        <v>2227</v>
      </c>
      <c r="I91" s="11" t="s">
        <v>1411</v>
      </c>
      <c r="J91" s="16" t="s">
        <v>1306</v>
      </c>
      <c r="K91" s="16" t="s">
        <v>1512</v>
      </c>
      <c r="L91" s="8" t="s">
        <v>4779</v>
      </c>
      <c r="M91" s="8" t="s">
        <v>3530</v>
      </c>
      <c r="N91" s="11" t="s">
        <v>1599</v>
      </c>
      <c r="O91" s="8" t="s">
        <v>3248</v>
      </c>
      <c r="P91" s="8" t="s">
        <v>1682</v>
      </c>
      <c r="Q91" s="8" t="s">
        <v>2402</v>
      </c>
      <c r="R91" s="8" t="s">
        <v>2545</v>
      </c>
      <c r="S91" s="8" t="s">
        <v>4881</v>
      </c>
      <c r="T91" s="3" t="s">
        <v>3692</v>
      </c>
      <c r="U91" s="3" t="s">
        <v>4944</v>
      </c>
      <c r="V91" s="3" t="s">
        <v>1778</v>
      </c>
      <c r="W91" s="3" t="s">
        <v>2834</v>
      </c>
      <c r="X91" s="44" t="s">
        <v>4559</v>
      </c>
      <c r="Y91" s="3" t="s">
        <v>3776</v>
      </c>
      <c r="Z91" s="3" t="s">
        <v>1868</v>
      </c>
      <c r="AA91" s="3" t="s">
        <v>3737</v>
      </c>
      <c r="AB91" s="3" t="s">
        <v>1153</v>
      </c>
      <c r="AC91" s="3" t="s">
        <v>1970</v>
      </c>
      <c r="AD91" s="3" t="s">
        <v>4328</v>
      </c>
      <c r="AE91" s="3" t="s">
        <v>3427</v>
      </c>
      <c r="AF91" s="3" t="s">
        <v>4091</v>
      </c>
      <c r="AG91" s="3" t="s">
        <v>4695</v>
      </c>
    </row>
    <row r="92" spans="1:33" ht="390" x14ac:dyDescent="0.25">
      <c r="A92" s="15" t="s">
        <v>71</v>
      </c>
      <c r="B92" s="15" t="s">
        <v>804</v>
      </c>
      <c r="C92" s="10" t="s">
        <v>923</v>
      </c>
      <c r="D92" s="8" t="s">
        <v>5168</v>
      </c>
      <c r="E92" s="8" t="s">
        <v>4730</v>
      </c>
      <c r="F92" s="10" t="s">
        <v>3892</v>
      </c>
      <c r="G92" s="11" t="s">
        <v>3934</v>
      </c>
      <c r="H92" s="16" t="s">
        <v>2228</v>
      </c>
      <c r="I92" s="11" t="s">
        <v>1412</v>
      </c>
      <c r="J92" s="16" t="s">
        <v>1307</v>
      </c>
      <c r="K92" s="16" t="s">
        <v>1513</v>
      </c>
      <c r="L92" s="8" t="s">
        <v>4861</v>
      </c>
      <c r="M92" s="8" t="s">
        <v>3531</v>
      </c>
      <c r="N92" s="11" t="s">
        <v>4637</v>
      </c>
      <c r="O92" s="8" t="s">
        <v>3249</v>
      </c>
      <c r="P92" s="8" t="s">
        <v>1683</v>
      </c>
      <c r="Q92" s="8" t="s">
        <v>2403</v>
      </c>
      <c r="R92" s="8" t="s">
        <v>2546</v>
      </c>
      <c r="S92" s="8" t="s">
        <v>4892</v>
      </c>
      <c r="T92" s="3" t="s">
        <v>3693</v>
      </c>
      <c r="U92" s="3" t="s">
        <v>4945</v>
      </c>
      <c r="V92" s="3" t="s">
        <v>1779</v>
      </c>
      <c r="W92" s="3" t="s">
        <v>2835</v>
      </c>
      <c r="X92" s="44" t="s">
        <v>4560</v>
      </c>
      <c r="Y92" s="3" t="s">
        <v>4202</v>
      </c>
      <c r="Z92" s="3" t="s">
        <v>1869</v>
      </c>
      <c r="AA92" s="3" t="s">
        <v>3770</v>
      </c>
      <c r="AB92" s="3" t="s">
        <v>4232</v>
      </c>
      <c r="AC92" s="3" t="s">
        <v>1971</v>
      </c>
      <c r="AD92" s="3" t="s">
        <v>4329</v>
      </c>
      <c r="AE92" s="3" t="s">
        <v>4505</v>
      </c>
      <c r="AF92" s="3" t="s">
        <v>4092</v>
      </c>
      <c r="AG92" s="3" t="s">
        <v>4717</v>
      </c>
    </row>
    <row r="93" spans="1:33" ht="30" x14ac:dyDescent="0.25">
      <c r="A93" s="15" t="s">
        <v>71</v>
      </c>
      <c r="B93" s="15" t="s">
        <v>824</v>
      </c>
      <c r="C93" s="10" t="s">
        <v>925</v>
      </c>
      <c r="D93" s="8" t="s">
        <v>3026</v>
      </c>
      <c r="E93" s="8" t="s">
        <v>4731</v>
      </c>
      <c r="F93" s="10" t="s">
        <v>3893</v>
      </c>
      <c r="G93" s="11" t="s">
        <v>3935</v>
      </c>
      <c r="H93" s="16" t="s">
        <v>2229</v>
      </c>
      <c r="I93" s="11" t="s">
        <v>1413</v>
      </c>
      <c r="J93" s="16" t="s">
        <v>1308</v>
      </c>
      <c r="K93" s="16" t="s">
        <v>1514</v>
      </c>
      <c r="L93" s="8" t="s">
        <v>4780</v>
      </c>
      <c r="M93" s="8" t="s">
        <v>3532</v>
      </c>
      <c r="N93" s="11" t="s">
        <v>1600</v>
      </c>
      <c r="O93" s="8" t="s">
        <v>3250</v>
      </c>
      <c r="P93" s="8" t="s">
        <v>1684</v>
      </c>
      <c r="Q93" s="8" t="s">
        <v>2404</v>
      </c>
      <c r="R93" s="8" t="s">
        <v>2547</v>
      </c>
      <c r="S93" s="8" t="s">
        <v>3795</v>
      </c>
      <c r="T93" s="3" t="s">
        <v>3636</v>
      </c>
      <c r="U93" s="3" t="s">
        <v>4946</v>
      </c>
      <c r="V93" s="3" t="s">
        <v>1780</v>
      </c>
      <c r="W93" s="3" t="s">
        <v>2836</v>
      </c>
      <c r="X93" s="44" t="s">
        <v>4561</v>
      </c>
      <c r="Y93" s="3" t="s">
        <v>1870</v>
      </c>
      <c r="Z93" s="3" t="s">
        <v>1870</v>
      </c>
      <c r="AA93" s="3" t="s">
        <v>3738</v>
      </c>
      <c r="AB93" s="3" t="s">
        <v>3988</v>
      </c>
      <c r="AC93" s="3" t="s">
        <v>1972</v>
      </c>
      <c r="AD93" s="3" t="s">
        <v>4330</v>
      </c>
      <c r="AE93" s="3" t="s">
        <v>4457</v>
      </c>
      <c r="AF93" s="3" t="s">
        <v>4093</v>
      </c>
      <c r="AG93" s="3" t="s">
        <v>2042</v>
      </c>
    </row>
    <row r="94" spans="1:33" ht="285" x14ac:dyDescent="0.25">
      <c r="A94" s="15" t="s">
        <v>71</v>
      </c>
      <c r="B94" s="15" t="s">
        <v>825</v>
      </c>
      <c r="C94" s="10" t="s">
        <v>928</v>
      </c>
      <c r="D94" s="8" t="s">
        <v>5169</v>
      </c>
      <c r="E94" s="8" t="s">
        <v>5001</v>
      </c>
      <c r="F94" s="10" t="s">
        <v>3894</v>
      </c>
      <c r="G94" s="11" t="s">
        <v>3936</v>
      </c>
      <c r="H94" s="16" t="s">
        <v>2230</v>
      </c>
      <c r="I94" s="11" t="s">
        <v>1414</v>
      </c>
      <c r="J94" s="16" t="s">
        <v>1309</v>
      </c>
      <c r="K94" s="16" t="s">
        <v>1515</v>
      </c>
      <c r="L94" s="8" t="s">
        <v>4781</v>
      </c>
      <c r="M94" s="8" t="s">
        <v>3533</v>
      </c>
      <c r="N94" s="11" t="s">
        <v>4638</v>
      </c>
      <c r="O94" s="8" t="s">
        <v>3251</v>
      </c>
      <c r="P94" s="8" t="s">
        <v>3867</v>
      </c>
      <c r="Q94" s="8" t="s">
        <v>2405</v>
      </c>
      <c r="R94" s="8" t="s">
        <v>2548</v>
      </c>
      <c r="S94" s="8" t="s">
        <v>3796</v>
      </c>
      <c r="T94" s="3" t="s">
        <v>3694</v>
      </c>
      <c r="U94" s="3" t="s">
        <v>4947</v>
      </c>
      <c r="V94" s="3" t="s">
        <v>1781</v>
      </c>
      <c r="W94" s="3" t="s">
        <v>2837</v>
      </c>
      <c r="X94" s="44" t="s">
        <v>4562</v>
      </c>
      <c r="Y94" s="3" t="s">
        <v>4222</v>
      </c>
      <c r="Z94" s="3" t="s">
        <v>1871</v>
      </c>
      <c r="AA94" s="3" t="s">
        <v>3739</v>
      </c>
      <c r="AB94" s="3" t="s">
        <v>4233</v>
      </c>
      <c r="AC94" s="3" t="s">
        <v>1973</v>
      </c>
      <c r="AD94" s="3" t="s">
        <v>4331</v>
      </c>
      <c r="AE94" s="3" t="s">
        <v>4458</v>
      </c>
      <c r="AF94" s="3" t="s">
        <v>4094</v>
      </c>
      <c r="AG94" s="3" t="s">
        <v>4696</v>
      </c>
    </row>
    <row r="95" spans="1:33" ht="45" x14ac:dyDescent="0.25">
      <c r="A95" s="15" t="s">
        <v>71</v>
      </c>
      <c r="B95" s="15" t="s">
        <v>949</v>
      </c>
      <c r="C95" s="10" t="s">
        <v>950</v>
      </c>
      <c r="D95" s="8" t="s">
        <v>5170</v>
      </c>
      <c r="E95" s="8" t="s">
        <v>4732</v>
      </c>
      <c r="F95" s="10" t="s">
        <v>3895</v>
      </c>
      <c r="G95" s="11" t="s">
        <v>3937</v>
      </c>
      <c r="H95" s="16" t="s">
        <v>2231</v>
      </c>
      <c r="I95" s="11" t="s">
        <v>1415</v>
      </c>
      <c r="J95" s="16" t="s">
        <v>1310</v>
      </c>
      <c r="K95" s="16" t="s">
        <v>1516</v>
      </c>
      <c r="L95" s="8" t="s">
        <v>4782</v>
      </c>
      <c r="M95" s="8" t="s">
        <v>3534</v>
      </c>
      <c r="N95" s="11" t="s">
        <v>4639</v>
      </c>
      <c r="O95" s="8" t="s">
        <v>3252</v>
      </c>
      <c r="P95" s="8" t="s">
        <v>1685</v>
      </c>
      <c r="Q95" s="8" t="s">
        <v>2406</v>
      </c>
      <c r="R95" s="8" t="s">
        <v>2549</v>
      </c>
      <c r="S95" s="8" t="s">
        <v>3797</v>
      </c>
      <c r="T95" s="3" t="s">
        <v>3695</v>
      </c>
      <c r="U95" s="3" t="s">
        <v>4948</v>
      </c>
      <c r="V95" s="3" t="s">
        <v>1782</v>
      </c>
      <c r="W95" s="3" t="s">
        <v>2838</v>
      </c>
      <c r="X95" s="44" t="s">
        <v>4563</v>
      </c>
      <c r="Y95" s="3" t="s">
        <v>1872</v>
      </c>
      <c r="Z95" s="3" t="s">
        <v>1872</v>
      </c>
      <c r="AA95" s="3" t="s">
        <v>3740</v>
      </c>
      <c r="AB95" s="3" t="s">
        <v>5011</v>
      </c>
      <c r="AC95" s="3" t="s">
        <v>1974</v>
      </c>
      <c r="AD95" s="3" t="s">
        <v>4332</v>
      </c>
      <c r="AE95" s="3" t="s">
        <v>4459</v>
      </c>
      <c r="AF95" s="3" t="s">
        <v>4095</v>
      </c>
      <c r="AG95" s="3" t="s">
        <v>4697</v>
      </c>
    </row>
    <row r="96" spans="1:33" x14ac:dyDescent="0.25">
      <c r="A96" s="15" t="s">
        <v>71</v>
      </c>
      <c r="B96" s="15" t="s">
        <v>951</v>
      </c>
      <c r="C96" s="10" t="s">
        <v>952</v>
      </c>
      <c r="D96" s="8" t="s">
        <v>3027</v>
      </c>
      <c r="E96" s="8" t="s">
        <v>1215</v>
      </c>
      <c r="F96" s="10" t="s">
        <v>1115</v>
      </c>
      <c r="G96" s="11" t="s">
        <v>1115</v>
      </c>
      <c r="H96" s="16" t="s">
        <v>2232</v>
      </c>
      <c r="I96" s="11" t="s">
        <v>1416</v>
      </c>
      <c r="J96" s="16" t="s">
        <v>1311</v>
      </c>
      <c r="K96" s="16" t="s">
        <v>1517</v>
      </c>
      <c r="L96" s="8" t="s">
        <v>2321</v>
      </c>
      <c r="M96" s="8" t="s">
        <v>3535</v>
      </c>
      <c r="N96" s="11" t="s">
        <v>1601</v>
      </c>
      <c r="O96" s="8" t="s">
        <v>3253</v>
      </c>
      <c r="P96" s="8" t="s">
        <v>3868</v>
      </c>
      <c r="Q96" s="8" t="s">
        <v>2407</v>
      </c>
      <c r="R96" s="8" t="s">
        <v>2550</v>
      </c>
      <c r="S96" s="8" t="s">
        <v>2646</v>
      </c>
      <c r="T96" s="3" t="s">
        <v>2710</v>
      </c>
      <c r="U96" s="3" t="s">
        <v>2758</v>
      </c>
      <c r="V96" s="3" t="s">
        <v>1783</v>
      </c>
      <c r="W96" s="3" t="s">
        <v>2839</v>
      </c>
      <c r="X96" s="44" t="s">
        <v>4564</v>
      </c>
      <c r="Y96" s="3" t="s">
        <v>1873</v>
      </c>
      <c r="Z96" s="3" t="s">
        <v>1873</v>
      </c>
      <c r="AA96" s="3" t="s">
        <v>3741</v>
      </c>
      <c r="AB96" s="3" t="s">
        <v>1056</v>
      </c>
      <c r="AC96" s="3" t="s">
        <v>1975</v>
      </c>
      <c r="AD96" s="3" t="s">
        <v>4333</v>
      </c>
      <c r="AE96" s="3" t="s">
        <v>4460</v>
      </c>
      <c r="AF96" s="3" t="s">
        <v>4096</v>
      </c>
      <c r="AG96" s="3" t="s">
        <v>4698</v>
      </c>
    </row>
    <row r="97" spans="1:33" x14ac:dyDescent="0.25">
      <c r="A97" s="15" t="s">
        <v>71</v>
      </c>
      <c r="B97" s="15" t="s">
        <v>953</v>
      </c>
      <c r="C97" s="10" t="s">
        <v>3147</v>
      </c>
      <c r="D97" s="8" t="s">
        <v>3158</v>
      </c>
      <c r="E97" s="8" t="s">
        <v>4733</v>
      </c>
      <c r="F97" s="10" t="s">
        <v>3166</v>
      </c>
      <c r="G97" s="11" t="s">
        <v>3165</v>
      </c>
      <c r="H97" s="16" t="s">
        <v>3152</v>
      </c>
      <c r="I97" s="11" t="s">
        <v>3164</v>
      </c>
      <c r="J97" s="16" t="s">
        <v>3163</v>
      </c>
      <c r="K97" s="16" t="s">
        <v>3162</v>
      </c>
      <c r="L97" s="8" t="s">
        <v>3153</v>
      </c>
      <c r="M97" s="8" t="s">
        <v>3536</v>
      </c>
      <c r="N97" s="11" t="s">
        <v>3148</v>
      </c>
      <c r="O97" s="8" t="s">
        <v>3254</v>
      </c>
      <c r="P97" s="8" t="s">
        <v>3869</v>
      </c>
      <c r="Q97" s="8" t="s">
        <v>3160</v>
      </c>
      <c r="R97" s="8" t="s">
        <v>3154</v>
      </c>
      <c r="S97" s="8" t="s">
        <v>3155</v>
      </c>
      <c r="T97" s="3" t="s">
        <v>3156</v>
      </c>
      <c r="U97" s="3" t="s">
        <v>3157</v>
      </c>
      <c r="V97" s="3" t="s">
        <v>3149</v>
      </c>
      <c r="W97" s="3" t="s">
        <v>2840</v>
      </c>
      <c r="X97" s="44" t="s">
        <v>3159</v>
      </c>
      <c r="Y97" s="3" t="s">
        <v>3151</v>
      </c>
      <c r="Z97" s="3" t="s">
        <v>3151</v>
      </c>
      <c r="AA97" s="3" t="s">
        <v>3150</v>
      </c>
      <c r="AB97" s="3" t="s">
        <v>3150</v>
      </c>
      <c r="AC97" s="3" t="s">
        <v>3161</v>
      </c>
      <c r="AD97" s="3" t="s">
        <v>4334</v>
      </c>
      <c r="AE97" s="3" t="s">
        <v>4461</v>
      </c>
      <c r="AF97" s="3" t="s">
        <v>4097</v>
      </c>
      <c r="AG97" s="3" t="s">
        <v>4699</v>
      </c>
    </row>
    <row r="98" spans="1:33" x14ac:dyDescent="0.25">
      <c r="A98" s="15" t="s">
        <v>71</v>
      </c>
      <c r="B98" s="15" t="s">
        <v>1004</v>
      </c>
      <c r="C98" s="10" t="s">
        <v>1004</v>
      </c>
      <c r="D98" s="8" t="s">
        <v>3028</v>
      </c>
      <c r="E98" s="8" t="s">
        <v>1216</v>
      </c>
      <c r="F98" s="10" t="s">
        <v>1116</v>
      </c>
      <c r="G98" s="11" t="s">
        <v>2106</v>
      </c>
      <c r="H98" s="16" t="s">
        <v>2233</v>
      </c>
      <c r="I98" s="11" t="s">
        <v>1417</v>
      </c>
      <c r="J98" s="16" t="s">
        <v>1312</v>
      </c>
      <c r="K98" s="16" t="s">
        <v>1518</v>
      </c>
      <c r="L98" s="8" t="s">
        <v>4783</v>
      </c>
      <c r="M98" s="8" t="s">
        <v>3537</v>
      </c>
      <c r="N98" s="11" t="s">
        <v>1602</v>
      </c>
      <c r="O98" s="8" t="s">
        <v>3255</v>
      </c>
      <c r="P98" s="8" t="s">
        <v>1686</v>
      </c>
      <c r="Q98" s="8" t="s">
        <v>2408</v>
      </c>
      <c r="R98" s="8" t="s">
        <v>2551</v>
      </c>
      <c r="S98" s="8" t="s">
        <v>2647</v>
      </c>
      <c r="T98" s="3" t="s">
        <v>2711</v>
      </c>
      <c r="U98" s="3" t="s">
        <v>4949</v>
      </c>
      <c r="V98" s="3" t="s">
        <v>1784</v>
      </c>
      <c r="W98" s="3" t="s">
        <v>2841</v>
      </c>
      <c r="X98" s="44" t="s">
        <v>2932</v>
      </c>
      <c r="Y98" s="3" t="s">
        <v>4203</v>
      </c>
      <c r="Z98" s="3" t="s">
        <v>1874</v>
      </c>
      <c r="AA98" s="3" t="s">
        <v>1154</v>
      </c>
      <c r="AB98" s="3" t="s">
        <v>3989</v>
      </c>
      <c r="AC98" s="3" t="s">
        <v>1976</v>
      </c>
      <c r="AD98" s="3" t="s">
        <v>4335</v>
      </c>
      <c r="AE98" s="3" t="s">
        <v>4462</v>
      </c>
      <c r="AF98" s="3" t="s">
        <v>4098</v>
      </c>
      <c r="AG98" s="3" t="s">
        <v>2043</v>
      </c>
    </row>
    <row r="99" spans="1:33" ht="30" x14ac:dyDescent="0.25">
      <c r="A99" s="15" t="s">
        <v>787</v>
      </c>
      <c r="B99" s="15" t="s">
        <v>54</v>
      </c>
      <c r="C99" s="9" t="s">
        <v>54</v>
      </c>
      <c r="D99" s="8" t="s">
        <v>3029</v>
      </c>
      <c r="E99" s="8" t="s">
        <v>134</v>
      </c>
      <c r="F99" s="9" t="s">
        <v>396</v>
      </c>
      <c r="G99" s="8" t="s">
        <v>395</v>
      </c>
      <c r="H99" s="16" t="s">
        <v>2234</v>
      </c>
      <c r="I99" s="8" t="s">
        <v>503</v>
      </c>
      <c r="J99" s="16" t="s">
        <v>573</v>
      </c>
      <c r="K99" s="16" t="s">
        <v>264</v>
      </c>
      <c r="L99" s="8" t="s">
        <v>4784</v>
      </c>
      <c r="M99" s="8" t="s">
        <v>3538</v>
      </c>
      <c r="N99" s="8" t="s">
        <v>245</v>
      </c>
      <c r="O99" s="8" t="s">
        <v>3256</v>
      </c>
      <c r="P99" s="8" t="s">
        <v>540</v>
      </c>
      <c r="Q99" s="8" t="s">
        <v>2409</v>
      </c>
      <c r="R99" s="8" t="s">
        <v>2525</v>
      </c>
      <c r="S99" s="8" t="s">
        <v>2648</v>
      </c>
      <c r="T99" s="3" t="s">
        <v>3637</v>
      </c>
      <c r="U99" s="3" t="s">
        <v>2756</v>
      </c>
      <c r="V99" s="3" t="s">
        <v>690</v>
      </c>
      <c r="W99" s="3" t="s">
        <v>2842</v>
      </c>
      <c r="X99" s="44" t="s">
        <v>4565</v>
      </c>
      <c r="Y99" s="3" t="s">
        <v>134</v>
      </c>
      <c r="Z99" s="3" t="s">
        <v>134</v>
      </c>
      <c r="AA99" s="3" t="s">
        <v>134</v>
      </c>
      <c r="AB99" s="3" t="s">
        <v>134</v>
      </c>
      <c r="AC99" s="3" t="s">
        <v>629</v>
      </c>
      <c r="AD99" s="3" t="s">
        <v>4336</v>
      </c>
      <c r="AE99" s="3" t="s">
        <v>4463</v>
      </c>
      <c r="AF99" s="3" t="s">
        <v>4071</v>
      </c>
      <c r="AG99" s="3" t="s">
        <v>4700</v>
      </c>
    </row>
    <row r="100" spans="1:33" ht="30" x14ac:dyDescent="0.25">
      <c r="A100" s="15" t="s">
        <v>787</v>
      </c>
      <c r="B100" s="15" t="s">
        <v>728</v>
      </c>
      <c r="C100" s="9" t="s">
        <v>919</v>
      </c>
      <c r="D100" s="8" t="s">
        <v>3030</v>
      </c>
      <c r="E100" s="8" t="s">
        <v>1217</v>
      </c>
      <c r="F100" s="9" t="s">
        <v>1117</v>
      </c>
      <c r="G100" s="8" t="s">
        <v>2107</v>
      </c>
      <c r="H100" s="16" t="s">
        <v>2235</v>
      </c>
      <c r="I100" s="8" t="s">
        <v>1418</v>
      </c>
      <c r="J100" s="16" t="s">
        <v>1313</v>
      </c>
      <c r="K100" s="16" t="s">
        <v>1519</v>
      </c>
      <c r="L100" s="8" t="s">
        <v>4785</v>
      </c>
      <c r="M100" s="8" t="s">
        <v>3539</v>
      </c>
      <c r="N100" s="8" t="s">
        <v>1603</v>
      </c>
      <c r="O100" s="8" t="s">
        <v>3257</v>
      </c>
      <c r="P100" s="8" t="s">
        <v>1687</v>
      </c>
      <c r="Q100" s="8" t="s">
        <v>2410</v>
      </c>
      <c r="R100" s="8" t="s">
        <v>2552</v>
      </c>
      <c r="S100" s="8" t="s">
        <v>3798</v>
      </c>
      <c r="T100" s="3" t="s">
        <v>3638</v>
      </c>
      <c r="U100" s="3" t="s">
        <v>4950</v>
      </c>
      <c r="V100" s="3" t="s">
        <v>1785</v>
      </c>
      <c r="W100" s="3" t="s">
        <v>2843</v>
      </c>
      <c r="X100" s="44" t="s">
        <v>4566</v>
      </c>
      <c r="Y100" s="3" t="s">
        <v>1875</v>
      </c>
      <c r="Z100" s="3" t="s">
        <v>1875</v>
      </c>
      <c r="AA100" s="3" t="s">
        <v>1057</v>
      </c>
      <c r="AB100" s="3" t="s">
        <v>1057</v>
      </c>
      <c r="AC100" s="3" t="s">
        <v>1977</v>
      </c>
      <c r="AD100" s="3" t="s">
        <v>4337</v>
      </c>
      <c r="AE100" s="3" t="s">
        <v>4464</v>
      </c>
      <c r="AF100" s="3" t="s">
        <v>4099</v>
      </c>
      <c r="AG100" s="3" t="s">
        <v>2044</v>
      </c>
    </row>
    <row r="101" spans="1:33" x14ac:dyDescent="0.25">
      <c r="A101" s="15" t="s">
        <v>787</v>
      </c>
      <c r="B101" s="15" t="s">
        <v>53</v>
      </c>
      <c r="C101" s="9" t="s">
        <v>53</v>
      </c>
      <c r="D101" s="8" t="s">
        <v>3031</v>
      </c>
      <c r="E101" s="8" t="s">
        <v>220</v>
      </c>
      <c r="F101" s="9" t="s">
        <v>399</v>
      </c>
      <c r="G101" s="8" t="s">
        <v>177</v>
      </c>
      <c r="H101" s="16" t="s">
        <v>2236</v>
      </c>
      <c r="I101" s="8" t="s">
        <v>256</v>
      </c>
      <c r="J101" s="16" t="s">
        <v>574</v>
      </c>
      <c r="K101" s="16" t="s">
        <v>265</v>
      </c>
      <c r="L101" s="8" t="s">
        <v>2322</v>
      </c>
      <c r="M101" s="8" t="s">
        <v>3540</v>
      </c>
      <c r="N101" s="8" t="s">
        <v>246</v>
      </c>
      <c r="O101" s="8" t="s">
        <v>3258</v>
      </c>
      <c r="P101" s="8" t="s">
        <v>541</v>
      </c>
      <c r="Q101" s="8" t="s">
        <v>2411</v>
      </c>
      <c r="R101" s="8" t="s">
        <v>2553</v>
      </c>
      <c r="S101" s="8" t="s">
        <v>2649</v>
      </c>
      <c r="T101" s="3" t="s">
        <v>3639</v>
      </c>
      <c r="U101" s="3" t="s">
        <v>2759</v>
      </c>
      <c r="V101" s="3" t="s">
        <v>691</v>
      </c>
      <c r="W101" s="3" t="s">
        <v>2844</v>
      </c>
      <c r="X101" s="44" t="s">
        <v>2933</v>
      </c>
      <c r="Y101" s="3" t="s">
        <v>440</v>
      </c>
      <c r="Z101" s="3" t="s">
        <v>440</v>
      </c>
      <c r="AA101" s="3" t="s">
        <v>135</v>
      </c>
      <c r="AB101" s="3" t="s">
        <v>135</v>
      </c>
      <c r="AC101" s="3" t="s">
        <v>202</v>
      </c>
      <c r="AD101" s="3" t="s">
        <v>4338</v>
      </c>
      <c r="AE101" s="3" t="s">
        <v>3428</v>
      </c>
      <c r="AF101" s="3" t="s">
        <v>4100</v>
      </c>
      <c r="AG101" s="3" t="s">
        <v>191</v>
      </c>
    </row>
    <row r="102" spans="1:33" x14ac:dyDescent="0.25">
      <c r="A102" s="15" t="s">
        <v>787</v>
      </c>
      <c r="B102" s="15" t="s">
        <v>806</v>
      </c>
      <c r="C102" s="9" t="s">
        <v>807</v>
      </c>
      <c r="D102" s="8" t="s">
        <v>3032</v>
      </c>
      <c r="E102" s="8" t="s">
        <v>1218</v>
      </c>
      <c r="F102" s="9" t="s">
        <v>1118</v>
      </c>
      <c r="G102" s="8" t="s">
        <v>2108</v>
      </c>
      <c r="H102" s="16" t="s">
        <v>2237</v>
      </c>
      <c r="I102" s="8" t="s">
        <v>1419</v>
      </c>
      <c r="J102" s="16" t="s">
        <v>1314</v>
      </c>
      <c r="K102" s="16" t="s">
        <v>1520</v>
      </c>
      <c r="L102" s="8" t="s">
        <v>4786</v>
      </c>
      <c r="M102" s="8" t="s">
        <v>3541</v>
      </c>
      <c r="N102" s="8" t="s">
        <v>1604</v>
      </c>
      <c r="O102" s="8" t="s">
        <v>3259</v>
      </c>
      <c r="P102" s="8" t="s">
        <v>1688</v>
      </c>
      <c r="Q102" s="8" t="s">
        <v>2412</v>
      </c>
      <c r="R102" s="8" t="s">
        <v>2554</v>
      </c>
      <c r="S102" s="8" t="s">
        <v>3799</v>
      </c>
      <c r="T102" s="3" t="s">
        <v>3640</v>
      </c>
      <c r="U102" s="3" t="s">
        <v>4951</v>
      </c>
      <c r="V102" s="3" t="s">
        <v>1786</v>
      </c>
      <c r="W102" s="3" t="s">
        <v>2845</v>
      </c>
      <c r="X102" s="44" t="s">
        <v>4567</v>
      </c>
      <c r="Y102" s="3" t="s">
        <v>4204</v>
      </c>
      <c r="Z102" s="3" t="s">
        <v>1876</v>
      </c>
      <c r="AA102" s="3" t="s">
        <v>1155</v>
      </c>
      <c r="AB102" s="3" t="s">
        <v>3990</v>
      </c>
      <c r="AC102" s="3" t="s">
        <v>1978</v>
      </c>
      <c r="AD102" s="3" t="s">
        <v>4339</v>
      </c>
      <c r="AE102" s="3" t="s">
        <v>3429</v>
      </c>
      <c r="AF102" s="3" t="s">
        <v>4101</v>
      </c>
      <c r="AG102" s="3" t="s">
        <v>4701</v>
      </c>
    </row>
    <row r="103" spans="1:33" ht="30" x14ac:dyDescent="0.25">
      <c r="A103" s="15" t="s">
        <v>71</v>
      </c>
      <c r="B103" s="15" t="s">
        <v>920</v>
      </c>
      <c r="C103" s="9" t="s">
        <v>921</v>
      </c>
      <c r="D103" s="3" t="s">
        <v>3033</v>
      </c>
      <c r="E103" s="3" t="s">
        <v>1219</v>
      </c>
      <c r="F103" s="9" t="s">
        <v>1119</v>
      </c>
      <c r="G103" s="8" t="s">
        <v>2109</v>
      </c>
      <c r="H103" s="16" t="s">
        <v>2238</v>
      </c>
      <c r="I103" s="8" t="s">
        <v>1420</v>
      </c>
      <c r="J103" s="16" t="s">
        <v>1315</v>
      </c>
      <c r="K103" s="16" t="s">
        <v>1521</v>
      </c>
      <c r="L103" s="8" t="s">
        <v>4787</v>
      </c>
      <c r="M103" s="8" t="s">
        <v>3542</v>
      </c>
      <c r="N103" s="8" t="s">
        <v>1605</v>
      </c>
      <c r="O103" s="8" t="s">
        <v>3260</v>
      </c>
      <c r="P103" s="8" t="s">
        <v>1689</v>
      </c>
      <c r="Q103" s="8" t="s">
        <v>2413</v>
      </c>
      <c r="R103" s="8" t="s">
        <v>2555</v>
      </c>
      <c r="S103" s="8" t="s">
        <v>2650</v>
      </c>
      <c r="T103" s="3" t="s">
        <v>3641</v>
      </c>
      <c r="U103" s="3" t="s">
        <v>4952</v>
      </c>
      <c r="V103" s="3" t="s">
        <v>1787</v>
      </c>
      <c r="W103" s="3" t="s">
        <v>2846</v>
      </c>
      <c r="X103" s="44" t="s">
        <v>4568</v>
      </c>
      <c r="Y103" s="3" t="s">
        <v>1877</v>
      </c>
      <c r="Z103" s="3" t="s">
        <v>1877</v>
      </c>
      <c r="AA103" s="3" t="s">
        <v>1156</v>
      </c>
      <c r="AB103" s="3" t="s">
        <v>1156</v>
      </c>
      <c r="AC103" s="3" t="s">
        <v>1979</v>
      </c>
      <c r="AD103" s="3" t="s">
        <v>4340</v>
      </c>
      <c r="AE103" s="3" t="s">
        <v>4465</v>
      </c>
      <c r="AF103" s="3" t="s">
        <v>4102</v>
      </c>
      <c r="AG103" s="3" t="s">
        <v>2045</v>
      </c>
    </row>
    <row r="104" spans="1:33" ht="45" x14ac:dyDescent="0.25">
      <c r="A104" s="15" t="s">
        <v>786</v>
      </c>
      <c r="B104" s="15" t="s">
        <v>777</v>
      </c>
      <c r="C104" s="9" t="s">
        <v>777</v>
      </c>
      <c r="D104" s="18" t="s">
        <v>3034</v>
      </c>
      <c r="E104" s="18" t="s">
        <v>1220</v>
      </c>
      <c r="F104" s="9" t="s">
        <v>1120</v>
      </c>
      <c r="G104" s="8" t="s">
        <v>2110</v>
      </c>
      <c r="H104" s="16" t="s">
        <v>2239</v>
      </c>
      <c r="I104" s="8" t="s">
        <v>1421</v>
      </c>
      <c r="J104" s="16" t="s">
        <v>1316</v>
      </c>
      <c r="K104" s="16" t="s">
        <v>1522</v>
      </c>
      <c r="L104" s="8" t="s">
        <v>4788</v>
      </c>
      <c r="M104" s="8" t="s">
        <v>3543</v>
      </c>
      <c r="N104" s="8" t="s">
        <v>1606</v>
      </c>
      <c r="O104" s="8" t="s">
        <v>3261</v>
      </c>
      <c r="P104" s="8" t="s">
        <v>1690</v>
      </c>
      <c r="Q104" s="8" t="s">
        <v>2414</v>
      </c>
      <c r="R104" s="8" t="s">
        <v>2556</v>
      </c>
      <c r="S104" s="8" t="s">
        <v>2651</v>
      </c>
      <c r="T104" s="3" t="s">
        <v>2712</v>
      </c>
      <c r="U104" s="3" t="s">
        <v>4953</v>
      </c>
      <c r="V104" s="3" t="s">
        <v>1788</v>
      </c>
      <c r="W104" s="3" t="s">
        <v>2847</v>
      </c>
      <c r="X104" s="44" t="s">
        <v>4569</v>
      </c>
      <c r="Y104" s="3" t="s">
        <v>1878</v>
      </c>
      <c r="Z104" s="3" t="s">
        <v>3969</v>
      </c>
      <c r="AA104" s="3" t="s">
        <v>1058</v>
      </c>
      <c r="AB104" s="3" t="s">
        <v>1058</v>
      </c>
      <c r="AC104" s="3" t="s">
        <v>1980</v>
      </c>
      <c r="AD104" s="3" t="s">
        <v>4341</v>
      </c>
      <c r="AE104" s="3" t="s">
        <v>3430</v>
      </c>
      <c r="AF104" s="3" t="s">
        <v>4103</v>
      </c>
      <c r="AG104" s="3" t="s">
        <v>4702</v>
      </c>
    </row>
    <row r="105" spans="1:33" ht="240" x14ac:dyDescent="0.25">
      <c r="A105" s="15" t="s">
        <v>71</v>
      </c>
      <c r="B105" s="15" t="s">
        <v>917</v>
      </c>
      <c r="C105" s="9" t="s">
        <v>929</v>
      </c>
      <c r="D105" s="18" t="s">
        <v>3035</v>
      </c>
      <c r="E105" s="18" t="s">
        <v>1221</v>
      </c>
      <c r="F105" s="9" t="s">
        <v>3896</v>
      </c>
      <c r="G105" s="8" t="s">
        <v>3938</v>
      </c>
      <c r="H105" s="16" t="s">
        <v>2240</v>
      </c>
      <c r="I105" s="8" t="s">
        <v>1422</v>
      </c>
      <c r="J105" s="16" t="s">
        <v>1317</v>
      </c>
      <c r="K105" s="16" t="s">
        <v>1523</v>
      </c>
      <c r="L105" s="8" t="s">
        <v>4789</v>
      </c>
      <c r="M105" s="8" t="s">
        <v>3544</v>
      </c>
      <c r="N105" s="8" t="s">
        <v>4640</v>
      </c>
      <c r="O105" s="8" t="s">
        <v>3262</v>
      </c>
      <c r="P105" s="8" t="s">
        <v>1691</v>
      </c>
      <c r="Q105" s="8" t="s">
        <v>2415</v>
      </c>
      <c r="R105" s="8" t="s">
        <v>2557</v>
      </c>
      <c r="S105" s="8" t="s">
        <v>2652</v>
      </c>
      <c r="T105" s="3" t="s">
        <v>3642</v>
      </c>
      <c r="U105" s="3" t="s">
        <v>4954</v>
      </c>
      <c r="V105" s="3" t="s">
        <v>1789</v>
      </c>
      <c r="W105" s="3" t="s">
        <v>2848</v>
      </c>
      <c r="X105" s="44" t="s">
        <v>4570</v>
      </c>
      <c r="Y105" s="3" t="s">
        <v>4205</v>
      </c>
      <c r="Z105" s="3" t="s">
        <v>1879</v>
      </c>
      <c r="AA105" s="3" t="s">
        <v>3742</v>
      </c>
      <c r="AB105" s="3" t="s">
        <v>4234</v>
      </c>
      <c r="AC105" s="3" t="s">
        <v>1981</v>
      </c>
      <c r="AD105" s="3" t="s">
        <v>4342</v>
      </c>
      <c r="AE105" s="3" t="s">
        <v>4466</v>
      </c>
      <c r="AF105" s="3" t="s">
        <v>4104</v>
      </c>
      <c r="AG105" s="3" t="s">
        <v>4703</v>
      </c>
    </row>
    <row r="106" spans="1:33" ht="60" x14ac:dyDescent="0.25">
      <c r="A106" s="15" t="s">
        <v>785</v>
      </c>
      <c r="B106" s="15" t="s">
        <v>5214</v>
      </c>
      <c r="C106" s="9" t="s">
        <v>780</v>
      </c>
      <c r="D106" s="8" t="s">
        <v>3036</v>
      </c>
      <c r="E106" s="8" t="s">
        <v>1222</v>
      </c>
      <c r="F106" s="9" t="s">
        <v>3897</v>
      </c>
      <c r="G106" s="8" t="s">
        <v>3939</v>
      </c>
      <c r="H106" s="16" t="s">
        <v>2241</v>
      </c>
      <c r="I106" s="8" t="s">
        <v>1423</v>
      </c>
      <c r="J106" s="16" t="s">
        <v>1318</v>
      </c>
      <c r="K106" s="16" t="s">
        <v>1524</v>
      </c>
      <c r="L106" s="8" t="s">
        <v>4790</v>
      </c>
      <c r="M106" s="8" t="s">
        <v>3545</v>
      </c>
      <c r="N106" s="8" t="s">
        <v>1607</v>
      </c>
      <c r="O106" s="8" t="s">
        <v>3263</v>
      </c>
      <c r="P106" s="8" t="s">
        <v>1692</v>
      </c>
      <c r="Q106" s="8" t="s">
        <v>2416</v>
      </c>
      <c r="R106" s="8" t="s">
        <v>2558</v>
      </c>
      <c r="S106" s="8" t="s">
        <v>2653</v>
      </c>
      <c r="T106" s="3" t="s">
        <v>2713</v>
      </c>
      <c r="U106" s="3" t="s">
        <v>2760</v>
      </c>
      <c r="V106" s="3" t="s">
        <v>1790</v>
      </c>
      <c r="W106" s="3" t="s">
        <v>2849</v>
      </c>
      <c r="X106" s="44" t="s">
        <v>4571</v>
      </c>
      <c r="Y106" s="3" t="s">
        <v>1880</v>
      </c>
      <c r="Z106" s="3" t="s">
        <v>1880</v>
      </c>
      <c r="AA106" s="3" t="s">
        <v>3743</v>
      </c>
      <c r="AB106" s="3" t="s">
        <v>1157</v>
      </c>
      <c r="AC106" s="3" t="s">
        <v>1982</v>
      </c>
      <c r="AD106" s="3" t="s">
        <v>4343</v>
      </c>
      <c r="AE106" s="3" t="s">
        <v>4467</v>
      </c>
      <c r="AF106" s="3" t="s">
        <v>4105</v>
      </c>
      <c r="AG106" s="3" t="s">
        <v>4704</v>
      </c>
    </row>
    <row r="107" spans="1:33" ht="60" x14ac:dyDescent="0.25">
      <c r="A107" s="15" t="s">
        <v>785</v>
      </c>
      <c r="B107" s="15" t="s">
        <v>5215</v>
      </c>
      <c r="C107" s="9" t="s">
        <v>781</v>
      </c>
      <c r="D107" s="8" t="s">
        <v>3037</v>
      </c>
      <c r="E107" s="8" t="s">
        <v>1223</v>
      </c>
      <c r="F107" s="9" t="s">
        <v>3898</v>
      </c>
      <c r="G107" s="8" t="s">
        <v>3940</v>
      </c>
      <c r="H107" s="16" t="s">
        <v>2242</v>
      </c>
      <c r="I107" s="8" t="s">
        <v>1424</v>
      </c>
      <c r="J107" s="16" t="s">
        <v>1319</v>
      </c>
      <c r="K107" s="16" t="s">
        <v>1525</v>
      </c>
      <c r="L107" s="8" t="s">
        <v>4791</v>
      </c>
      <c r="M107" s="8" t="s">
        <v>3546</v>
      </c>
      <c r="N107" s="8" t="s">
        <v>1608</v>
      </c>
      <c r="O107" s="8" t="s">
        <v>3264</v>
      </c>
      <c r="P107" s="8" t="s">
        <v>1693</v>
      </c>
      <c r="Q107" s="8" t="s">
        <v>2417</v>
      </c>
      <c r="R107" s="8" t="s">
        <v>2559</v>
      </c>
      <c r="S107" s="8" t="s">
        <v>3800</v>
      </c>
      <c r="T107" s="3" t="s">
        <v>2714</v>
      </c>
      <c r="U107" s="3" t="s">
        <v>4955</v>
      </c>
      <c r="V107" s="3" t="s">
        <v>1791</v>
      </c>
      <c r="W107" s="3" t="s">
        <v>2850</v>
      </c>
      <c r="X107" s="44" t="s">
        <v>2934</v>
      </c>
      <c r="Y107" s="3" t="s">
        <v>1881</v>
      </c>
      <c r="Z107" s="3" t="s">
        <v>1881</v>
      </c>
      <c r="AA107" s="3" t="s">
        <v>3744</v>
      </c>
      <c r="AB107" s="3" t="s">
        <v>1059</v>
      </c>
      <c r="AC107" s="3" t="s">
        <v>1983</v>
      </c>
      <c r="AD107" s="3" t="s">
        <v>4344</v>
      </c>
      <c r="AE107" s="3" t="s">
        <v>4468</v>
      </c>
      <c r="AF107" s="3" t="s">
        <v>4106</v>
      </c>
      <c r="AG107" s="3" t="s">
        <v>4705</v>
      </c>
    </row>
    <row r="108" spans="1:33" ht="75" x14ac:dyDescent="0.25">
      <c r="A108" s="15" t="s">
        <v>785</v>
      </c>
      <c r="B108" s="15" t="s">
        <v>5216</v>
      </c>
      <c r="C108" s="9" t="s">
        <v>782</v>
      </c>
      <c r="D108" s="8" t="s">
        <v>3038</v>
      </c>
      <c r="E108" s="8" t="s">
        <v>1224</v>
      </c>
      <c r="F108" s="9" t="s">
        <v>3899</v>
      </c>
      <c r="G108" s="8" t="s">
        <v>3941</v>
      </c>
      <c r="H108" s="16" t="s">
        <v>2243</v>
      </c>
      <c r="I108" s="8" t="s">
        <v>1425</v>
      </c>
      <c r="J108" s="16" t="s">
        <v>1320</v>
      </c>
      <c r="K108" s="16" t="s">
        <v>1526</v>
      </c>
      <c r="L108" s="8" t="s">
        <v>4792</v>
      </c>
      <c r="M108" s="8" t="s">
        <v>3547</v>
      </c>
      <c r="N108" s="8" t="s">
        <v>1609</v>
      </c>
      <c r="O108" s="8" t="s">
        <v>3265</v>
      </c>
      <c r="P108" s="8" t="s">
        <v>1694</v>
      </c>
      <c r="Q108" s="8" t="s">
        <v>2418</v>
      </c>
      <c r="R108" s="8" t="s">
        <v>2560</v>
      </c>
      <c r="S108" s="8" t="s">
        <v>4882</v>
      </c>
      <c r="T108" s="3" t="s">
        <v>3643</v>
      </c>
      <c r="U108" s="3" t="s">
        <v>4956</v>
      </c>
      <c r="V108" s="3" t="s">
        <v>1792</v>
      </c>
      <c r="W108" s="3" t="s">
        <v>2851</v>
      </c>
      <c r="X108" s="44" t="s">
        <v>4572</v>
      </c>
      <c r="Y108" s="3" t="s">
        <v>4206</v>
      </c>
      <c r="Z108" s="3" t="s">
        <v>1882</v>
      </c>
      <c r="AA108" s="3" t="s">
        <v>3745</v>
      </c>
      <c r="AB108" s="3" t="s">
        <v>1158</v>
      </c>
      <c r="AC108" s="3" t="s">
        <v>1984</v>
      </c>
      <c r="AD108" s="3" t="s">
        <v>4345</v>
      </c>
      <c r="AE108" s="3" t="s">
        <v>4469</v>
      </c>
      <c r="AF108" s="3" t="s">
        <v>4107</v>
      </c>
      <c r="AG108" s="3" t="s">
        <v>2046</v>
      </c>
    </row>
    <row r="109" spans="1:33" ht="60" x14ac:dyDescent="0.25">
      <c r="A109" s="15" t="s">
        <v>785</v>
      </c>
      <c r="B109" s="15" t="s">
        <v>779</v>
      </c>
      <c r="C109" s="9" t="s">
        <v>783</v>
      </c>
      <c r="D109" s="8" t="s">
        <v>3039</v>
      </c>
      <c r="E109" s="8" t="s">
        <v>1225</v>
      </c>
      <c r="F109" s="9" t="s">
        <v>1121</v>
      </c>
      <c r="G109" s="8" t="s">
        <v>2111</v>
      </c>
      <c r="H109" s="16" t="s">
        <v>2244</v>
      </c>
      <c r="I109" s="8" t="s">
        <v>1426</v>
      </c>
      <c r="J109" s="16" t="s">
        <v>1321</v>
      </c>
      <c r="K109" s="16" t="s">
        <v>1527</v>
      </c>
      <c r="L109" s="8" t="s">
        <v>4793</v>
      </c>
      <c r="M109" s="8" t="s">
        <v>3548</v>
      </c>
      <c r="N109" s="8" t="s">
        <v>1610</v>
      </c>
      <c r="O109" s="8" t="s">
        <v>3266</v>
      </c>
      <c r="P109" s="8" t="s">
        <v>1695</v>
      </c>
      <c r="Q109" s="8" t="s">
        <v>2419</v>
      </c>
      <c r="R109" s="8" t="s">
        <v>2561</v>
      </c>
      <c r="S109" s="8" t="s">
        <v>4883</v>
      </c>
      <c r="T109" s="3" t="s">
        <v>3644</v>
      </c>
      <c r="U109" s="3" t="s">
        <v>4957</v>
      </c>
      <c r="V109" s="3" t="s">
        <v>1793</v>
      </c>
      <c r="W109" s="3" t="s">
        <v>2852</v>
      </c>
      <c r="X109" s="44" t="s">
        <v>4573</v>
      </c>
      <c r="Y109" s="3" t="s">
        <v>3777</v>
      </c>
      <c r="Z109" s="3" t="s">
        <v>1883</v>
      </c>
      <c r="AA109" s="3" t="s">
        <v>3746</v>
      </c>
      <c r="AB109" s="3" t="s">
        <v>3991</v>
      </c>
      <c r="AC109" s="3" t="s">
        <v>1985</v>
      </c>
      <c r="AD109" s="3" t="s">
        <v>4346</v>
      </c>
      <c r="AE109" s="3" t="s">
        <v>4470</v>
      </c>
      <c r="AF109" s="3" t="s">
        <v>4108</v>
      </c>
      <c r="AG109" s="3" t="s">
        <v>4706</v>
      </c>
    </row>
    <row r="110" spans="1:33" ht="60" x14ac:dyDescent="0.25">
      <c r="A110" s="15" t="s">
        <v>785</v>
      </c>
      <c r="B110" s="15" t="s">
        <v>784</v>
      </c>
      <c r="C110" s="9" t="s">
        <v>784</v>
      </c>
      <c r="D110" s="8" t="s">
        <v>3040</v>
      </c>
      <c r="E110" s="8" t="s">
        <v>1226</v>
      </c>
      <c r="F110" s="9" t="s">
        <v>1122</v>
      </c>
      <c r="G110" s="8" t="s">
        <v>2112</v>
      </c>
      <c r="H110" s="16" t="s">
        <v>2245</v>
      </c>
      <c r="I110" s="8" t="s">
        <v>1427</v>
      </c>
      <c r="J110" s="16" t="s">
        <v>1322</v>
      </c>
      <c r="K110" s="16" t="s">
        <v>1528</v>
      </c>
      <c r="L110" s="8" t="s">
        <v>4794</v>
      </c>
      <c r="M110" s="8" t="s">
        <v>3549</v>
      </c>
      <c r="N110" s="8" t="s">
        <v>1611</v>
      </c>
      <c r="O110" s="8" t="s">
        <v>3267</v>
      </c>
      <c r="P110" s="8" t="s">
        <v>1696</v>
      </c>
      <c r="Q110" s="8" t="s">
        <v>2420</v>
      </c>
      <c r="R110" s="8" t="s">
        <v>2562</v>
      </c>
      <c r="S110" s="8" t="s">
        <v>3801</v>
      </c>
      <c r="T110" s="3" t="s">
        <v>3645</v>
      </c>
      <c r="U110" s="3" t="s">
        <v>4958</v>
      </c>
      <c r="V110" s="3" t="s">
        <v>1794</v>
      </c>
      <c r="W110" s="3" t="s">
        <v>2853</v>
      </c>
      <c r="X110" s="44" t="s">
        <v>4574</v>
      </c>
      <c r="Y110" s="3" t="s">
        <v>1884</v>
      </c>
      <c r="Z110" s="3" t="s">
        <v>1884</v>
      </c>
      <c r="AA110" s="3" t="s">
        <v>1159</v>
      </c>
      <c r="AB110" s="3" t="s">
        <v>1159</v>
      </c>
      <c r="AC110" s="3" t="s">
        <v>1986</v>
      </c>
      <c r="AD110" s="3" t="s">
        <v>4347</v>
      </c>
      <c r="AE110" s="3" t="s">
        <v>4471</v>
      </c>
      <c r="AF110" s="3" t="s">
        <v>4109</v>
      </c>
      <c r="AG110" s="3" t="s">
        <v>2047</v>
      </c>
    </row>
    <row r="111" spans="1:33" ht="45" x14ac:dyDescent="0.25">
      <c r="A111" s="15" t="s">
        <v>786</v>
      </c>
      <c r="B111" s="15" t="s">
        <v>922</v>
      </c>
      <c r="C111" s="9" t="s">
        <v>922</v>
      </c>
      <c r="D111" s="18" t="s">
        <v>3041</v>
      </c>
      <c r="E111" s="18" t="s">
        <v>1227</v>
      </c>
      <c r="F111" s="9" t="s">
        <v>3900</v>
      </c>
      <c r="G111" s="8" t="s">
        <v>3942</v>
      </c>
      <c r="H111" s="16" t="s">
        <v>2246</v>
      </c>
      <c r="I111" s="8" t="s">
        <v>1428</v>
      </c>
      <c r="J111" s="16" t="s">
        <v>1323</v>
      </c>
      <c r="K111" s="16" t="s">
        <v>1529</v>
      </c>
      <c r="L111" s="8" t="s">
        <v>4795</v>
      </c>
      <c r="M111" s="8" t="s">
        <v>3550</v>
      </c>
      <c r="N111" s="8" t="s">
        <v>1612</v>
      </c>
      <c r="O111" s="8" t="s">
        <v>3268</v>
      </c>
      <c r="P111" s="8" t="s">
        <v>1697</v>
      </c>
      <c r="Q111" s="8" t="s">
        <v>2421</v>
      </c>
      <c r="R111" s="8" t="s">
        <v>2563</v>
      </c>
      <c r="S111" s="8" t="s">
        <v>4884</v>
      </c>
      <c r="T111" s="3" t="s">
        <v>3646</v>
      </c>
      <c r="U111" s="3" t="s">
        <v>4959</v>
      </c>
      <c r="V111" s="3" t="s">
        <v>1795</v>
      </c>
      <c r="W111" s="3" t="s">
        <v>2854</v>
      </c>
      <c r="X111" s="44" t="s">
        <v>4575</v>
      </c>
      <c r="Y111" s="3" t="s">
        <v>4207</v>
      </c>
      <c r="Z111" s="3" t="s">
        <v>1885</v>
      </c>
      <c r="AA111" s="3" t="s">
        <v>3747</v>
      </c>
      <c r="AB111" s="3" t="s">
        <v>3992</v>
      </c>
      <c r="AC111" s="3" t="s">
        <v>1987</v>
      </c>
      <c r="AD111" s="3" t="s">
        <v>4348</v>
      </c>
      <c r="AE111" s="3" t="s">
        <v>4472</v>
      </c>
      <c r="AF111" s="3" t="s">
        <v>4110</v>
      </c>
      <c r="AG111" s="3" t="s">
        <v>4707</v>
      </c>
    </row>
    <row r="112" spans="1:33" ht="30" x14ac:dyDescent="0.25">
      <c r="A112" s="15" t="s">
        <v>785</v>
      </c>
      <c r="B112" s="15" t="s">
        <v>5217</v>
      </c>
      <c r="C112" s="9" t="s">
        <v>51</v>
      </c>
      <c r="D112" s="8" t="s">
        <v>3047</v>
      </c>
      <c r="E112" s="8" t="s">
        <v>373</v>
      </c>
      <c r="F112" s="9" t="s">
        <v>410</v>
      </c>
      <c r="G112" s="8" t="s">
        <v>409</v>
      </c>
      <c r="H112" s="16" t="s">
        <v>2252</v>
      </c>
      <c r="I112" s="8" t="s">
        <v>509</v>
      </c>
      <c r="J112" s="16" t="s">
        <v>580</v>
      </c>
      <c r="K112" s="16" t="s">
        <v>457</v>
      </c>
      <c r="L112" s="8" t="s">
        <v>4800</v>
      </c>
      <c r="M112" s="8" t="s">
        <v>3556</v>
      </c>
      <c r="N112" s="8" t="s">
        <v>611</v>
      </c>
      <c r="O112" s="8" t="s">
        <v>3274</v>
      </c>
      <c r="P112" s="8" t="s">
        <v>547</v>
      </c>
      <c r="Q112" s="8" t="s">
        <v>2427</v>
      </c>
      <c r="R112" s="8" t="s">
        <v>2569</v>
      </c>
      <c r="S112" s="8" t="s">
        <v>3803</v>
      </c>
      <c r="T112" s="3" t="s">
        <v>3650</v>
      </c>
      <c r="U112" s="3" t="s">
        <v>4965</v>
      </c>
      <c r="V112" s="3" t="s">
        <v>697</v>
      </c>
      <c r="W112" s="3" t="s">
        <v>2860</v>
      </c>
      <c r="X112" s="44" t="s">
        <v>4579</v>
      </c>
      <c r="Y112" s="3" t="s">
        <v>442</v>
      </c>
      <c r="Z112" s="3" t="s">
        <v>437</v>
      </c>
      <c r="AA112" s="3" t="s">
        <v>3749</v>
      </c>
      <c r="AB112" s="3" t="s">
        <v>377</v>
      </c>
      <c r="AC112" s="3" t="s">
        <v>205</v>
      </c>
      <c r="AD112" s="3" t="s">
        <v>4354</v>
      </c>
      <c r="AE112" s="3" t="s">
        <v>4476</v>
      </c>
      <c r="AF112" s="3" t="s">
        <v>4116</v>
      </c>
      <c r="AG112" s="3" t="s">
        <v>474</v>
      </c>
    </row>
    <row r="113" spans="1:33" ht="30" x14ac:dyDescent="0.25">
      <c r="A113" s="15" t="s">
        <v>785</v>
      </c>
      <c r="B113" s="15" t="s">
        <v>5218</v>
      </c>
      <c r="C113" s="9" t="s">
        <v>49</v>
      </c>
      <c r="D113" s="8" t="s">
        <v>3045</v>
      </c>
      <c r="E113" s="8" t="s">
        <v>223</v>
      </c>
      <c r="F113" s="9" t="s">
        <v>406</v>
      </c>
      <c r="G113" s="8" t="s">
        <v>405</v>
      </c>
      <c r="H113" s="16" t="s">
        <v>2250</v>
      </c>
      <c r="I113" s="8" t="s">
        <v>507</v>
      </c>
      <c r="J113" s="16" t="s">
        <v>578</v>
      </c>
      <c r="K113" s="16" t="s">
        <v>455</v>
      </c>
      <c r="L113" s="8" t="s">
        <v>4798</v>
      </c>
      <c r="M113" s="8" t="s">
        <v>3554</v>
      </c>
      <c r="N113" s="8" t="s">
        <v>4642</v>
      </c>
      <c r="O113" s="8" t="s">
        <v>3272</v>
      </c>
      <c r="P113" s="8" t="s">
        <v>545</v>
      </c>
      <c r="Q113" s="8" t="s">
        <v>2425</v>
      </c>
      <c r="R113" s="8" t="s">
        <v>2567</v>
      </c>
      <c r="S113" s="8" t="s">
        <v>2657</v>
      </c>
      <c r="T113" s="3" t="s">
        <v>2715</v>
      </c>
      <c r="U113" s="3" t="s">
        <v>4963</v>
      </c>
      <c r="V113" s="3" t="s">
        <v>695</v>
      </c>
      <c r="W113" s="3" t="s">
        <v>2858</v>
      </c>
      <c r="X113" s="44" t="s">
        <v>4577</v>
      </c>
      <c r="Y113" s="3" t="s">
        <v>155</v>
      </c>
      <c r="Z113" s="3" t="s">
        <v>164</v>
      </c>
      <c r="AA113" s="3" t="s">
        <v>137</v>
      </c>
      <c r="AB113" s="3" t="s">
        <v>3993</v>
      </c>
      <c r="AC113" s="3" t="s">
        <v>632</v>
      </c>
      <c r="AD113" s="3" t="s">
        <v>4352</v>
      </c>
      <c r="AE113" s="3" t="s">
        <v>3431</v>
      </c>
      <c r="AF113" s="3" t="s">
        <v>4114</v>
      </c>
      <c r="AG113" s="3" t="s">
        <v>192</v>
      </c>
    </row>
    <row r="114" spans="1:33" ht="30" x14ac:dyDescent="0.25">
      <c r="A114" s="15" t="s">
        <v>785</v>
      </c>
      <c r="B114" s="15" t="s">
        <v>5219</v>
      </c>
      <c r="C114" s="9" t="s">
        <v>52</v>
      </c>
      <c r="D114" s="8" t="s">
        <v>3048</v>
      </c>
      <c r="E114" s="8" t="s">
        <v>374</v>
      </c>
      <c r="F114" s="9" t="s">
        <v>412</v>
      </c>
      <c r="G114" s="8" t="s">
        <v>411</v>
      </c>
      <c r="H114" s="16" t="s">
        <v>2253</v>
      </c>
      <c r="I114" s="8" t="s">
        <v>510</v>
      </c>
      <c r="J114" s="16" t="s">
        <v>581</v>
      </c>
      <c r="K114" s="16" t="s">
        <v>458</v>
      </c>
      <c r="L114" s="8" t="s">
        <v>4801</v>
      </c>
      <c r="M114" s="8" t="s">
        <v>3557</v>
      </c>
      <c r="N114" s="8" t="s">
        <v>622</v>
      </c>
      <c r="O114" s="8" t="s">
        <v>3275</v>
      </c>
      <c r="P114" s="8" t="s">
        <v>548</v>
      </c>
      <c r="Q114" s="8" t="s">
        <v>2428</v>
      </c>
      <c r="R114" s="8" t="s">
        <v>2570</v>
      </c>
      <c r="S114" s="8" t="s">
        <v>3804</v>
      </c>
      <c r="T114" s="3" t="s">
        <v>3651</v>
      </c>
      <c r="U114" s="3" t="s">
        <v>4966</v>
      </c>
      <c r="V114" s="3" t="s">
        <v>698</v>
      </c>
      <c r="W114" s="3" t="s">
        <v>2861</v>
      </c>
      <c r="X114" s="44" t="s">
        <v>2937</v>
      </c>
      <c r="Y114" s="3" t="s">
        <v>4208</v>
      </c>
      <c r="Z114" s="3" t="s">
        <v>593</v>
      </c>
      <c r="AA114" s="3" t="s">
        <v>139</v>
      </c>
      <c r="AB114" s="3" t="s">
        <v>378</v>
      </c>
      <c r="AC114" s="3" t="s">
        <v>206</v>
      </c>
      <c r="AD114" s="3" t="s">
        <v>4355</v>
      </c>
      <c r="AE114" s="3" t="s">
        <v>4477</v>
      </c>
      <c r="AF114" s="3" t="s">
        <v>4117</v>
      </c>
      <c r="AG114" s="3" t="s">
        <v>475</v>
      </c>
    </row>
    <row r="115" spans="1:33" ht="30" x14ac:dyDescent="0.25">
      <c r="A115" s="15" t="s">
        <v>785</v>
      </c>
      <c r="B115" s="15" t="s">
        <v>5220</v>
      </c>
      <c r="C115" s="9" t="s">
        <v>50</v>
      </c>
      <c r="D115" s="8" t="s">
        <v>3046</v>
      </c>
      <c r="E115" s="8" t="s">
        <v>372</v>
      </c>
      <c r="F115" s="9" t="s">
        <v>408</v>
      </c>
      <c r="G115" s="8" t="s">
        <v>407</v>
      </c>
      <c r="H115" s="16" t="s">
        <v>2251</v>
      </c>
      <c r="I115" s="8" t="s">
        <v>508</v>
      </c>
      <c r="J115" s="16" t="s">
        <v>579</v>
      </c>
      <c r="K115" s="16" t="s">
        <v>456</v>
      </c>
      <c r="L115" s="8" t="s">
        <v>4799</v>
      </c>
      <c r="M115" s="8" t="s">
        <v>3555</v>
      </c>
      <c r="N115" s="8" t="s">
        <v>4643</v>
      </c>
      <c r="O115" s="8" t="s">
        <v>3273</v>
      </c>
      <c r="P115" s="8" t="s">
        <v>546</v>
      </c>
      <c r="Q115" s="8" t="s">
        <v>2426</v>
      </c>
      <c r="R115" s="8" t="s">
        <v>2568</v>
      </c>
      <c r="S115" s="8" t="s">
        <v>3802</v>
      </c>
      <c r="T115" s="3" t="s">
        <v>3606</v>
      </c>
      <c r="U115" s="3" t="s">
        <v>4964</v>
      </c>
      <c r="V115" s="3" t="s">
        <v>696</v>
      </c>
      <c r="W115" s="3" t="s">
        <v>2859</v>
      </c>
      <c r="X115" s="44" t="s">
        <v>4578</v>
      </c>
      <c r="Y115" s="3" t="s">
        <v>156</v>
      </c>
      <c r="Z115" s="3" t="s">
        <v>165</v>
      </c>
      <c r="AA115" s="3" t="s">
        <v>138</v>
      </c>
      <c r="AB115" s="3" t="s">
        <v>3994</v>
      </c>
      <c r="AC115" s="3" t="s">
        <v>204</v>
      </c>
      <c r="AD115" s="3" t="s">
        <v>4353</v>
      </c>
      <c r="AE115" s="3" t="s">
        <v>3432</v>
      </c>
      <c r="AF115" s="3" t="s">
        <v>4115</v>
      </c>
      <c r="AG115" s="3" t="s">
        <v>473</v>
      </c>
    </row>
    <row r="116" spans="1:33" x14ac:dyDescent="0.25">
      <c r="A116" s="15" t="s">
        <v>785</v>
      </c>
      <c r="B116" s="15" t="s">
        <v>5221</v>
      </c>
      <c r="C116" s="9" t="s">
        <v>788</v>
      </c>
      <c r="D116" s="8" t="s">
        <v>3044</v>
      </c>
      <c r="E116" s="8" t="s">
        <v>1228</v>
      </c>
      <c r="F116" s="9" t="s">
        <v>1123</v>
      </c>
      <c r="G116" s="8" t="s">
        <v>1123</v>
      </c>
      <c r="H116" s="16" t="s">
        <v>2249</v>
      </c>
      <c r="I116" s="8" t="s">
        <v>1429</v>
      </c>
      <c r="J116" s="16" t="s">
        <v>1324</v>
      </c>
      <c r="K116" s="16" t="s">
        <v>1530</v>
      </c>
      <c r="L116" s="8" t="s">
        <v>2323</v>
      </c>
      <c r="M116" s="8" t="s">
        <v>3553</v>
      </c>
      <c r="N116" s="8" t="s">
        <v>1613</v>
      </c>
      <c r="O116" s="8" t="s">
        <v>3271</v>
      </c>
      <c r="P116" s="8" t="s">
        <v>1698</v>
      </c>
      <c r="Q116" s="8" t="s">
        <v>2424</v>
      </c>
      <c r="R116" s="8" t="s">
        <v>2566</v>
      </c>
      <c r="S116" s="8" t="s">
        <v>2656</v>
      </c>
      <c r="T116" s="3" t="s">
        <v>3649</v>
      </c>
      <c r="U116" s="3" t="s">
        <v>4962</v>
      </c>
      <c r="V116" s="3" t="s">
        <v>1796</v>
      </c>
      <c r="W116" s="3" t="s">
        <v>2857</v>
      </c>
      <c r="X116" s="44" t="s">
        <v>2936</v>
      </c>
      <c r="Y116" s="3" t="s">
        <v>1886</v>
      </c>
      <c r="Z116" s="3" t="s">
        <v>1886</v>
      </c>
      <c r="AA116" s="3" t="s">
        <v>1060</v>
      </c>
      <c r="AB116" s="3" t="s">
        <v>1060</v>
      </c>
      <c r="AC116" s="3" t="s">
        <v>1988</v>
      </c>
      <c r="AD116" s="3" t="s">
        <v>4351</v>
      </c>
      <c r="AE116" s="3" t="s">
        <v>4475</v>
      </c>
      <c r="AF116" s="3" t="s">
        <v>4113</v>
      </c>
      <c r="AG116" s="3" t="s">
        <v>2048</v>
      </c>
    </row>
    <row r="117" spans="1:33" ht="30" x14ac:dyDescent="0.25">
      <c r="A117" s="15" t="s">
        <v>785</v>
      </c>
      <c r="B117" s="15" t="s">
        <v>48</v>
      </c>
      <c r="C117" s="9" t="s">
        <v>48</v>
      </c>
      <c r="D117" s="8" t="s">
        <v>3043</v>
      </c>
      <c r="E117" s="8" t="s">
        <v>222</v>
      </c>
      <c r="F117" s="9" t="s">
        <v>404</v>
      </c>
      <c r="G117" s="8" t="s">
        <v>403</v>
      </c>
      <c r="H117" s="16" t="s">
        <v>2248</v>
      </c>
      <c r="I117" s="8" t="s">
        <v>506</v>
      </c>
      <c r="J117" s="16" t="s">
        <v>577</v>
      </c>
      <c r="K117" s="16" t="s">
        <v>266</v>
      </c>
      <c r="L117" s="8" t="s">
        <v>4797</v>
      </c>
      <c r="M117" s="8" t="s">
        <v>3552</v>
      </c>
      <c r="N117" s="8" t="s">
        <v>621</v>
      </c>
      <c r="O117" s="8" t="s">
        <v>3270</v>
      </c>
      <c r="P117" s="8" t="s">
        <v>544</v>
      </c>
      <c r="Q117" s="8" t="s">
        <v>2423</v>
      </c>
      <c r="R117" s="8" t="s">
        <v>2565</v>
      </c>
      <c r="S117" s="8" t="s">
        <v>2655</v>
      </c>
      <c r="T117" s="3" t="s">
        <v>3648</v>
      </c>
      <c r="U117" s="3" t="s">
        <v>4961</v>
      </c>
      <c r="V117" s="3" t="s">
        <v>694</v>
      </c>
      <c r="W117" s="3" t="s">
        <v>2856</v>
      </c>
      <c r="X117" s="44" t="s">
        <v>4576</v>
      </c>
      <c r="Y117" s="3" t="s">
        <v>154</v>
      </c>
      <c r="Z117" s="3" t="s">
        <v>154</v>
      </c>
      <c r="AA117" s="3" t="s">
        <v>136</v>
      </c>
      <c r="AB117" s="3" t="s">
        <v>362</v>
      </c>
      <c r="AC117" s="3" t="s">
        <v>631</v>
      </c>
      <c r="AD117" s="3" t="s">
        <v>4350</v>
      </c>
      <c r="AE117" s="3" t="s">
        <v>4474</v>
      </c>
      <c r="AF117" s="3" t="s">
        <v>4112</v>
      </c>
      <c r="AG117" s="3" t="s">
        <v>483</v>
      </c>
    </row>
    <row r="118" spans="1:33" x14ac:dyDescent="0.25">
      <c r="A118" s="15" t="s">
        <v>785</v>
      </c>
      <c r="B118" s="15" t="s">
        <v>5222</v>
      </c>
      <c r="C118" s="9" t="s">
        <v>120</v>
      </c>
      <c r="D118" s="8" t="s">
        <v>3042</v>
      </c>
      <c r="E118" s="8" t="s">
        <v>351</v>
      </c>
      <c r="F118" s="9" t="s">
        <v>402</v>
      </c>
      <c r="G118" s="8" t="s">
        <v>401</v>
      </c>
      <c r="H118" s="16" t="s">
        <v>2247</v>
      </c>
      <c r="I118" s="8" t="s">
        <v>505</v>
      </c>
      <c r="J118" s="16" t="s">
        <v>576</v>
      </c>
      <c r="K118" s="16" t="s">
        <v>454</v>
      </c>
      <c r="L118" s="8" t="s">
        <v>4796</v>
      </c>
      <c r="M118" s="8" t="s">
        <v>3551</v>
      </c>
      <c r="N118" s="8" t="s">
        <v>4641</v>
      </c>
      <c r="O118" s="8" t="s">
        <v>3269</v>
      </c>
      <c r="P118" s="8" t="s">
        <v>543</v>
      </c>
      <c r="Q118" s="8" t="s">
        <v>2422</v>
      </c>
      <c r="R118" s="8" t="s">
        <v>2564</v>
      </c>
      <c r="S118" s="8" t="s">
        <v>2654</v>
      </c>
      <c r="T118" s="3" t="s">
        <v>3647</v>
      </c>
      <c r="U118" s="3" t="s">
        <v>4960</v>
      </c>
      <c r="V118" s="3" t="s">
        <v>693</v>
      </c>
      <c r="W118" s="3" t="s">
        <v>2855</v>
      </c>
      <c r="X118" s="44" t="s">
        <v>2935</v>
      </c>
      <c r="Y118" s="3" t="s">
        <v>441</v>
      </c>
      <c r="Z118" s="3" t="s">
        <v>153</v>
      </c>
      <c r="AA118" s="3" t="s">
        <v>3748</v>
      </c>
      <c r="AB118" s="3" t="s">
        <v>361</v>
      </c>
      <c r="AC118" s="3" t="s">
        <v>203</v>
      </c>
      <c r="AD118" s="3" t="s">
        <v>4349</v>
      </c>
      <c r="AE118" s="3" t="s">
        <v>4473</v>
      </c>
      <c r="AF118" s="3" t="s">
        <v>4111</v>
      </c>
      <c r="AG118" s="3" t="s">
        <v>472</v>
      </c>
    </row>
    <row r="119" spans="1:33" x14ac:dyDescent="0.25">
      <c r="A119" s="15" t="s">
        <v>785</v>
      </c>
      <c r="B119" s="15" t="s">
        <v>5223</v>
      </c>
      <c r="C119" s="9" t="s">
        <v>47</v>
      </c>
      <c r="D119" s="8" t="s">
        <v>3049</v>
      </c>
      <c r="E119" s="8" t="s">
        <v>221</v>
      </c>
      <c r="F119" s="9" t="s">
        <v>400</v>
      </c>
      <c r="G119" s="8" t="s">
        <v>400</v>
      </c>
      <c r="H119" s="16" t="s">
        <v>2254</v>
      </c>
      <c r="I119" s="8" t="s">
        <v>504</v>
      </c>
      <c r="J119" s="16" t="s">
        <v>575</v>
      </c>
      <c r="K119" s="16" t="s">
        <v>453</v>
      </c>
      <c r="L119" s="8" t="s">
        <v>4802</v>
      </c>
      <c r="M119" s="8" t="s">
        <v>3558</v>
      </c>
      <c r="N119" s="8" t="s">
        <v>610</v>
      </c>
      <c r="O119" s="8" t="s">
        <v>3276</v>
      </c>
      <c r="P119" s="8" t="s">
        <v>542</v>
      </c>
      <c r="Q119" s="8" t="s">
        <v>2429</v>
      </c>
      <c r="R119" s="8" t="s">
        <v>2571</v>
      </c>
      <c r="S119" s="8" t="s">
        <v>3805</v>
      </c>
      <c r="T119" s="3" t="s">
        <v>3607</v>
      </c>
      <c r="U119" s="3" t="s">
        <v>4967</v>
      </c>
      <c r="V119" s="3" t="s">
        <v>692</v>
      </c>
      <c r="W119" s="3" t="s">
        <v>2862</v>
      </c>
      <c r="X119" s="44" t="s">
        <v>2938</v>
      </c>
      <c r="Y119" s="3" t="s">
        <v>4209</v>
      </c>
      <c r="Z119" s="3" t="s">
        <v>152</v>
      </c>
      <c r="AA119" s="3" t="s">
        <v>3750</v>
      </c>
      <c r="AB119" s="3" t="s">
        <v>231</v>
      </c>
      <c r="AC119" s="3" t="s">
        <v>630</v>
      </c>
      <c r="AD119" s="3" t="s">
        <v>4356</v>
      </c>
      <c r="AE119" s="3" t="s">
        <v>4478</v>
      </c>
      <c r="AF119" s="3" t="s">
        <v>4118</v>
      </c>
      <c r="AG119" s="3" t="s">
        <v>471</v>
      </c>
    </row>
    <row r="120" spans="1:33" ht="30" x14ac:dyDescent="0.25">
      <c r="A120" s="15" t="s">
        <v>785</v>
      </c>
      <c r="B120" s="15" t="s">
        <v>5224</v>
      </c>
      <c r="C120" s="9" t="s">
        <v>3826</v>
      </c>
      <c r="D120" s="8" t="s">
        <v>3827</v>
      </c>
      <c r="E120" s="8" t="s">
        <v>3825</v>
      </c>
      <c r="F120" s="9" t="s">
        <v>1124</v>
      </c>
      <c r="G120" s="8" t="s">
        <v>2113</v>
      </c>
      <c r="H120" s="16" t="s">
        <v>3828</v>
      </c>
      <c r="I120" s="8" t="s">
        <v>3829</v>
      </c>
      <c r="J120" s="16" t="s">
        <v>3830</v>
      </c>
      <c r="K120" s="16" t="s">
        <v>3831</v>
      </c>
      <c r="L120" s="8" t="s">
        <v>3832</v>
      </c>
      <c r="M120" s="8" t="s">
        <v>3833</v>
      </c>
      <c r="N120" s="8" t="s">
        <v>3834</v>
      </c>
      <c r="O120" s="8" t="s">
        <v>3835</v>
      </c>
      <c r="P120" s="8" t="s">
        <v>3836</v>
      </c>
      <c r="Q120" s="8" t="s">
        <v>3837</v>
      </c>
      <c r="R120" s="8" t="s">
        <v>3838</v>
      </c>
      <c r="S120" s="8" t="s">
        <v>4885</v>
      </c>
      <c r="T120" s="3" t="s">
        <v>3652</v>
      </c>
      <c r="U120" s="3" t="s">
        <v>3839</v>
      </c>
      <c r="V120" s="3" t="s">
        <v>3840</v>
      </c>
      <c r="W120" s="3" t="s">
        <v>3841</v>
      </c>
      <c r="X120" s="44" t="s">
        <v>3842</v>
      </c>
      <c r="Y120" s="3" t="s">
        <v>4210</v>
      </c>
      <c r="Z120" s="3" t="s">
        <v>3970</v>
      </c>
      <c r="AA120" s="3" t="s">
        <v>3843</v>
      </c>
      <c r="AB120" s="3" t="s">
        <v>4235</v>
      </c>
      <c r="AC120" s="3" t="s">
        <v>3844</v>
      </c>
      <c r="AD120" s="3" t="s">
        <v>4357</v>
      </c>
      <c r="AE120" s="3" t="s">
        <v>3845</v>
      </c>
      <c r="AF120" s="3" t="s">
        <v>4119</v>
      </c>
      <c r="AG120" s="3" t="s">
        <v>3846</v>
      </c>
    </row>
    <row r="121" spans="1:33" ht="30" x14ac:dyDescent="0.25">
      <c r="A121" s="15" t="s">
        <v>785</v>
      </c>
      <c r="B121" s="15" t="s">
        <v>789</v>
      </c>
      <c r="C121" s="9" t="s">
        <v>789</v>
      </c>
      <c r="D121" s="8" t="s">
        <v>3050</v>
      </c>
      <c r="E121" s="8" t="s">
        <v>5006</v>
      </c>
      <c r="F121" s="9" t="s">
        <v>1125</v>
      </c>
      <c r="G121" s="8" t="s">
        <v>2114</v>
      </c>
      <c r="H121" s="16" t="s">
        <v>2255</v>
      </c>
      <c r="I121" s="8" t="s">
        <v>1430</v>
      </c>
      <c r="J121" s="16" t="s">
        <v>1325</v>
      </c>
      <c r="K121" s="16" t="s">
        <v>1531</v>
      </c>
      <c r="L121" s="8" t="s">
        <v>4803</v>
      </c>
      <c r="M121" s="8" t="s">
        <v>3559</v>
      </c>
      <c r="N121" s="8" t="s">
        <v>1614</v>
      </c>
      <c r="O121" s="8" t="s">
        <v>3277</v>
      </c>
      <c r="P121" s="8" t="s">
        <v>1699</v>
      </c>
      <c r="Q121" s="8" t="s">
        <v>2430</v>
      </c>
      <c r="R121" s="8" t="s">
        <v>2572</v>
      </c>
      <c r="S121" s="8" t="s">
        <v>2658</v>
      </c>
      <c r="T121" s="3" t="s">
        <v>3608</v>
      </c>
      <c r="U121" s="3" t="s">
        <v>4968</v>
      </c>
      <c r="V121" s="3" t="s">
        <v>1797</v>
      </c>
      <c r="W121" s="3" t="s">
        <v>2863</v>
      </c>
      <c r="X121" s="44" t="s">
        <v>4580</v>
      </c>
      <c r="Y121" s="3" t="s">
        <v>4211</v>
      </c>
      <c r="Z121" s="3" t="s">
        <v>1887</v>
      </c>
      <c r="AA121" s="3" t="s">
        <v>3751</v>
      </c>
      <c r="AB121" s="3" t="s">
        <v>3995</v>
      </c>
      <c r="AC121" s="3" t="s">
        <v>1989</v>
      </c>
      <c r="AD121" s="3" t="s">
        <v>4358</v>
      </c>
      <c r="AE121" s="3" t="s">
        <v>4479</v>
      </c>
      <c r="AF121" s="3" t="s">
        <v>4120</v>
      </c>
      <c r="AG121" s="3" t="s">
        <v>2049</v>
      </c>
    </row>
    <row r="122" spans="1:33" ht="30" x14ac:dyDescent="0.25">
      <c r="A122" s="15" t="s">
        <v>785</v>
      </c>
      <c r="B122" s="15" t="s">
        <v>790</v>
      </c>
      <c r="C122" s="9" t="s">
        <v>790</v>
      </c>
      <c r="D122" s="8" t="s">
        <v>3051</v>
      </c>
      <c r="E122" s="8" t="s">
        <v>1229</v>
      </c>
      <c r="F122" s="9" t="s">
        <v>3901</v>
      </c>
      <c r="G122" s="8" t="s">
        <v>3943</v>
      </c>
      <c r="H122" s="16" t="s">
        <v>2256</v>
      </c>
      <c r="I122" s="8" t="s">
        <v>1431</v>
      </c>
      <c r="J122" s="16" t="s">
        <v>1326</v>
      </c>
      <c r="K122" s="16" t="s">
        <v>1532</v>
      </c>
      <c r="L122" s="8" t="s">
        <v>4804</v>
      </c>
      <c r="M122" s="8" t="s">
        <v>3560</v>
      </c>
      <c r="N122" s="8" t="s">
        <v>1615</v>
      </c>
      <c r="O122" s="8" t="s">
        <v>3278</v>
      </c>
      <c r="P122" s="8" t="s">
        <v>1700</v>
      </c>
      <c r="Q122" s="8" t="s">
        <v>2431</v>
      </c>
      <c r="R122" s="8" t="s">
        <v>2573</v>
      </c>
      <c r="S122" s="8" t="s">
        <v>3806</v>
      </c>
      <c r="T122" s="3" t="s">
        <v>3653</v>
      </c>
      <c r="U122" s="3" t="s">
        <v>2761</v>
      </c>
      <c r="V122" s="3" t="s">
        <v>1798</v>
      </c>
      <c r="W122" s="3" t="s">
        <v>2864</v>
      </c>
      <c r="X122" s="44" t="s">
        <v>4581</v>
      </c>
      <c r="Y122" s="3" t="s">
        <v>4212</v>
      </c>
      <c r="Z122" s="3" t="s">
        <v>1888</v>
      </c>
      <c r="AA122" s="3" t="s">
        <v>3752</v>
      </c>
      <c r="AB122" s="3" t="s">
        <v>1160</v>
      </c>
      <c r="AC122" s="3" t="s">
        <v>1990</v>
      </c>
      <c r="AD122" s="3" t="s">
        <v>4359</v>
      </c>
      <c r="AE122" s="3" t="s">
        <v>4480</v>
      </c>
      <c r="AF122" s="3" t="s">
        <v>4121</v>
      </c>
      <c r="AG122" s="3" t="s">
        <v>2050</v>
      </c>
    </row>
    <row r="123" spans="1:33" ht="30" x14ac:dyDescent="0.25">
      <c r="A123" s="15" t="s">
        <v>785</v>
      </c>
      <c r="B123" s="15" t="s">
        <v>791</v>
      </c>
      <c r="C123" s="9" t="s">
        <v>791</v>
      </c>
      <c r="D123" s="8" t="s">
        <v>3052</v>
      </c>
      <c r="E123" s="8" t="s">
        <v>4734</v>
      </c>
      <c r="F123" s="9" t="s">
        <v>3902</v>
      </c>
      <c r="G123" s="8" t="s">
        <v>3944</v>
      </c>
      <c r="H123" s="16" t="s">
        <v>2257</v>
      </c>
      <c r="I123" s="8" t="s">
        <v>1432</v>
      </c>
      <c r="J123" s="16" t="s">
        <v>1327</v>
      </c>
      <c r="K123" s="16" t="s">
        <v>1533</v>
      </c>
      <c r="L123" s="8" t="s">
        <v>4805</v>
      </c>
      <c r="M123" s="8" t="s">
        <v>3561</v>
      </c>
      <c r="N123" s="8" t="s">
        <v>1616</v>
      </c>
      <c r="O123" s="8" t="s">
        <v>3279</v>
      </c>
      <c r="P123" s="8" t="s">
        <v>1701</v>
      </c>
      <c r="Q123" s="8" t="s">
        <v>2432</v>
      </c>
      <c r="R123" s="8" t="s">
        <v>2574</v>
      </c>
      <c r="S123" s="8" t="s">
        <v>3807</v>
      </c>
      <c r="T123" s="3" t="s">
        <v>3654</v>
      </c>
      <c r="U123" s="3" t="s">
        <v>4969</v>
      </c>
      <c r="V123" s="3" t="s">
        <v>1799</v>
      </c>
      <c r="W123" s="3" t="s">
        <v>2865</v>
      </c>
      <c r="X123" s="44" t="s">
        <v>4582</v>
      </c>
      <c r="Y123" s="3" t="s">
        <v>4213</v>
      </c>
      <c r="Z123" s="3" t="s">
        <v>1889</v>
      </c>
      <c r="AA123" s="3" t="s">
        <v>3753</v>
      </c>
      <c r="AB123" s="3" t="s">
        <v>4721</v>
      </c>
      <c r="AC123" s="3" t="s">
        <v>1991</v>
      </c>
      <c r="AD123" s="3" t="s">
        <v>4360</v>
      </c>
      <c r="AE123" s="3" t="s">
        <v>3433</v>
      </c>
      <c r="AF123" s="3" t="s">
        <v>4122</v>
      </c>
      <c r="AG123" s="3" t="s">
        <v>2051</v>
      </c>
    </row>
    <row r="124" spans="1:33" ht="30" x14ac:dyDescent="0.25">
      <c r="A124" s="15" t="s">
        <v>785</v>
      </c>
      <c r="B124" s="15" t="s">
        <v>792</v>
      </c>
      <c r="C124" s="9" t="s">
        <v>792</v>
      </c>
      <c r="D124" s="8" t="s">
        <v>3053</v>
      </c>
      <c r="E124" s="8" t="s">
        <v>5007</v>
      </c>
      <c r="F124" s="9" t="s">
        <v>1126</v>
      </c>
      <c r="G124" s="8" t="s">
        <v>2115</v>
      </c>
      <c r="H124" s="16" t="s">
        <v>2258</v>
      </c>
      <c r="I124" s="8" t="s">
        <v>1433</v>
      </c>
      <c r="J124" s="16" t="s">
        <v>1328</v>
      </c>
      <c r="K124" s="16" t="s">
        <v>1534</v>
      </c>
      <c r="L124" s="8" t="s">
        <v>4806</v>
      </c>
      <c r="M124" s="8" t="s">
        <v>3562</v>
      </c>
      <c r="N124" s="8" t="s">
        <v>1617</v>
      </c>
      <c r="O124" s="8" t="s">
        <v>3280</v>
      </c>
      <c r="P124" s="8" t="s">
        <v>1702</v>
      </c>
      <c r="Q124" s="8" t="s">
        <v>2433</v>
      </c>
      <c r="R124" s="8" t="s">
        <v>2575</v>
      </c>
      <c r="S124" s="8" t="s">
        <v>3808</v>
      </c>
      <c r="T124" s="3" t="s">
        <v>3655</v>
      </c>
      <c r="U124" s="3" t="s">
        <v>4970</v>
      </c>
      <c r="V124" s="3" t="s">
        <v>1800</v>
      </c>
      <c r="W124" s="3" t="s">
        <v>2866</v>
      </c>
      <c r="X124" s="44" t="s">
        <v>2939</v>
      </c>
      <c r="Y124" s="3" t="s">
        <v>4214</v>
      </c>
      <c r="Z124" s="3" t="s">
        <v>1890</v>
      </c>
      <c r="AA124" s="3" t="s">
        <v>3754</v>
      </c>
      <c r="AB124" s="3" t="s">
        <v>4722</v>
      </c>
      <c r="AC124" s="3" t="s">
        <v>1992</v>
      </c>
      <c r="AD124" s="3" t="s">
        <v>4361</v>
      </c>
      <c r="AE124" s="3" t="s">
        <v>3434</v>
      </c>
      <c r="AF124" s="3" t="s">
        <v>4123</v>
      </c>
      <c r="AG124" s="3" t="s">
        <v>2052</v>
      </c>
    </row>
    <row r="125" spans="1:33" x14ac:dyDescent="0.25">
      <c r="A125" s="15" t="s">
        <v>785</v>
      </c>
      <c r="B125" s="15" t="s">
        <v>794</v>
      </c>
      <c r="C125" s="9" t="s">
        <v>794</v>
      </c>
      <c r="D125" s="8" t="s">
        <v>3056</v>
      </c>
      <c r="E125" s="8" t="s">
        <v>1231</v>
      </c>
      <c r="F125" s="9" t="s">
        <v>1128</v>
      </c>
      <c r="G125" s="8" t="s">
        <v>2117</v>
      </c>
      <c r="H125" s="16" t="s">
        <v>2261</v>
      </c>
      <c r="I125" s="8" t="s">
        <v>1435</v>
      </c>
      <c r="J125" s="16" t="s">
        <v>1330</v>
      </c>
      <c r="K125" s="16" t="s">
        <v>1536</v>
      </c>
      <c r="L125" s="8" t="s">
        <v>2324</v>
      </c>
      <c r="M125" s="8" t="s">
        <v>3565</v>
      </c>
      <c r="N125" s="8" t="s">
        <v>1619</v>
      </c>
      <c r="O125" s="8" t="s">
        <v>3283</v>
      </c>
      <c r="P125" s="8" t="s">
        <v>1704</v>
      </c>
      <c r="Q125" s="8" t="s">
        <v>2436</v>
      </c>
      <c r="R125" s="8" t="s">
        <v>2578</v>
      </c>
      <c r="S125" s="8" t="s">
        <v>3810</v>
      </c>
      <c r="T125" s="3" t="s">
        <v>2716</v>
      </c>
      <c r="U125" s="3" t="s">
        <v>2763</v>
      </c>
      <c r="V125" s="3" t="s">
        <v>1802</v>
      </c>
      <c r="W125" s="3" t="s">
        <v>2869</v>
      </c>
      <c r="X125" s="44" t="s">
        <v>4583</v>
      </c>
      <c r="Y125" s="3" t="s">
        <v>1892</v>
      </c>
      <c r="Z125" s="3" t="s">
        <v>1892</v>
      </c>
      <c r="AA125" s="3" t="s">
        <v>1161</v>
      </c>
      <c r="AB125" s="3" t="s">
        <v>1161</v>
      </c>
      <c r="AC125" s="3" t="s">
        <v>1994</v>
      </c>
      <c r="AD125" s="3" t="s">
        <v>4364</v>
      </c>
      <c r="AE125" s="3" t="s">
        <v>3435</v>
      </c>
      <c r="AF125" s="3" t="s">
        <v>4126</v>
      </c>
      <c r="AG125" s="3" t="s">
        <v>2054</v>
      </c>
    </row>
    <row r="126" spans="1:33" ht="30" x14ac:dyDescent="0.25">
      <c r="A126" s="15" t="s">
        <v>785</v>
      </c>
      <c r="B126" s="15" t="s">
        <v>795</v>
      </c>
      <c r="C126" s="9" t="s">
        <v>795</v>
      </c>
      <c r="D126" s="8" t="s">
        <v>3057</v>
      </c>
      <c r="E126" s="8" t="s">
        <v>1232</v>
      </c>
      <c r="F126" s="9" t="s">
        <v>3903</v>
      </c>
      <c r="G126" s="8" t="s">
        <v>3945</v>
      </c>
      <c r="H126" s="16" t="s">
        <v>2262</v>
      </c>
      <c r="I126" s="8" t="s">
        <v>1436</v>
      </c>
      <c r="J126" s="16" t="s">
        <v>1331</v>
      </c>
      <c r="K126" s="16" t="s">
        <v>1537</v>
      </c>
      <c r="L126" s="8" t="s">
        <v>4809</v>
      </c>
      <c r="M126" s="8" t="s">
        <v>3566</v>
      </c>
      <c r="N126" s="8" t="s">
        <v>4645</v>
      </c>
      <c r="O126" s="8" t="s">
        <v>3284</v>
      </c>
      <c r="P126" s="8" t="s">
        <v>1705</v>
      </c>
      <c r="Q126" s="8" t="s">
        <v>2437</v>
      </c>
      <c r="R126" s="8" t="s">
        <v>2579</v>
      </c>
      <c r="S126" s="8" t="s">
        <v>2660</v>
      </c>
      <c r="T126" s="3" t="s">
        <v>3657</v>
      </c>
      <c r="U126" s="3" t="s">
        <v>2764</v>
      </c>
      <c r="V126" s="3" t="s">
        <v>1803</v>
      </c>
      <c r="W126" s="3" t="s">
        <v>2870</v>
      </c>
      <c r="X126" s="44" t="s">
        <v>2942</v>
      </c>
      <c r="Y126" s="3" t="s">
        <v>4170</v>
      </c>
      <c r="Z126" s="3" t="s">
        <v>1893</v>
      </c>
      <c r="AA126" s="3" t="s">
        <v>1061</v>
      </c>
      <c r="AB126" s="3" t="s">
        <v>3997</v>
      </c>
      <c r="AC126" s="3" t="s">
        <v>1995</v>
      </c>
      <c r="AD126" s="3" t="s">
        <v>4365</v>
      </c>
      <c r="AE126" s="3" t="s">
        <v>3436</v>
      </c>
      <c r="AF126" s="3" t="s">
        <v>4127</v>
      </c>
      <c r="AG126" s="3" t="s">
        <v>2055</v>
      </c>
    </row>
    <row r="127" spans="1:33" ht="30" x14ac:dyDescent="0.25">
      <c r="A127" s="15" t="s">
        <v>785</v>
      </c>
      <c r="B127" s="15" t="s">
        <v>5225</v>
      </c>
      <c r="C127" s="9" t="s">
        <v>98</v>
      </c>
      <c r="D127" s="8" t="s">
        <v>3054</v>
      </c>
      <c r="E127" s="8" t="s">
        <v>354</v>
      </c>
      <c r="F127" s="9" t="s">
        <v>418</v>
      </c>
      <c r="G127" s="8" t="s">
        <v>417</v>
      </c>
      <c r="H127" s="16" t="s">
        <v>2259</v>
      </c>
      <c r="I127" s="8" t="s">
        <v>515</v>
      </c>
      <c r="J127" s="16" t="s">
        <v>585</v>
      </c>
      <c r="K127" s="16" t="s">
        <v>461</v>
      </c>
      <c r="L127" s="8" t="s">
        <v>4807</v>
      </c>
      <c r="M127" s="8" t="s">
        <v>3563</v>
      </c>
      <c r="N127" s="8" t="s">
        <v>4644</v>
      </c>
      <c r="O127" s="8" t="s">
        <v>3281</v>
      </c>
      <c r="P127" s="8" t="s">
        <v>553</v>
      </c>
      <c r="Q127" s="8" t="s">
        <v>2434</v>
      </c>
      <c r="R127" s="8" t="s">
        <v>2576</v>
      </c>
      <c r="S127" s="8" t="s">
        <v>2659</v>
      </c>
      <c r="T127" s="3" t="s">
        <v>3609</v>
      </c>
      <c r="U127" s="3" t="s">
        <v>4971</v>
      </c>
      <c r="V127" s="3" t="s">
        <v>703</v>
      </c>
      <c r="W127" s="3" t="s">
        <v>2867</v>
      </c>
      <c r="X127" s="44" t="s">
        <v>2940</v>
      </c>
      <c r="Y127" s="3" t="s">
        <v>4168</v>
      </c>
      <c r="Z127" s="3" t="s">
        <v>157</v>
      </c>
      <c r="AA127" s="3" t="s">
        <v>140</v>
      </c>
      <c r="AB127" s="3" t="s">
        <v>363</v>
      </c>
      <c r="AC127" s="3" t="s">
        <v>207</v>
      </c>
      <c r="AD127" s="3" t="s">
        <v>4362</v>
      </c>
      <c r="AE127" s="3" t="s">
        <v>4481</v>
      </c>
      <c r="AF127" s="3" t="s">
        <v>4124</v>
      </c>
      <c r="AG127" s="3" t="s">
        <v>478</v>
      </c>
    </row>
    <row r="128" spans="1:33" x14ac:dyDescent="0.25">
      <c r="A128" s="15" t="s">
        <v>785</v>
      </c>
      <c r="B128" s="15" t="s">
        <v>793</v>
      </c>
      <c r="C128" s="9" t="s">
        <v>793</v>
      </c>
      <c r="D128" s="8" t="s">
        <v>3055</v>
      </c>
      <c r="E128" s="8" t="s">
        <v>1230</v>
      </c>
      <c r="F128" s="9" t="s">
        <v>1127</v>
      </c>
      <c r="G128" s="8" t="s">
        <v>2116</v>
      </c>
      <c r="H128" s="16" t="s">
        <v>2260</v>
      </c>
      <c r="I128" s="8" t="s">
        <v>1434</v>
      </c>
      <c r="J128" s="16" t="s">
        <v>1329</v>
      </c>
      <c r="K128" s="16" t="s">
        <v>1535</v>
      </c>
      <c r="L128" s="8" t="s">
        <v>4808</v>
      </c>
      <c r="M128" s="8" t="s">
        <v>3564</v>
      </c>
      <c r="N128" s="8" t="s">
        <v>1618</v>
      </c>
      <c r="O128" s="8" t="s">
        <v>3282</v>
      </c>
      <c r="P128" s="8" t="s">
        <v>1703</v>
      </c>
      <c r="Q128" s="8" t="s">
        <v>2435</v>
      </c>
      <c r="R128" s="8" t="s">
        <v>2577</v>
      </c>
      <c r="S128" s="8" t="s">
        <v>3809</v>
      </c>
      <c r="T128" s="3" t="s">
        <v>3656</v>
      </c>
      <c r="U128" s="3" t="s">
        <v>2762</v>
      </c>
      <c r="V128" s="3" t="s">
        <v>1801</v>
      </c>
      <c r="W128" s="3" t="s">
        <v>2868</v>
      </c>
      <c r="X128" s="44" t="s">
        <v>2941</v>
      </c>
      <c r="Y128" s="3" t="s">
        <v>4169</v>
      </c>
      <c r="Z128" s="3" t="s">
        <v>1891</v>
      </c>
      <c r="AA128" s="3" t="s">
        <v>3755</v>
      </c>
      <c r="AB128" s="3" t="s">
        <v>3996</v>
      </c>
      <c r="AC128" s="3" t="s">
        <v>1993</v>
      </c>
      <c r="AD128" s="3" t="s">
        <v>4363</v>
      </c>
      <c r="AE128" s="3" t="s">
        <v>4482</v>
      </c>
      <c r="AF128" s="3" t="s">
        <v>4125</v>
      </c>
      <c r="AG128" s="3" t="s">
        <v>2053</v>
      </c>
    </row>
    <row r="129" spans="1:33" ht="30" x14ac:dyDescent="0.25">
      <c r="A129" s="15" t="s">
        <v>786</v>
      </c>
      <c r="B129" s="15" t="s">
        <v>5226</v>
      </c>
      <c r="C129" s="9" t="s">
        <v>831</v>
      </c>
      <c r="D129" s="18" t="s">
        <v>3067</v>
      </c>
      <c r="E129" s="18" t="s">
        <v>1243</v>
      </c>
      <c r="F129" s="9" t="s">
        <v>1137</v>
      </c>
      <c r="G129" s="8" t="s">
        <v>2126</v>
      </c>
      <c r="H129" s="16" t="s">
        <v>2273</v>
      </c>
      <c r="I129" s="8" t="s">
        <v>1447</v>
      </c>
      <c r="J129" s="16" t="s">
        <v>1342</v>
      </c>
      <c r="K129" s="16" t="s">
        <v>1548</v>
      </c>
      <c r="L129" s="8" t="s">
        <v>4817</v>
      </c>
      <c r="M129" s="8" t="s">
        <v>3577</v>
      </c>
      <c r="N129" s="8" t="s">
        <v>1627</v>
      </c>
      <c r="O129" s="8" t="s">
        <v>3295</v>
      </c>
      <c r="P129" s="8" t="s">
        <v>1716</v>
      </c>
      <c r="Q129" s="8" t="s">
        <v>2448</v>
      </c>
      <c r="R129" s="8" t="s">
        <v>2590</v>
      </c>
      <c r="S129" s="8" t="s">
        <v>2666</v>
      </c>
      <c r="T129" s="3" t="s">
        <v>1137</v>
      </c>
      <c r="U129" s="3" t="s">
        <v>4978</v>
      </c>
      <c r="V129" s="3" t="s">
        <v>1814</v>
      </c>
      <c r="W129" s="3" t="s">
        <v>2881</v>
      </c>
      <c r="X129" s="44" t="s">
        <v>4593</v>
      </c>
      <c r="Y129" s="3" t="s">
        <v>1068</v>
      </c>
      <c r="Z129" s="3" t="s">
        <v>1068</v>
      </c>
      <c r="AA129" s="3" t="s">
        <v>3760</v>
      </c>
      <c r="AB129" s="3" t="s">
        <v>1068</v>
      </c>
      <c r="AC129" s="3" t="s">
        <v>2006</v>
      </c>
      <c r="AD129" s="3" t="s">
        <v>4376</v>
      </c>
      <c r="AE129" s="3" t="s">
        <v>3440</v>
      </c>
      <c r="AF129" s="3" t="s">
        <v>4138</v>
      </c>
      <c r="AG129" s="3" t="s">
        <v>2064</v>
      </c>
    </row>
    <row r="130" spans="1:33" ht="60" x14ac:dyDescent="0.25">
      <c r="A130" s="15" t="s">
        <v>785</v>
      </c>
      <c r="B130" s="15" t="s">
        <v>5227</v>
      </c>
      <c r="C130" s="9" t="s">
        <v>270</v>
      </c>
      <c r="D130" s="18" t="s">
        <v>3068</v>
      </c>
      <c r="E130" s="18" t="s">
        <v>353</v>
      </c>
      <c r="F130" s="9" t="s">
        <v>416</v>
      </c>
      <c r="G130" s="8" t="s">
        <v>415</v>
      </c>
      <c r="H130" s="16" t="s">
        <v>2274</v>
      </c>
      <c r="I130" s="8" t="s">
        <v>514</v>
      </c>
      <c r="J130" s="16" t="s">
        <v>584</v>
      </c>
      <c r="K130" s="16" t="s">
        <v>460</v>
      </c>
      <c r="L130" s="8" t="s">
        <v>4818</v>
      </c>
      <c r="M130" s="8" t="s">
        <v>3578</v>
      </c>
      <c r="N130" s="8" t="s">
        <v>4649</v>
      </c>
      <c r="O130" s="8" t="s">
        <v>3296</v>
      </c>
      <c r="P130" s="8" t="s">
        <v>552</v>
      </c>
      <c r="Q130" s="8" t="s">
        <v>2449</v>
      </c>
      <c r="R130" s="8" t="s">
        <v>2591</v>
      </c>
      <c r="S130" s="8" t="s">
        <v>3816</v>
      </c>
      <c r="T130" s="3" t="s">
        <v>3661</v>
      </c>
      <c r="U130" s="3" t="s">
        <v>4979</v>
      </c>
      <c r="V130" s="3" t="s">
        <v>702</v>
      </c>
      <c r="W130" s="3" t="s">
        <v>2882</v>
      </c>
      <c r="X130" s="44" t="s">
        <v>4594</v>
      </c>
      <c r="Y130" s="3" t="s">
        <v>4217</v>
      </c>
      <c r="Z130" s="3" t="s">
        <v>280</v>
      </c>
      <c r="AA130" s="3" t="s">
        <v>278</v>
      </c>
      <c r="AB130" s="3" t="s">
        <v>4000</v>
      </c>
      <c r="AC130" s="3" t="s">
        <v>634</v>
      </c>
      <c r="AD130" s="3" t="s">
        <v>4377</v>
      </c>
      <c r="AE130" s="3" t="s">
        <v>3441</v>
      </c>
      <c r="AF130" s="3" t="s">
        <v>4139</v>
      </c>
      <c r="AG130" s="3" t="s">
        <v>477</v>
      </c>
    </row>
    <row r="131" spans="1:33" ht="30" x14ac:dyDescent="0.25">
      <c r="A131" s="15" t="s">
        <v>785</v>
      </c>
      <c r="B131" s="15" t="s">
        <v>289</v>
      </c>
      <c r="C131" s="9" t="s">
        <v>60</v>
      </c>
      <c r="D131" s="18" t="s">
        <v>3069</v>
      </c>
      <c r="E131" s="18" t="s">
        <v>355</v>
      </c>
      <c r="F131" s="9" t="s">
        <v>419</v>
      </c>
      <c r="G131" s="8" t="s">
        <v>3948</v>
      </c>
      <c r="H131" s="16" t="s">
        <v>2275</v>
      </c>
      <c r="I131" s="8" t="s">
        <v>516</v>
      </c>
      <c r="J131" s="16" t="s">
        <v>586</v>
      </c>
      <c r="K131" s="16" t="s">
        <v>462</v>
      </c>
      <c r="L131" s="8" t="s">
        <v>4819</v>
      </c>
      <c r="M131" s="8" t="s">
        <v>3579</v>
      </c>
      <c r="N131" s="8" t="s">
        <v>247</v>
      </c>
      <c r="O131" s="8" t="s">
        <v>3297</v>
      </c>
      <c r="P131" s="8" t="s">
        <v>554</v>
      </c>
      <c r="Q131" s="8" t="s">
        <v>2450</v>
      </c>
      <c r="R131" s="8" t="s">
        <v>2592</v>
      </c>
      <c r="S131" s="8" t="s">
        <v>2667</v>
      </c>
      <c r="T131" s="3" t="s">
        <v>3662</v>
      </c>
      <c r="U131" s="3" t="s">
        <v>4980</v>
      </c>
      <c r="V131" s="3" t="s">
        <v>704</v>
      </c>
      <c r="W131" s="3" t="s">
        <v>2883</v>
      </c>
      <c r="X131" s="44" t="s">
        <v>4595</v>
      </c>
      <c r="Y131" s="3" t="s">
        <v>4173</v>
      </c>
      <c r="Z131" s="3" t="s">
        <v>166</v>
      </c>
      <c r="AA131" s="3" t="s">
        <v>141</v>
      </c>
      <c r="AB131" s="3" t="s">
        <v>141</v>
      </c>
      <c r="AC131" s="3" t="s">
        <v>208</v>
      </c>
      <c r="AD131" s="3" t="s">
        <v>4378</v>
      </c>
      <c r="AE131" s="3" t="s">
        <v>4490</v>
      </c>
      <c r="AF131" s="3" t="s">
        <v>4140</v>
      </c>
      <c r="AG131" s="3" t="s">
        <v>479</v>
      </c>
    </row>
    <row r="132" spans="1:33" ht="30" x14ac:dyDescent="0.25">
      <c r="A132" s="15" t="s">
        <v>785</v>
      </c>
      <c r="B132" s="15" t="s">
        <v>5228</v>
      </c>
      <c r="C132" s="9" t="s">
        <v>61</v>
      </c>
      <c r="D132" s="8" t="s">
        <v>3070</v>
      </c>
      <c r="E132" s="8" t="s">
        <v>224</v>
      </c>
      <c r="F132" s="9" t="s">
        <v>421</v>
      </c>
      <c r="G132" s="8" t="s">
        <v>420</v>
      </c>
      <c r="H132" s="16" t="s">
        <v>2276</v>
      </c>
      <c r="I132" s="8" t="s">
        <v>517</v>
      </c>
      <c r="J132" s="16" t="s">
        <v>587</v>
      </c>
      <c r="K132" s="16" t="s">
        <v>463</v>
      </c>
      <c r="L132" s="8" t="s">
        <v>4820</v>
      </c>
      <c r="M132" s="8" t="s">
        <v>3580</v>
      </c>
      <c r="N132" s="8" t="s">
        <v>248</v>
      </c>
      <c r="O132" s="8" t="s">
        <v>3298</v>
      </c>
      <c r="P132" s="8" t="s">
        <v>555</v>
      </c>
      <c r="Q132" s="8" t="s">
        <v>2451</v>
      </c>
      <c r="R132" s="8" t="s">
        <v>2593</v>
      </c>
      <c r="S132" s="8" t="s">
        <v>3817</v>
      </c>
      <c r="T132" s="3" t="s">
        <v>3663</v>
      </c>
      <c r="U132" s="3" t="s">
        <v>4981</v>
      </c>
      <c r="V132" s="3" t="s">
        <v>705</v>
      </c>
      <c r="W132" s="3" t="s">
        <v>2884</v>
      </c>
      <c r="X132" s="44" t="s">
        <v>4596</v>
      </c>
      <c r="Y132" s="3" t="s">
        <v>4174</v>
      </c>
      <c r="Z132" s="3" t="s">
        <v>167</v>
      </c>
      <c r="AA132" s="3" t="s">
        <v>142</v>
      </c>
      <c r="AB132" s="3" t="s">
        <v>142</v>
      </c>
      <c r="AC132" s="3" t="s">
        <v>209</v>
      </c>
      <c r="AD132" s="3" t="s">
        <v>4379</v>
      </c>
      <c r="AE132" s="3" t="s">
        <v>3442</v>
      </c>
      <c r="AF132" s="3" t="s">
        <v>4141</v>
      </c>
      <c r="AG132" s="3" t="s">
        <v>480</v>
      </c>
    </row>
    <row r="133" spans="1:33" ht="30" x14ac:dyDescent="0.25">
      <c r="A133" s="15" t="s">
        <v>786</v>
      </c>
      <c r="B133" s="15" t="s">
        <v>5229</v>
      </c>
      <c r="C133" s="9" t="s">
        <v>832</v>
      </c>
      <c r="D133" s="8" t="s">
        <v>3071</v>
      </c>
      <c r="E133" s="8" t="s">
        <v>1244</v>
      </c>
      <c r="F133" s="9" t="s">
        <v>1138</v>
      </c>
      <c r="G133" s="8" t="s">
        <v>2127</v>
      </c>
      <c r="H133" s="16" t="s">
        <v>2277</v>
      </c>
      <c r="I133" s="8" t="s">
        <v>1448</v>
      </c>
      <c r="J133" s="16" t="s">
        <v>1343</v>
      </c>
      <c r="K133" s="16" t="s">
        <v>1549</v>
      </c>
      <c r="L133" s="8" t="s">
        <v>4821</v>
      </c>
      <c r="M133" s="8" t="s">
        <v>3581</v>
      </c>
      <c r="N133" s="8" t="s">
        <v>1628</v>
      </c>
      <c r="O133" s="8" t="s">
        <v>3299</v>
      </c>
      <c r="P133" s="8" t="s">
        <v>1717</v>
      </c>
      <c r="Q133" s="8" t="s">
        <v>2452</v>
      </c>
      <c r="R133" s="8" t="s">
        <v>2594</v>
      </c>
      <c r="S133" s="8" t="s">
        <v>3818</v>
      </c>
      <c r="T133" s="3" t="s">
        <v>3664</v>
      </c>
      <c r="U133" s="3" t="s">
        <v>4982</v>
      </c>
      <c r="V133" s="3" t="s">
        <v>1815</v>
      </c>
      <c r="W133" s="3" t="s">
        <v>2885</v>
      </c>
      <c r="X133" s="44" t="s">
        <v>2944</v>
      </c>
      <c r="Y133" s="3" t="s">
        <v>3778</v>
      </c>
      <c r="Z133" s="3" t="s">
        <v>1904</v>
      </c>
      <c r="AA133" s="3" t="s">
        <v>3761</v>
      </c>
      <c r="AB133" s="3" t="s">
        <v>1069</v>
      </c>
      <c r="AC133" s="3" t="s">
        <v>2007</v>
      </c>
      <c r="AD133" s="3" t="s">
        <v>4380</v>
      </c>
      <c r="AE133" s="3" t="s">
        <v>4491</v>
      </c>
      <c r="AF133" s="3" t="s">
        <v>4142</v>
      </c>
      <c r="AG133" s="3" t="s">
        <v>2065</v>
      </c>
    </row>
    <row r="134" spans="1:33" ht="30" x14ac:dyDescent="0.25">
      <c r="A134" s="15" t="s">
        <v>785</v>
      </c>
      <c r="B134" s="15" t="s">
        <v>290</v>
      </c>
      <c r="C134" s="9" t="s">
        <v>62</v>
      </c>
      <c r="D134" s="8" t="s">
        <v>3072</v>
      </c>
      <c r="E134" s="8" t="s">
        <v>356</v>
      </c>
      <c r="F134" s="9" t="s">
        <v>3906</v>
      </c>
      <c r="G134" s="8" t="s">
        <v>3949</v>
      </c>
      <c r="H134" s="16" t="s">
        <v>2278</v>
      </c>
      <c r="I134" s="8" t="s">
        <v>519</v>
      </c>
      <c r="J134" s="16" t="s">
        <v>589</v>
      </c>
      <c r="K134" s="16" t="s">
        <v>677</v>
      </c>
      <c r="L134" s="8" t="s">
        <v>4822</v>
      </c>
      <c r="M134" s="8" t="s">
        <v>3582</v>
      </c>
      <c r="N134" s="8" t="s">
        <v>249</v>
      </c>
      <c r="O134" s="8" t="s">
        <v>3300</v>
      </c>
      <c r="P134" s="8" t="s">
        <v>557</v>
      </c>
      <c r="Q134" s="8" t="s">
        <v>2453</v>
      </c>
      <c r="R134" s="8" t="s">
        <v>2595</v>
      </c>
      <c r="S134" s="8" t="s">
        <v>2668</v>
      </c>
      <c r="T134" s="3" t="s">
        <v>3665</v>
      </c>
      <c r="U134" s="3" t="s">
        <v>4983</v>
      </c>
      <c r="V134" s="3" t="s">
        <v>706</v>
      </c>
      <c r="W134" s="3" t="s">
        <v>2886</v>
      </c>
      <c r="X134" s="44" t="s">
        <v>2945</v>
      </c>
      <c r="Y134" s="3" t="s">
        <v>445</v>
      </c>
      <c r="Z134" s="3" t="s">
        <v>168</v>
      </c>
      <c r="AA134" s="3" t="s">
        <v>3762</v>
      </c>
      <c r="AB134" s="3" t="s">
        <v>364</v>
      </c>
      <c r="AC134" s="3" t="s">
        <v>210</v>
      </c>
      <c r="AD134" s="3" t="s">
        <v>4381</v>
      </c>
      <c r="AE134" s="3" t="s">
        <v>4492</v>
      </c>
      <c r="AF134" s="3" t="s">
        <v>4143</v>
      </c>
      <c r="AG134" s="3" t="s">
        <v>481</v>
      </c>
    </row>
    <row r="135" spans="1:33" ht="45" x14ac:dyDescent="0.25">
      <c r="A135" s="15" t="s">
        <v>786</v>
      </c>
      <c r="B135" s="15" t="s">
        <v>778</v>
      </c>
      <c r="C135" s="9" t="s">
        <v>778</v>
      </c>
      <c r="D135" s="8" t="s">
        <v>3058</v>
      </c>
      <c r="E135" s="8" t="s">
        <v>1233</v>
      </c>
      <c r="F135" s="9" t="s">
        <v>1129</v>
      </c>
      <c r="G135" s="8" t="s">
        <v>2118</v>
      </c>
      <c r="H135" s="16" t="s">
        <v>2263</v>
      </c>
      <c r="I135" s="8" t="s">
        <v>1437</v>
      </c>
      <c r="J135" s="16" t="s">
        <v>1332</v>
      </c>
      <c r="K135" s="16" t="s">
        <v>1538</v>
      </c>
      <c r="L135" s="8" t="s">
        <v>4810</v>
      </c>
      <c r="M135" s="8" t="s">
        <v>3567</v>
      </c>
      <c r="N135" s="8" t="s">
        <v>1620</v>
      </c>
      <c r="O135" s="8" t="s">
        <v>3285</v>
      </c>
      <c r="P135" s="8" t="s">
        <v>1706</v>
      </c>
      <c r="Q135" s="8" t="s">
        <v>2438</v>
      </c>
      <c r="R135" s="8" t="s">
        <v>2580</v>
      </c>
      <c r="S135" s="8" t="s">
        <v>3811</v>
      </c>
      <c r="T135" s="3" t="s">
        <v>2717</v>
      </c>
      <c r="U135" s="3" t="s">
        <v>2765</v>
      </c>
      <c r="V135" s="3" t="s">
        <v>1804</v>
      </c>
      <c r="W135" s="3" t="s">
        <v>2871</v>
      </c>
      <c r="X135" s="44" t="s">
        <v>4584</v>
      </c>
      <c r="Y135" s="3" t="s">
        <v>1894</v>
      </c>
      <c r="Z135" s="3" t="s">
        <v>1894</v>
      </c>
      <c r="AA135" s="3" t="s">
        <v>1062</v>
      </c>
      <c r="AB135" s="3" t="s">
        <v>1062</v>
      </c>
      <c r="AC135" s="3" t="s">
        <v>1996</v>
      </c>
      <c r="AD135" s="3" t="s">
        <v>4366</v>
      </c>
      <c r="AE135" s="3" t="s">
        <v>3437</v>
      </c>
      <c r="AF135" s="3" t="s">
        <v>4128</v>
      </c>
      <c r="AG135" s="3" t="s">
        <v>2056</v>
      </c>
    </row>
    <row r="136" spans="1:33" ht="30" x14ac:dyDescent="0.25">
      <c r="A136" s="15" t="s">
        <v>889</v>
      </c>
      <c r="B136" s="15" t="s">
        <v>888</v>
      </c>
      <c r="C136" s="9" t="s">
        <v>888</v>
      </c>
      <c r="D136" s="8" t="s">
        <v>3059</v>
      </c>
      <c r="E136" s="8" t="s">
        <v>1234</v>
      </c>
      <c r="F136" s="9" t="s">
        <v>1130</v>
      </c>
      <c r="G136" s="8" t="s">
        <v>2119</v>
      </c>
      <c r="H136" s="16" t="s">
        <v>2264</v>
      </c>
      <c r="I136" s="8" t="s">
        <v>1438</v>
      </c>
      <c r="J136" s="16" t="s">
        <v>1333</v>
      </c>
      <c r="K136" s="16" t="s">
        <v>1539</v>
      </c>
      <c r="L136" s="8" t="s">
        <v>2325</v>
      </c>
      <c r="M136" s="8" t="s">
        <v>3568</v>
      </c>
      <c r="N136" s="8" t="s">
        <v>1621</v>
      </c>
      <c r="O136" s="8" t="s">
        <v>3286</v>
      </c>
      <c r="P136" s="8" t="s">
        <v>1707</v>
      </c>
      <c r="Q136" s="8" t="s">
        <v>2439</v>
      </c>
      <c r="R136" s="8" t="s">
        <v>2581</v>
      </c>
      <c r="S136" s="8" t="s">
        <v>2661</v>
      </c>
      <c r="T136" s="3" t="s">
        <v>2718</v>
      </c>
      <c r="U136" s="3" t="s">
        <v>4972</v>
      </c>
      <c r="V136" s="3" t="s">
        <v>1805</v>
      </c>
      <c r="W136" s="3" t="s">
        <v>2872</v>
      </c>
      <c r="X136" s="44" t="s">
        <v>2943</v>
      </c>
      <c r="Y136" s="3" t="s">
        <v>4171</v>
      </c>
      <c r="Z136" s="3" t="s">
        <v>1895</v>
      </c>
      <c r="AA136" s="3" t="s">
        <v>1063</v>
      </c>
      <c r="AB136" s="3" t="s">
        <v>1063</v>
      </c>
      <c r="AC136" s="3" t="s">
        <v>1997</v>
      </c>
      <c r="AD136" s="3" t="s">
        <v>4367</v>
      </c>
      <c r="AE136" s="3" t="s">
        <v>3438</v>
      </c>
      <c r="AF136" s="3" t="s">
        <v>4129</v>
      </c>
      <c r="AG136" s="3" t="s">
        <v>2057</v>
      </c>
    </row>
    <row r="137" spans="1:33" ht="45" x14ac:dyDescent="0.25">
      <c r="A137" s="15" t="s">
        <v>786</v>
      </c>
      <c r="B137" s="15" t="s">
        <v>5230</v>
      </c>
      <c r="C137" s="9" t="s">
        <v>879</v>
      </c>
      <c r="D137" s="8" t="s">
        <v>3060</v>
      </c>
      <c r="E137" s="8" t="s">
        <v>1235</v>
      </c>
      <c r="F137" s="9" t="s">
        <v>1131</v>
      </c>
      <c r="G137" s="8" t="s">
        <v>2120</v>
      </c>
      <c r="H137" s="16" t="s">
        <v>2265</v>
      </c>
      <c r="I137" s="8" t="s">
        <v>1439</v>
      </c>
      <c r="J137" s="16" t="s">
        <v>1334</v>
      </c>
      <c r="K137" s="16" t="s">
        <v>1540</v>
      </c>
      <c r="L137" s="8" t="s">
        <v>4811</v>
      </c>
      <c r="M137" s="8" t="s">
        <v>3569</v>
      </c>
      <c r="N137" s="8" t="s">
        <v>4646</v>
      </c>
      <c r="O137" s="8" t="s">
        <v>3287</v>
      </c>
      <c r="P137" s="8" t="s">
        <v>1708</v>
      </c>
      <c r="Q137" s="8" t="s">
        <v>2440</v>
      </c>
      <c r="R137" s="8" t="s">
        <v>2582</v>
      </c>
      <c r="S137" s="8" t="s">
        <v>2662</v>
      </c>
      <c r="T137" s="3" t="s">
        <v>3696</v>
      </c>
      <c r="U137" s="3" t="s">
        <v>4973</v>
      </c>
      <c r="V137" s="3" t="s">
        <v>1806</v>
      </c>
      <c r="W137" s="3" t="s">
        <v>2873</v>
      </c>
      <c r="X137" s="44" t="s">
        <v>4585</v>
      </c>
      <c r="Y137" s="3" t="s">
        <v>4172</v>
      </c>
      <c r="Z137" s="3" t="s">
        <v>1896</v>
      </c>
      <c r="AA137" s="3" t="s">
        <v>1064</v>
      </c>
      <c r="AB137" s="3" t="s">
        <v>3998</v>
      </c>
      <c r="AC137" s="3" t="s">
        <v>1998</v>
      </c>
      <c r="AD137" s="3" t="s">
        <v>4368</v>
      </c>
      <c r="AE137" s="3" t="s">
        <v>3439</v>
      </c>
      <c r="AF137" s="3" t="s">
        <v>4130</v>
      </c>
      <c r="AG137" s="3" t="s">
        <v>4708</v>
      </c>
    </row>
    <row r="138" spans="1:33" ht="30" x14ac:dyDescent="0.25">
      <c r="A138" s="15" t="s">
        <v>785</v>
      </c>
      <c r="B138" s="15" t="s">
        <v>5231</v>
      </c>
      <c r="C138" s="9" t="s">
        <v>798</v>
      </c>
      <c r="D138" s="8" t="s">
        <v>3063</v>
      </c>
      <c r="E138" s="8" t="s">
        <v>1238</v>
      </c>
      <c r="F138" s="9" t="s">
        <v>1134</v>
      </c>
      <c r="G138" s="8" t="s">
        <v>2123</v>
      </c>
      <c r="H138" s="16" t="s">
        <v>2268</v>
      </c>
      <c r="I138" s="8" t="s">
        <v>1442</v>
      </c>
      <c r="J138" s="16" t="s">
        <v>1337</v>
      </c>
      <c r="K138" s="16" t="s">
        <v>1543</v>
      </c>
      <c r="L138" s="8" t="s">
        <v>4814</v>
      </c>
      <c r="M138" s="8" t="s">
        <v>3572</v>
      </c>
      <c r="N138" s="8" t="s">
        <v>1624</v>
      </c>
      <c r="O138" s="8" t="s">
        <v>3290</v>
      </c>
      <c r="P138" s="8" t="s">
        <v>1711</v>
      </c>
      <c r="Q138" s="8" t="s">
        <v>2443</v>
      </c>
      <c r="R138" s="8" t="s">
        <v>2585</v>
      </c>
      <c r="S138" s="8" t="s">
        <v>3814</v>
      </c>
      <c r="T138" s="3" t="s">
        <v>3658</v>
      </c>
      <c r="U138" s="3" t="s">
        <v>2767</v>
      </c>
      <c r="V138" s="3" t="s">
        <v>1809</v>
      </c>
      <c r="W138" s="3" t="s">
        <v>2876</v>
      </c>
      <c r="X138" s="44" t="s">
        <v>4588</v>
      </c>
      <c r="Y138" s="3" t="s">
        <v>4215</v>
      </c>
      <c r="Z138" s="3" t="s">
        <v>1899</v>
      </c>
      <c r="AA138" s="3" t="s">
        <v>3757</v>
      </c>
      <c r="AB138" s="3" t="s">
        <v>3999</v>
      </c>
      <c r="AC138" s="3" t="s">
        <v>2001</v>
      </c>
      <c r="AD138" s="3" t="s">
        <v>4371</v>
      </c>
      <c r="AE138" s="3" t="s">
        <v>4485</v>
      </c>
      <c r="AF138" s="3" t="s">
        <v>4133</v>
      </c>
      <c r="AG138" s="3" t="s">
        <v>2060</v>
      </c>
    </row>
    <row r="139" spans="1:33" ht="30" x14ac:dyDescent="0.25">
      <c r="A139" s="15" t="s">
        <v>785</v>
      </c>
      <c r="B139" s="15" t="s">
        <v>799</v>
      </c>
      <c r="C139" s="9" t="s">
        <v>799</v>
      </c>
      <c r="D139" s="8" t="s">
        <v>3064</v>
      </c>
      <c r="E139" s="8" t="s">
        <v>1239</v>
      </c>
      <c r="F139" s="9" t="s">
        <v>1135</v>
      </c>
      <c r="G139" s="8" t="s">
        <v>2124</v>
      </c>
      <c r="H139" s="16" t="s">
        <v>2269</v>
      </c>
      <c r="I139" s="8" t="s">
        <v>1443</v>
      </c>
      <c r="J139" s="16" t="s">
        <v>1338</v>
      </c>
      <c r="K139" s="16" t="s">
        <v>1544</v>
      </c>
      <c r="L139" s="8" t="s">
        <v>4815</v>
      </c>
      <c r="M139" s="8" t="s">
        <v>3573</v>
      </c>
      <c r="N139" s="8" t="s">
        <v>1625</v>
      </c>
      <c r="O139" s="8" t="s">
        <v>3291</v>
      </c>
      <c r="P139" s="8" t="s">
        <v>1712</v>
      </c>
      <c r="Q139" s="8" t="s">
        <v>2444</v>
      </c>
      <c r="R139" s="8" t="s">
        <v>2586</v>
      </c>
      <c r="S139" s="8" t="s">
        <v>2663</v>
      </c>
      <c r="T139" s="3" t="s">
        <v>3659</v>
      </c>
      <c r="U139" s="3" t="s">
        <v>4975</v>
      </c>
      <c r="V139" s="3" t="s">
        <v>1810</v>
      </c>
      <c r="W139" s="3" t="s">
        <v>2877</v>
      </c>
      <c r="X139" s="44" t="s">
        <v>4589</v>
      </c>
      <c r="Y139" s="3" t="s">
        <v>1900</v>
      </c>
      <c r="Z139" s="3" t="s">
        <v>1900</v>
      </c>
      <c r="AA139" s="3" t="s">
        <v>1065</v>
      </c>
      <c r="AB139" s="3" t="s">
        <v>1065</v>
      </c>
      <c r="AC139" s="3" t="s">
        <v>2002</v>
      </c>
      <c r="AD139" s="3" t="s">
        <v>4372</v>
      </c>
      <c r="AE139" s="3" t="s">
        <v>4486</v>
      </c>
      <c r="AF139" s="3" t="s">
        <v>4134</v>
      </c>
      <c r="AG139" s="3" t="s">
        <v>2061</v>
      </c>
    </row>
    <row r="140" spans="1:33" ht="45" x14ac:dyDescent="0.25">
      <c r="A140" s="15" t="s">
        <v>786</v>
      </c>
      <c r="B140" s="15" t="s">
        <v>5232</v>
      </c>
      <c r="C140" s="9" t="s">
        <v>879</v>
      </c>
      <c r="D140" s="8" t="s">
        <v>3060</v>
      </c>
      <c r="E140" s="8" t="s">
        <v>1235</v>
      </c>
      <c r="F140" s="9" t="s">
        <v>1131</v>
      </c>
      <c r="G140" s="8" t="s">
        <v>2120</v>
      </c>
      <c r="H140" s="16" t="s">
        <v>2265</v>
      </c>
      <c r="I140" s="8" t="s">
        <v>1439</v>
      </c>
      <c r="J140" s="16" t="s">
        <v>1334</v>
      </c>
      <c r="K140" s="16" t="s">
        <v>1540</v>
      </c>
      <c r="L140" s="8" t="s">
        <v>4811</v>
      </c>
      <c r="M140" s="8" t="s">
        <v>3569</v>
      </c>
      <c r="N140" s="8" t="s">
        <v>4646</v>
      </c>
      <c r="O140" s="8" t="s">
        <v>3287</v>
      </c>
      <c r="P140" s="8" t="s">
        <v>1708</v>
      </c>
      <c r="Q140" s="8" t="s">
        <v>2440</v>
      </c>
      <c r="R140" s="8" t="s">
        <v>2582</v>
      </c>
      <c r="S140" s="8" t="s">
        <v>2662</v>
      </c>
      <c r="T140" s="3" t="s">
        <v>3696</v>
      </c>
      <c r="U140" s="3" t="s">
        <v>4973</v>
      </c>
      <c r="V140" s="3" t="s">
        <v>1806</v>
      </c>
      <c r="W140" s="3" t="s">
        <v>2873</v>
      </c>
      <c r="X140" s="44" t="s">
        <v>4585</v>
      </c>
      <c r="Y140" s="3" t="s">
        <v>4172</v>
      </c>
      <c r="Z140" s="3" t="s">
        <v>1896</v>
      </c>
      <c r="AA140" s="3" t="s">
        <v>1064</v>
      </c>
      <c r="AB140" s="3" t="s">
        <v>3998</v>
      </c>
      <c r="AC140" s="3" t="s">
        <v>1998</v>
      </c>
      <c r="AD140" s="3" t="s">
        <v>4368</v>
      </c>
      <c r="AE140" s="3" t="s">
        <v>3439</v>
      </c>
      <c r="AF140" s="3" t="s">
        <v>4130</v>
      </c>
      <c r="AG140" s="3" t="s">
        <v>4708</v>
      </c>
    </row>
    <row r="141" spans="1:33" ht="45" x14ac:dyDescent="0.25">
      <c r="A141" s="15" t="s">
        <v>785</v>
      </c>
      <c r="B141" s="15" t="s">
        <v>796</v>
      </c>
      <c r="C141" s="9" t="s">
        <v>796</v>
      </c>
      <c r="D141" s="46" t="s">
        <v>3061</v>
      </c>
      <c r="E141" s="11" t="s">
        <v>1236</v>
      </c>
      <c r="F141" s="9" t="s">
        <v>1132</v>
      </c>
      <c r="G141" s="8" t="s">
        <v>2121</v>
      </c>
      <c r="H141" s="16" t="s">
        <v>2266</v>
      </c>
      <c r="I141" s="8" t="s">
        <v>1440</v>
      </c>
      <c r="J141" s="16" t="s">
        <v>1335</v>
      </c>
      <c r="K141" s="16" t="s">
        <v>1541</v>
      </c>
      <c r="L141" s="8" t="s">
        <v>4812</v>
      </c>
      <c r="M141" s="8" t="s">
        <v>3570</v>
      </c>
      <c r="N141" s="8" t="s">
        <v>1622</v>
      </c>
      <c r="O141" s="8" t="s">
        <v>3288</v>
      </c>
      <c r="P141" s="8" t="s">
        <v>1709</v>
      </c>
      <c r="Q141" s="11" t="s">
        <v>2441</v>
      </c>
      <c r="R141" s="8" t="s">
        <v>2583</v>
      </c>
      <c r="S141" s="8" t="s">
        <v>3812</v>
      </c>
      <c r="T141" s="3" t="s">
        <v>2719</v>
      </c>
      <c r="U141" s="3" t="s">
        <v>2766</v>
      </c>
      <c r="V141" s="3" t="s">
        <v>1807</v>
      </c>
      <c r="W141" s="3" t="s">
        <v>2874</v>
      </c>
      <c r="X141" s="44" t="s">
        <v>4586</v>
      </c>
      <c r="Y141" s="3" t="s">
        <v>1897</v>
      </c>
      <c r="Z141" s="3" t="s">
        <v>1897</v>
      </c>
      <c r="AA141" s="3" t="s">
        <v>1162</v>
      </c>
      <c r="AB141" s="3" t="s">
        <v>1162</v>
      </c>
      <c r="AC141" s="3" t="s">
        <v>1999</v>
      </c>
      <c r="AD141" s="3" t="s">
        <v>4369</v>
      </c>
      <c r="AE141" s="3" t="s">
        <v>4483</v>
      </c>
      <c r="AF141" s="3" t="s">
        <v>4131</v>
      </c>
      <c r="AG141" s="3" t="s">
        <v>2058</v>
      </c>
    </row>
    <row r="142" spans="1:33" ht="45" x14ac:dyDescent="0.25">
      <c r="A142" s="15" t="s">
        <v>785</v>
      </c>
      <c r="B142" s="15" t="s">
        <v>797</v>
      </c>
      <c r="C142" s="9" t="s">
        <v>797</v>
      </c>
      <c r="D142" s="8" t="s">
        <v>3062</v>
      </c>
      <c r="E142" s="8" t="s">
        <v>1237</v>
      </c>
      <c r="F142" s="9" t="s">
        <v>1133</v>
      </c>
      <c r="G142" s="8" t="s">
        <v>2122</v>
      </c>
      <c r="H142" s="16" t="s">
        <v>2267</v>
      </c>
      <c r="I142" s="8" t="s">
        <v>1441</v>
      </c>
      <c r="J142" s="16" t="s">
        <v>1336</v>
      </c>
      <c r="K142" s="16" t="s">
        <v>1542</v>
      </c>
      <c r="L142" s="8" t="s">
        <v>4813</v>
      </c>
      <c r="M142" s="8" t="s">
        <v>3571</v>
      </c>
      <c r="N142" s="8" t="s">
        <v>1623</v>
      </c>
      <c r="O142" s="8" t="s">
        <v>3289</v>
      </c>
      <c r="P142" s="8" t="s">
        <v>1710</v>
      </c>
      <c r="Q142" s="8" t="s">
        <v>2442</v>
      </c>
      <c r="R142" s="8" t="s">
        <v>2584</v>
      </c>
      <c r="S142" s="8" t="s">
        <v>3813</v>
      </c>
      <c r="T142" s="3" t="s">
        <v>2720</v>
      </c>
      <c r="U142" s="3" t="s">
        <v>4974</v>
      </c>
      <c r="V142" s="3" t="s">
        <v>1808</v>
      </c>
      <c r="W142" s="3" t="s">
        <v>2875</v>
      </c>
      <c r="X142" s="44" t="s">
        <v>4587</v>
      </c>
      <c r="Y142" s="3" t="s">
        <v>1898</v>
      </c>
      <c r="Z142" s="3" t="s">
        <v>1898</v>
      </c>
      <c r="AA142" s="3" t="s">
        <v>3756</v>
      </c>
      <c r="AB142" s="3" t="s">
        <v>3756</v>
      </c>
      <c r="AC142" s="3" t="s">
        <v>2000</v>
      </c>
      <c r="AD142" s="3" t="s">
        <v>4370</v>
      </c>
      <c r="AE142" s="3" t="s">
        <v>4484</v>
      </c>
      <c r="AF142" s="3" t="s">
        <v>4132</v>
      </c>
      <c r="AG142" s="3" t="s">
        <v>2059</v>
      </c>
    </row>
    <row r="143" spans="1:33" x14ac:dyDescent="0.25">
      <c r="A143" s="15" t="s">
        <v>889</v>
      </c>
      <c r="B143" s="15" t="s">
        <v>895</v>
      </c>
      <c r="C143" s="9" t="s">
        <v>895</v>
      </c>
      <c r="D143" s="8" t="s">
        <v>3065</v>
      </c>
      <c r="E143" s="8" t="s">
        <v>1240</v>
      </c>
      <c r="F143" s="9" t="s">
        <v>3904</v>
      </c>
      <c r="G143" s="8" t="s">
        <v>3946</v>
      </c>
      <c r="H143" s="16" t="s">
        <v>2270</v>
      </c>
      <c r="I143" s="8" t="s">
        <v>1444</v>
      </c>
      <c r="J143" s="16" t="s">
        <v>1339</v>
      </c>
      <c r="K143" s="16" t="s">
        <v>1545</v>
      </c>
      <c r="L143" s="8" t="s">
        <v>2326</v>
      </c>
      <c r="M143" s="8" t="s">
        <v>3574</v>
      </c>
      <c r="N143" s="8" t="s">
        <v>1626</v>
      </c>
      <c r="O143" s="8" t="s">
        <v>3292</v>
      </c>
      <c r="P143" s="8" t="s">
        <v>1713</v>
      </c>
      <c r="Q143" s="8" t="s">
        <v>2445</v>
      </c>
      <c r="R143" s="8" t="s">
        <v>2587</v>
      </c>
      <c r="S143" s="8" t="s">
        <v>2664</v>
      </c>
      <c r="T143" s="3" t="s">
        <v>3610</v>
      </c>
      <c r="U143" s="3" t="s">
        <v>4976</v>
      </c>
      <c r="V143" s="3" t="s">
        <v>1811</v>
      </c>
      <c r="W143" s="3" t="s">
        <v>2878</v>
      </c>
      <c r="X143" s="44" t="s">
        <v>4590</v>
      </c>
      <c r="Y143" s="3" t="s">
        <v>1901</v>
      </c>
      <c r="Z143" s="3" t="s">
        <v>1901</v>
      </c>
      <c r="AA143" s="3" t="s">
        <v>1066</v>
      </c>
      <c r="AB143" s="3" t="s">
        <v>1066</v>
      </c>
      <c r="AC143" s="3" t="s">
        <v>2003</v>
      </c>
      <c r="AD143" s="3" t="s">
        <v>4373</v>
      </c>
      <c r="AE143" s="3" t="s">
        <v>4487</v>
      </c>
      <c r="AF143" s="3" t="s">
        <v>4135</v>
      </c>
      <c r="AG143" s="3" t="s">
        <v>2062</v>
      </c>
    </row>
    <row r="144" spans="1:33" ht="135" x14ac:dyDescent="0.25">
      <c r="A144" s="15" t="s">
        <v>71</v>
      </c>
      <c r="B144" s="15" t="s">
        <v>896</v>
      </c>
      <c r="C144" s="9" t="s">
        <v>933</v>
      </c>
      <c r="D144" s="8" t="s">
        <v>5171</v>
      </c>
      <c r="E144" s="8" t="s">
        <v>1241</v>
      </c>
      <c r="F144" s="9" t="s">
        <v>1136</v>
      </c>
      <c r="G144" s="8" t="s">
        <v>2125</v>
      </c>
      <c r="H144" s="16" t="s">
        <v>2271</v>
      </c>
      <c r="I144" s="8" t="s">
        <v>1445</v>
      </c>
      <c r="J144" s="16" t="s">
        <v>1340</v>
      </c>
      <c r="K144" s="16" t="s">
        <v>1546</v>
      </c>
      <c r="L144" s="8" t="s">
        <v>4816</v>
      </c>
      <c r="M144" s="8" t="s">
        <v>3575</v>
      </c>
      <c r="N144" s="8" t="s">
        <v>4647</v>
      </c>
      <c r="O144" s="8" t="s">
        <v>3293</v>
      </c>
      <c r="P144" s="8" t="s">
        <v>1714</v>
      </c>
      <c r="Q144" s="8" t="s">
        <v>2446</v>
      </c>
      <c r="R144" s="8" t="s">
        <v>2588</v>
      </c>
      <c r="S144" s="8" t="s">
        <v>3815</v>
      </c>
      <c r="T144" s="3" t="s">
        <v>3660</v>
      </c>
      <c r="U144" s="3" t="s">
        <v>4977</v>
      </c>
      <c r="V144" s="3" t="s">
        <v>1812</v>
      </c>
      <c r="W144" s="3" t="s">
        <v>2879</v>
      </c>
      <c r="X144" s="44" t="s">
        <v>4591</v>
      </c>
      <c r="Y144" s="3" t="s">
        <v>4216</v>
      </c>
      <c r="Z144" s="3" t="s">
        <v>1902</v>
      </c>
      <c r="AA144" s="3" t="s">
        <v>3758</v>
      </c>
      <c r="AB144" s="3" t="s">
        <v>3758</v>
      </c>
      <c r="AC144" s="3" t="s">
        <v>2004</v>
      </c>
      <c r="AD144" s="3" t="s">
        <v>4374</v>
      </c>
      <c r="AE144" s="3" t="s">
        <v>4488</v>
      </c>
      <c r="AF144" s="3" t="s">
        <v>4136</v>
      </c>
      <c r="AG144" s="3" t="s">
        <v>4709</v>
      </c>
    </row>
    <row r="145" spans="1:33" ht="30" x14ac:dyDescent="0.25">
      <c r="A145" s="15" t="s">
        <v>785</v>
      </c>
      <c r="B145" s="15" t="s">
        <v>5233</v>
      </c>
      <c r="C145" s="9" t="s">
        <v>800</v>
      </c>
      <c r="D145" s="8" t="s">
        <v>3066</v>
      </c>
      <c r="E145" s="8" t="s">
        <v>1242</v>
      </c>
      <c r="F145" s="9" t="s">
        <v>3905</v>
      </c>
      <c r="G145" s="8" t="s">
        <v>3947</v>
      </c>
      <c r="H145" s="16" t="s">
        <v>2272</v>
      </c>
      <c r="I145" s="8" t="s">
        <v>1446</v>
      </c>
      <c r="J145" s="16" t="s">
        <v>1341</v>
      </c>
      <c r="K145" s="16" t="s">
        <v>1547</v>
      </c>
      <c r="L145" s="8" t="s">
        <v>2327</v>
      </c>
      <c r="M145" s="8" t="s">
        <v>3576</v>
      </c>
      <c r="N145" s="8" t="s">
        <v>4648</v>
      </c>
      <c r="O145" s="8" t="s">
        <v>3294</v>
      </c>
      <c r="P145" s="8" t="s">
        <v>1715</v>
      </c>
      <c r="Q145" s="8" t="s">
        <v>2447</v>
      </c>
      <c r="R145" s="8" t="s">
        <v>2589</v>
      </c>
      <c r="S145" s="8" t="s">
        <v>2665</v>
      </c>
      <c r="T145" s="3" t="s">
        <v>3697</v>
      </c>
      <c r="U145" s="3" t="s">
        <v>2768</v>
      </c>
      <c r="V145" s="3" t="s">
        <v>1813</v>
      </c>
      <c r="W145" s="3" t="s">
        <v>2880</v>
      </c>
      <c r="X145" s="44" t="s">
        <v>4592</v>
      </c>
      <c r="Y145" s="3" t="s">
        <v>1903</v>
      </c>
      <c r="Z145" s="3" t="s">
        <v>1903</v>
      </c>
      <c r="AA145" s="3" t="s">
        <v>3759</v>
      </c>
      <c r="AB145" s="3" t="s">
        <v>1067</v>
      </c>
      <c r="AC145" s="3" t="s">
        <v>2005</v>
      </c>
      <c r="AD145" s="3" t="s">
        <v>4375</v>
      </c>
      <c r="AE145" s="3" t="s">
        <v>4489</v>
      </c>
      <c r="AF145" s="3" t="s">
        <v>4137</v>
      </c>
      <c r="AG145" s="3" t="s">
        <v>2063</v>
      </c>
    </row>
    <row r="146" spans="1:33" x14ac:dyDescent="0.25">
      <c r="A146" s="15" t="s">
        <v>71</v>
      </c>
      <c r="B146" s="15" t="s">
        <v>38</v>
      </c>
      <c r="C146" s="9" t="s">
        <v>289</v>
      </c>
      <c r="D146" s="46" t="s">
        <v>3073</v>
      </c>
      <c r="E146" s="11" t="s">
        <v>292</v>
      </c>
      <c r="F146" s="9" t="s">
        <v>3907</v>
      </c>
      <c r="G146" s="8" t="s">
        <v>413</v>
      </c>
      <c r="H146" s="16" t="s">
        <v>2279</v>
      </c>
      <c r="I146" s="8" t="s">
        <v>511</v>
      </c>
      <c r="J146" s="16" t="s">
        <v>291</v>
      </c>
      <c r="K146" s="16" t="s">
        <v>459</v>
      </c>
      <c r="L146" s="8" t="s">
        <v>4823</v>
      </c>
      <c r="M146" s="8" t="s">
        <v>3583</v>
      </c>
      <c r="N146" s="8" t="s">
        <v>4650</v>
      </c>
      <c r="O146" s="8" t="s">
        <v>3301</v>
      </c>
      <c r="P146" s="8" t="s">
        <v>549</v>
      </c>
      <c r="Q146" s="11" t="s">
        <v>2454</v>
      </c>
      <c r="R146" s="8" t="s">
        <v>2596</v>
      </c>
      <c r="S146" s="8" t="s">
        <v>2669</v>
      </c>
      <c r="T146" s="3" t="s">
        <v>3666</v>
      </c>
      <c r="U146" s="3" t="s">
        <v>4984</v>
      </c>
      <c r="V146" s="3" t="s">
        <v>699</v>
      </c>
      <c r="W146" s="3" t="s">
        <v>2887</v>
      </c>
      <c r="X146" s="44" t="s">
        <v>4597</v>
      </c>
      <c r="Y146" s="3" t="s">
        <v>443</v>
      </c>
      <c r="Z146" s="3" t="s">
        <v>293</v>
      </c>
      <c r="AA146" s="3" t="s">
        <v>379</v>
      </c>
      <c r="AB146" s="3" t="s">
        <v>379</v>
      </c>
      <c r="AC146" s="3" t="s">
        <v>294</v>
      </c>
      <c r="AD146" s="3" t="s">
        <v>4382</v>
      </c>
      <c r="AE146" s="3" t="s">
        <v>3443</v>
      </c>
      <c r="AF146" s="3" t="s">
        <v>4144</v>
      </c>
      <c r="AG146" s="3" t="s">
        <v>476</v>
      </c>
    </row>
    <row r="147" spans="1:33" x14ac:dyDescent="0.25">
      <c r="A147" s="15" t="s">
        <v>71</v>
      </c>
      <c r="B147" s="15" t="s">
        <v>39</v>
      </c>
      <c r="C147" s="9" t="s">
        <v>290</v>
      </c>
      <c r="D147" s="8" t="s">
        <v>3074</v>
      </c>
      <c r="E147" s="8" t="s">
        <v>352</v>
      </c>
      <c r="F147" s="9" t="s">
        <v>3908</v>
      </c>
      <c r="G147" s="8" t="s">
        <v>414</v>
      </c>
      <c r="H147" s="16" t="s">
        <v>2280</v>
      </c>
      <c r="I147" s="8" t="s">
        <v>512</v>
      </c>
      <c r="J147" s="16" t="s">
        <v>582</v>
      </c>
      <c r="K147" s="16" t="s">
        <v>675</v>
      </c>
      <c r="L147" s="8" t="s">
        <v>4824</v>
      </c>
      <c r="M147" s="8" t="s">
        <v>3584</v>
      </c>
      <c r="N147" s="8" t="s">
        <v>612</v>
      </c>
      <c r="O147" s="8" t="s">
        <v>3302</v>
      </c>
      <c r="P147" s="8" t="s">
        <v>550</v>
      </c>
      <c r="Q147" s="8" t="s">
        <v>2455</v>
      </c>
      <c r="R147" s="8" t="s">
        <v>2597</v>
      </c>
      <c r="S147" s="8" t="s">
        <v>2670</v>
      </c>
      <c r="T147" s="3" t="s">
        <v>3667</v>
      </c>
      <c r="U147" s="3" t="s">
        <v>4985</v>
      </c>
      <c r="V147" s="3" t="s">
        <v>700</v>
      </c>
      <c r="W147" s="3" t="s">
        <v>2888</v>
      </c>
      <c r="X147" s="44" t="s">
        <v>2946</v>
      </c>
      <c r="Y147" s="3" t="s">
        <v>444</v>
      </c>
      <c r="Z147" s="3" t="s">
        <v>641</v>
      </c>
      <c r="AA147" s="3" t="s">
        <v>380</v>
      </c>
      <c r="AB147" s="3" t="s">
        <v>380</v>
      </c>
      <c r="AC147" s="3" t="s">
        <v>633</v>
      </c>
      <c r="AD147" s="3" t="s">
        <v>4383</v>
      </c>
      <c r="AE147" s="3" t="s">
        <v>4493</v>
      </c>
      <c r="AF147" s="3" t="s">
        <v>4145</v>
      </c>
      <c r="AG147" s="3" t="s">
        <v>484</v>
      </c>
    </row>
    <row r="148" spans="1:33" ht="189" customHeight="1" x14ac:dyDescent="0.25">
      <c r="A148" s="15" t="s">
        <v>71</v>
      </c>
      <c r="B148" s="15" t="s">
        <v>59</v>
      </c>
      <c r="C148" s="10" t="s">
        <v>113</v>
      </c>
      <c r="D148" s="8" t="s">
        <v>3075</v>
      </c>
      <c r="E148" s="8" t="s">
        <v>5002</v>
      </c>
      <c r="F148" s="10" t="s">
        <v>3909</v>
      </c>
      <c r="G148" s="11" t="s">
        <v>3950</v>
      </c>
      <c r="H148" s="16" t="s">
        <v>2281</v>
      </c>
      <c r="I148" s="11" t="s">
        <v>513</v>
      </c>
      <c r="J148" s="16" t="s">
        <v>583</v>
      </c>
      <c r="K148" s="16" t="s">
        <v>642</v>
      </c>
      <c r="L148" s="8" t="s">
        <v>4862</v>
      </c>
      <c r="M148" s="8" t="s">
        <v>3585</v>
      </c>
      <c r="N148" s="11" t="s">
        <v>659</v>
      </c>
      <c r="O148" s="8" t="s">
        <v>3303</v>
      </c>
      <c r="P148" s="8" t="s">
        <v>551</v>
      </c>
      <c r="Q148" s="8" t="s">
        <v>2456</v>
      </c>
      <c r="R148" s="8" t="s">
        <v>2598</v>
      </c>
      <c r="S148" s="8" t="s">
        <v>4886</v>
      </c>
      <c r="T148" s="3" t="s">
        <v>3698</v>
      </c>
      <c r="U148" s="3" t="s">
        <v>4986</v>
      </c>
      <c r="V148" s="3" t="s">
        <v>701</v>
      </c>
      <c r="W148" s="3" t="s">
        <v>2889</v>
      </c>
      <c r="X148" s="44" t="s">
        <v>4598</v>
      </c>
      <c r="Y148" s="3" t="s">
        <v>4218</v>
      </c>
      <c r="Z148" s="3" t="s">
        <v>594</v>
      </c>
      <c r="AA148" s="3" t="s">
        <v>3763</v>
      </c>
      <c r="AB148" s="3" t="s">
        <v>4001</v>
      </c>
      <c r="AC148" s="3" t="s">
        <v>663</v>
      </c>
      <c r="AD148" s="3" t="s">
        <v>4384</v>
      </c>
      <c r="AE148" s="3" t="s">
        <v>4494</v>
      </c>
      <c r="AF148" s="3" t="s">
        <v>4146</v>
      </c>
      <c r="AG148" s="3" t="s">
        <v>4710</v>
      </c>
    </row>
    <row r="149" spans="1:33" ht="177.75" customHeight="1" x14ac:dyDescent="0.25">
      <c r="A149" s="15" t="s">
        <v>71</v>
      </c>
      <c r="B149" s="15" t="s">
        <v>63</v>
      </c>
      <c r="C149" s="10" t="s">
        <v>114</v>
      </c>
      <c r="D149" s="8" t="s">
        <v>3076</v>
      </c>
      <c r="E149" s="8" t="s">
        <v>375</v>
      </c>
      <c r="F149" s="10" t="s">
        <v>3910</v>
      </c>
      <c r="G149" s="11" t="s">
        <v>3951</v>
      </c>
      <c r="H149" s="16" t="s">
        <v>2282</v>
      </c>
      <c r="I149" s="11" t="s">
        <v>518</v>
      </c>
      <c r="J149" s="16" t="s">
        <v>588</v>
      </c>
      <c r="K149" s="16" t="s">
        <v>676</v>
      </c>
      <c r="L149" s="8" t="s">
        <v>4825</v>
      </c>
      <c r="M149" s="8" t="s">
        <v>3586</v>
      </c>
      <c r="N149" s="11" t="s">
        <v>4651</v>
      </c>
      <c r="O149" s="8" t="s">
        <v>3304</v>
      </c>
      <c r="P149" s="8" t="s">
        <v>556</v>
      </c>
      <c r="Q149" s="8" t="s">
        <v>2457</v>
      </c>
      <c r="R149" s="8" t="s">
        <v>2599</v>
      </c>
      <c r="S149" s="8" t="s">
        <v>3819</v>
      </c>
      <c r="T149" s="3" t="s">
        <v>3699</v>
      </c>
      <c r="U149" s="3" t="s">
        <v>4987</v>
      </c>
      <c r="V149" s="3" t="s">
        <v>713</v>
      </c>
      <c r="W149" s="3" t="s">
        <v>2890</v>
      </c>
      <c r="X149" s="44" t="s">
        <v>4599</v>
      </c>
      <c r="Y149" s="3" t="s">
        <v>4175</v>
      </c>
      <c r="Z149" s="3" t="s">
        <v>643</v>
      </c>
      <c r="AA149" s="3" t="s">
        <v>3764</v>
      </c>
      <c r="AB149" s="3" t="s">
        <v>4236</v>
      </c>
      <c r="AC149" s="3" t="s">
        <v>635</v>
      </c>
      <c r="AD149" s="3" t="s">
        <v>4385</v>
      </c>
      <c r="AE149" s="3" t="s">
        <v>4495</v>
      </c>
      <c r="AF149" s="3" t="s">
        <v>4147</v>
      </c>
      <c r="AG149" s="3" t="s">
        <v>485</v>
      </c>
    </row>
    <row r="150" spans="1:33" ht="145.5" customHeight="1" x14ac:dyDescent="0.25">
      <c r="A150" s="15" t="s">
        <v>71</v>
      </c>
      <c r="B150" s="15" t="s">
        <v>878</v>
      </c>
      <c r="C150" s="10" t="s">
        <v>932</v>
      </c>
      <c r="D150" s="8" t="s">
        <v>3077</v>
      </c>
      <c r="E150" s="8" t="s">
        <v>5008</v>
      </c>
      <c r="F150" s="10" t="s">
        <v>1139</v>
      </c>
      <c r="G150" s="11" t="s">
        <v>2128</v>
      </c>
      <c r="H150" s="16" t="s">
        <v>2283</v>
      </c>
      <c r="I150" s="11" t="s">
        <v>1449</v>
      </c>
      <c r="J150" s="16" t="s">
        <v>1344</v>
      </c>
      <c r="K150" s="16" t="s">
        <v>1550</v>
      </c>
      <c r="L150" s="8" t="s">
        <v>4826</v>
      </c>
      <c r="M150" s="8" t="s">
        <v>3587</v>
      </c>
      <c r="N150" s="11" t="s">
        <v>1629</v>
      </c>
      <c r="O150" s="8" t="s">
        <v>3305</v>
      </c>
      <c r="P150" s="8" t="s">
        <v>1718</v>
      </c>
      <c r="Q150" s="8" t="s">
        <v>2458</v>
      </c>
      <c r="R150" s="8" t="s">
        <v>2600</v>
      </c>
      <c r="S150" s="8" t="s">
        <v>3820</v>
      </c>
      <c r="T150" s="3" t="s">
        <v>3611</v>
      </c>
      <c r="U150" s="3" t="s">
        <v>4988</v>
      </c>
      <c r="V150" s="3" t="s">
        <v>1816</v>
      </c>
      <c r="W150" s="3" t="s">
        <v>2891</v>
      </c>
      <c r="X150" s="44" t="s">
        <v>4600</v>
      </c>
      <c r="Y150" s="3" t="s">
        <v>4219</v>
      </c>
      <c r="Z150" s="3" t="s">
        <v>1905</v>
      </c>
      <c r="AA150" s="3" t="s">
        <v>3765</v>
      </c>
      <c r="AB150" s="3" t="s">
        <v>4237</v>
      </c>
      <c r="AC150" s="3" t="s">
        <v>2008</v>
      </c>
      <c r="AD150" s="3" t="s">
        <v>4386</v>
      </c>
      <c r="AE150" s="3" t="s">
        <v>4496</v>
      </c>
      <c r="AF150" s="3" t="s">
        <v>4148</v>
      </c>
      <c r="AG150" s="3" t="s">
        <v>2066</v>
      </c>
    </row>
    <row r="151" spans="1:33" ht="30" x14ac:dyDescent="0.25">
      <c r="A151" s="51" t="s">
        <v>5700</v>
      </c>
      <c r="B151" s="9" t="s">
        <v>5196</v>
      </c>
      <c r="C151" s="9" t="s">
        <v>5196</v>
      </c>
      <c r="D151" s="8" t="s">
        <v>5281</v>
      </c>
      <c r="E151" s="8" t="s">
        <v>5297</v>
      </c>
      <c r="F151" s="9" t="s">
        <v>5312</v>
      </c>
      <c r="G151" s="8" t="s">
        <v>5327</v>
      </c>
      <c r="H151" s="16" t="s">
        <v>5342</v>
      </c>
      <c r="I151" s="8" t="s">
        <v>5357</v>
      </c>
      <c r="J151" s="16" t="s">
        <v>5372</v>
      </c>
      <c r="K151" s="16" t="s">
        <v>5387</v>
      </c>
      <c r="L151" s="8" t="s">
        <v>5402</v>
      </c>
      <c r="M151" s="8" t="s">
        <v>5417</v>
      </c>
      <c r="N151" s="8" t="s">
        <v>5432</v>
      </c>
      <c r="O151" s="8" t="s">
        <v>5447</v>
      </c>
      <c r="P151" s="8" t="s">
        <v>5462</v>
      </c>
      <c r="Q151" s="8" t="s">
        <v>5477</v>
      </c>
      <c r="R151" s="8" t="s">
        <v>5491</v>
      </c>
      <c r="S151" s="8" t="s">
        <v>5506</v>
      </c>
      <c r="T151" s="3" t="s">
        <v>5521</v>
      </c>
      <c r="U151" s="3" t="s">
        <v>5535</v>
      </c>
      <c r="V151" s="3" t="s">
        <v>5550</v>
      </c>
      <c r="W151" s="3" t="s">
        <v>5565</v>
      </c>
      <c r="X151" s="44" t="s">
        <v>5579</v>
      </c>
      <c r="Y151" s="3" t="s">
        <v>5594</v>
      </c>
      <c r="Z151" s="3" t="s">
        <v>5594</v>
      </c>
      <c r="AA151" s="3" t="s">
        <v>5611</v>
      </c>
      <c r="AB151" s="3" t="s">
        <v>5611</v>
      </c>
      <c r="AC151" s="3" t="s">
        <v>5625</v>
      </c>
      <c r="AD151" s="3" t="s">
        <v>5640</v>
      </c>
      <c r="AE151" s="3" t="s">
        <v>5655</v>
      </c>
      <c r="AF151" s="3" t="s">
        <v>5670</v>
      </c>
      <c r="AG151" s="3" t="s">
        <v>5685</v>
      </c>
    </row>
    <row r="152" spans="1:33" x14ac:dyDescent="0.25">
      <c r="A152" s="51" t="s">
        <v>5700</v>
      </c>
      <c r="B152" s="3" t="s">
        <v>5197</v>
      </c>
      <c r="C152" s="9" t="s">
        <v>5197</v>
      </c>
      <c r="D152" s="8" t="s">
        <v>5282</v>
      </c>
      <c r="E152" s="8" t="s">
        <v>5298</v>
      </c>
      <c r="F152" s="9" t="s">
        <v>5313</v>
      </c>
      <c r="G152" s="8" t="s">
        <v>5328</v>
      </c>
      <c r="H152" s="16" t="s">
        <v>5343</v>
      </c>
      <c r="I152" s="8" t="s">
        <v>5358</v>
      </c>
      <c r="J152" s="16" t="s">
        <v>5373</v>
      </c>
      <c r="K152" s="16" t="s">
        <v>5388</v>
      </c>
      <c r="L152" s="8" t="s">
        <v>5403</v>
      </c>
      <c r="M152" s="8" t="s">
        <v>5418</v>
      </c>
      <c r="N152" s="8" t="s">
        <v>5433</v>
      </c>
      <c r="O152" s="8" t="s">
        <v>5448</v>
      </c>
      <c r="P152" s="8" t="s">
        <v>5463</v>
      </c>
      <c r="Q152" s="8" t="s">
        <v>5478</v>
      </c>
      <c r="R152" s="8" t="s">
        <v>5492</v>
      </c>
      <c r="S152" s="8" t="s">
        <v>5507</v>
      </c>
      <c r="T152" s="3" t="s">
        <v>5522</v>
      </c>
      <c r="U152" s="3" t="s">
        <v>5536</v>
      </c>
      <c r="V152" s="3" t="s">
        <v>5551</v>
      </c>
      <c r="W152" s="3" t="s">
        <v>5566</v>
      </c>
      <c r="X152" s="44" t="s">
        <v>5580</v>
      </c>
      <c r="Y152" s="3" t="s">
        <v>5595</v>
      </c>
      <c r="Z152" s="3" t="s">
        <v>5595</v>
      </c>
      <c r="AA152" s="3" t="s">
        <v>5612</v>
      </c>
      <c r="AB152" s="3" t="s">
        <v>5612</v>
      </c>
      <c r="AC152" s="3" t="s">
        <v>5626</v>
      </c>
      <c r="AD152" s="3" t="s">
        <v>5641</v>
      </c>
      <c r="AE152" s="3" t="s">
        <v>5656</v>
      </c>
      <c r="AF152" s="3" t="s">
        <v>5671</v>
      </c>
      <c r="AG152" s="3" t="s">
        <v>5686</v>
      </c>
    </row>
    <row r="153" spans="1:33" x14ac:dyDescent="0.25">
      <c r="A153" s="50" t="s">
        <v>5700</v>
      </c>
      <c r="B153" s="3" t="s">
        <v>5198</v>
      </c>
      <c r="C153" s="9" t="s">
        <v>5198</v>
      </c>
      <c r="D153" s="8" t="s">
        <v>5283</v>
      </c>
      <c r="E153" s="8" t="s">
        <v>5299</v>
      </c>
      <c r="F153" s="9" t="s">
        <v>5314</v>
      </c>
      <c r="G153" s="8" t="s">
        <v>5329</v>
      </c>
      <c r="H153" s="16" t="s">
        <v>5344</v>
      </c>
      <c r="I153" s="8" t="s">
        <v>5359</v>
      </c>
      <c r="J153" s="16" t="s">
        <v>5374</v>
      </c>
      <c r="K153" s="16" t="s">
        <v>5389</v>
      </c>
      <c r="L153" s="8" t="s">
        <v>5404</v>
      </c>
      <c r="M153" s="8" t="s">
        <v>5419</v>
      </c>
      <c r="N153" s="8" t="s">
        <v>5434</v>
      </c>
      <c r="O153" s="8" t="s">
        <v>5449</v>
      </c>
      <c r="P153" s="8" t="s">
        <v>5464</v>
      </c>
      <c r="Q153" s="8" t="s">
        <v>5479</v>
      </c>
      <c r="R153" s="8" t="s">
        <v>5493</v>
      </c>
      <c r="S153" s="8" t="s">
        <v>5508</v>
      </c>
      <c r="T153" s="3" t="s">
        <v>5523</v>
      </c>
      <c r="U153" s="3" t="s">
        <v>5537</v>
      </c>
      <c r="V153" s="3" t="s">
        <v>5552</v>
      </c>
      <c r="W153" s="3" t="s">
        <v>5567</v>
      </c>
      <c r="X153" s="44" t="s">
        <v>5581</v>
      </c>
      <c r="Y153" s="3" t="s">
        <v>5596</v>
      </c>
      <c r="Z153" s="3" t="s">
        <v>5596</v>
      </c>
      <c r="AA153" s="3" t="s">
        <v>5613</v>
      </c>
      <c r="AB153" s="3" t="s">
        <v>5613</v>
      </c>
      <c r="AC153" s="3" t="s">
        <v>5627</v>
      </c>
      <c r="AD153" s="3" t="s">
        <v>5642</v>
      </c>
      <c r="AE153" s="3" t="s">
        <v>5657</v>
      </c>
      <c r="AF153" s="3" t="s">
        <v>5672</v>
      </c>
      <c r="AG153" s="3" t="s">
        <v>5687</v>
      </c>
    </row>
    <row r="154" spans="1:33" x14ac:dyDescent="0.25">
      <c r="A154" s="50" t="s">
        <v>5700</v>
      </c>
      <c r="B154" s="3" t="s">
        <v>5199</v>
      </c>
      <c r="C154" s="9" t="s">
        <v>5200</v>
      </c>
      <c r="D154" s="8" t="s">
        <v>5284</v>
      </c>
      <c r="E154" s="8" t="s">
        <v>5311</v>
      </c>
      <c r="F154" s="9" t="s">
        <v>5326</v>
      </c>
      <c r="G154" s="8" t="s">
        <v>5341</v>
      </c>
      <c r="H154" s="16" t="s">
        <v>5356</v>
      </c>
      <c r="I154" s="8" t="s">
        <v>5371</v>
      </c>
      <c r="J154" s="16" t="s">
        <v>5386</v>
      </c>
      <c r="K154" s="16" t="s">
        <v>5401</v>
      </c>
      <c r="L154" s="8" t="s">
        <v>5416</v>
      </c>
      <c r="M154" s="8" t="s">
        <v>5431</v>
      </c>
      <c r="N154" s="8" t="s">
        <v>5435</v>
      </c>
      <c r="O154" s="8" t="s">
        <v>5461</v>
      </c>
      <c r="P154" s="8" t="s">
        <v>5476</v>
      </c>
      <c r="Q154" s="8" t="s">
        <v>5490</v>
      </c>
      <c r="R154" s="8" t="s">
        <v>5505</v>
      </c>
      <c r="S154" s="8" t="s">
        <v>5509</v>
      </c>
      <c r="T154" s="3" t="s">
        <v>5534</v>
      </c>
      <c r="U154" s="3" t="s">
        <v>5538</v>
      </c>
      <c r="V154" s="3" t="s">
        <v>5560</v>
      </c>
      <c r="W154" s="3" t="s">
        <v>5575</v>
      </c>
      <c r="X154" s="44" t="s">
        <v>5590</v>
      </c>
      <c r="Y154" s="3" t="s">
        <v>5597</v>
      </c>
      <c r="Z154" s="3" t="s">
        <v>5597</v>
      </c>
      <c r="AA154" s="3" t="s">
        <v>5614</v>
      </c>
      <c r="AB154" s="3" t="s">
        <v>5614</v>
      </c>
      <c r="AC154" s="3" t="s">
        <v>5628</v>
      </c>
      <c r="AD154" s="3" t="s">
        <v>5643</v>
      </c>
      <c r="AE154" s="3" t="s">
        <v>5658</v>
      </c>
      <c r="AF154" s="3" t="s">
        <v>5673</v>
      </c>
      <c r="AG154" s="3" t="s">
        <v>5688</v>
      </c>
    </row>
    <row r="155" spans="1:33" x14ac:dyDescent="0.25">
      <c r="A155" s="50" t="s">
        <v>5700</v>
      </c>
      <c r="B155" s="15" t="s">
        <v>5184</v>
      </c>
      <c r="C155" s="10" t="s">
        <v>5194</v>
      </c>
      <c r="D155" s="8" t="s">
        <v>5285</v>
      </c>
      <c r="E155" s="8" t="s">
        <v>5300</v>
      </c>
      <c r="F155" s="10" t="s">
        <v>5315</v>
      </c>
      <c r="G155" s="11" t="s">
        <v>5330</v>
      </c>
      <c r="H155" s="16" t="s">
        <v>5345</v>
      </c>
      <c r="I155" s="11" t="s">
        <v>5360</v>
      </c>
      <c r="J155" s="16" t="s">
        <v>5375</v>
      </c>
      <c r="K155" s="16" t="s">
        <v>5390</v>
      </c>
      <c r="L155" s="8" t="s">
        <v>5405</v>
      </c>
      <c r="M155" s="8" t="s">
        <v>5420</v>
      </c>
      <c r="N155" s="11" t="s">
        <v>5436</v>
      </c>
      <c r="O155" s="8" t="s">
        <v>5450</v>
      </c>
      <c r="P155" s="8" t="s">
        <v>5465</v>
      </c>
      <c r="Q155" s="8" t="s">
        <v>5480</v>
      </c>
      <c r="R155" s="8" t="s">
        <v>5494</v>
      </c>
      <c r="S155" s="8" t="s">
        <v>5510</v>
      </c>
      <c r="T155" s="3" t="s">
        <v>5524</v>
      </c>
      <c r="U155" s="3" t="s">
        <v>5539</v>
      </c>
      <c r="V155" s="3" t="s">
        <v>5553</v>
      </c>
      <c r="W155" s="3" t="s">
        <v>5568</v>
      </c>
      <c r="X155" s="44" t="s">
        <v>5582</v>
      </c>
      <c r="Y155" s="3" t="s">
        <v>5300</v>
      </c>
      <c r="Z155" s="3" t="s">
        <v>5300</v>
      </c>
      <c r="AA155" s="3" t="s">
        <v>5300</v>
      </c>
      <c r="AB155" s="3" t="s">
        <v>5300</v>
      </c>
      <c r="AC155" s="3" t="s">
        <v>5629</v>
      </c>
      <c r="AD155" s="3" t="s">
        <v>5644</v>
      </c>
      <c r="AE155" s="3" t="s">
        <v>5659</v>
      </c>
      <c r="AF155" s="3" t="s">
        <v>5674</v>
      </c>
      <c r="AG155" s="3" t="s">
        <v>5689</v>
      </c>
    </row>
    <row r="156" spans="1:33" ht="135" x14ac:dyDescent="0.25">
      <c r="A156" s="50" t="s">
        <v>5700</v>
      </c>
      <c r="B156" s="15" t="s">
        <v>5186</v>
      </c>
      <c r="C156" s="10" t="s">
        <v>5187</v>
      </c>
      <c r="D156" s="8" t="s">
        <v>5287</v>
      </c>
      <c r="E156" s="8" t="s">
        <v>5309</v>
      </c>
      <c r="F156" s="10" t="s">
        <v>5316</v>
      </c>
      <c r="G156" s="11" t="s">
        <v>5331</v>
      </c>
      <c r="H156" s="16" t="s">
        <v>5346</v>
      </c>
      <c r="I156" s="11" t="s">
        <v>5361</v>
      </c>
      <c r="J156" s="16" t="s">
        <v>5376</v>
      </c>
      <c r="K156" s="16" t="s">
        <v>5391</v>
      </c>
      <c r="L156" s="8" t="s">
        <v>5406</v>
      </c>
      <c r="M156" s="8" t="s">
        <v>5421</v>
      </c>
      <c r="N156" s="11" t="s">
        <v>5437</v>
      </c>
      <c r="O156" s="8" t="s">
        <v>5459</v>
      </c>
      <c r="P156" s="8" t="s">
        <v>5466</v>
      </c>
      <c r="Q156" s="8" t="s">
        <v>5488</v>
      </c>
      <c r="R156" s="8" t="s">
        <v>5495</v>
      </c>
      <c r="S156" s="8" t="s">
        <v>5511</v>
      </c>
      <c r="T156" s="3" t="s">
        <v>5525</v>
      </c>
      <c r="U156" s="3" t="s">
        <v>5540</v>
      </c>
      <c r="V156" s="3" t="s">
        <v>5554</v>
      </c>
      <c r="W156" s="3" t="s">
        <v>5569</v>
      </c>
      <c r="X156" s="44" t="s">
        <v>5583</v>
      </c>
      <c r="Y156" s="3" t="s">
        <v>5598</v>
      </c>
      <c r="Z156" s="3" t="s">
        <v>5608</v>
      </c>
      <c r="AA156" s="3" t="s">
        <v>5615</v>
      </c>
      <c r="AB156" s="3" t="s">
        <v>5615</v>
      </c>
      <c r="AC156" s="3" t="s">
        <v>5630</v>
      </c>
      <c r="AD156" s="3" t="s">
        <v>5645</v>
      </c>
      <c r="AE156" s="3" t="s">
        <v>5660</v>
      </c>
      <c r="AF156" s="3" t="s">
        <v>5675</v>
      </c>
      <c r="AG156" s="3" t="s">
        <v>5690</v>
      </c>
    </row>
    <row r="157" spans="1:33" ht="60" x14ac:dyDescent="0.25">
      <c r="A157" s="50" t="s">
        <v>5700</v>
      </c>
      <c r="B157" s="15" t="s">
        <v>5183</v>
      </c>
      <c r="C157" s="10" t="s">
        <v>5295</v>
      </c>
      <c r="D157" s="8" t="s">
        <v>5294</v>
      </c>
      <c r="E157" s="8" t="s">
        <v>5310</v>
      </c>
      <c r="F157" s="10" t="s">
        <v>5317</v>
      </c>
      <c r="G157" s="11" t="s">
        <v>5332</v>
      </c>
      <c r="H157" s="16" t="s">
        <v>5347</v>
      </c>
      <c r="I157" s="11" t="s">
        <v>5362</v>
      </c>
      <c r="J157" s="16" t="s">
        <v>5377</v>
      </c>
      <c r="K157" s="16" t="s">
        <v>5392</v>
      </c>
      <c r="L157" s="8" t="s">
        <v>5407</v>
      </c>
      <c r="M157" s="8" t="s">
        <v>5422</v>
      </c>
      <c r="N157" s="11" t="s">
        <v>5438</v>
      </c>
      <c r="O157" s="8" t="s">
        <v>5460</v>
      </c>
      <c r="P157" s="8" t="s">
        <v>5474</v>
      </c>
      <c r="Q157" s="8" t="s">
        <v>5489</v>
      </c>
      <c r="R157" s="8" t="s">
        <v>5504</v>
      </c>
      <c r="S157" s="8" t="s">
        <v>5520</v>
      </c>
      <c r="T157" s="3" t="s">
        <v>5533</v>
      </c>
      <c r="U157" s="3" t="s">
        <v>5541</v>
      </c>
      <c r="V157" s="3" t="s">
        <v>5561</v>
      </c>
      <c r="W157" s="3" t="s">
        <v>5576</v>
      </c>
      <c r="X157" s="44" t="s">
        <v>5591</v>
      </c>
      <c r="Y157" s="3" t="s">
        <v>5599</v>
      </c>
      <c r="Z157" s="3" t="s">
        <v>5609</v>
      </c>
      <c r="AA157" s="3" t="s">
        <v>5616</v>
      </c>
      <c r="AB157" s="3" t="s">
        <v>5616</v>
      </c>
      <c r="AC157" s="3" t="s">
        <v>5631</v>
      </c>
      <c r="AD157" s="3" t="s">
        <v>5646</v>
      </c>
      <c r="AE157" s="3" t="s">
        <v>5661</v>
      </c>
      <c r="AF157" s="3" t="s">
        <v>5676</v>
      </c>
      <c r="AG157" s="3" t="s">
        <v>5691</v>
      </c>
    </row>
    <row r="158" spans="1:33" ht="30" x14ac:dyDescent="0.25">
      <c r="A158" s="50" t="s">
        <v>5700</v>
      </c>
      <c r="B158" s="15" t="s">
        <v>5188</v>
      </c>
      <c r="C158" s="10" t="s">
        <v>5195</v>
      </c>
      <c r="D158" s="8" t="s">
        <v>5288</v>
      </c>
      <c r="E158" s="8" t="s">
        <v>5301</v>
      </c>
      <c r="F158" s="10" t="s">
        <v>5318</v>
      </c>
      <c r="G158" s="11" t="s">
        <v>5333</v>
      </c>
      <c r="H158" s="16" t="s">
        <v>5348</v>
      </c>
      <c r="I158" s="11" t="s">
        <v>5363</v>
      </c>
      <c r="J158" s="16" t="s">
        <v>5378</v>
      </c>
      <c r="K158" s="16" t="s">
        <v>5393</v>
      </c>
      <c r="L158" s="8" t="s">
        <v>5408</v>
      </c>
      <c r="M158" s="8" t="s">
        <v>5423</v>
      </c>
      <c r="N158" s="11" t="s">
        <v>5439</v>
      </c>
      <c r="O158" s="8" t="s">
        <v>5451</v>
      </c>
      <c r="P158" s="8" t="s">
        <v>5467</v>
      </c>
      <c r="Q158" s="8" t="s">
        <v>5481</v>
      </c>
      <c r="R158" s="8" t="s">
        <v>5496</v>
      </c>
      <c r="S158" s="8" t="s">
        <v>5512</v>
      </c>
      <c r="T158" s="3" t="s">
        <v>5526</v>
      </c>
      <c r="U158" s="3" t="s">
        <v>5542</v>
      </c>
      <c r="V158" s="3" t="s">
        <v>5555</v>
      </c>
      <c r="W158" s="3" t="s">
        <v>5570</v>
      </c>
      <c r="X158" s="44" t="s">
        <v>5584</v>
      </c>
      <c r="Y158" s="3" t="s">
        <v>5600</v>
      </c>
      <c r="Z158" s="3" t="s">
        <v>5600</v>
      </c>
      <c r="AA158" s="3" t="s">
        <v>5617</v>
      </c>
      <c r="AB158" s="3" t="s">
        <v>5617</v>
      </c>
      <c r="AC158" s="3" t="s">
        <v>5632</v>
      </c>
      <c r="AD158" s="3" t="s">
        <v>5647</v>
      </c>
      <c r="AE158" s="3" t="s">
        <v>5662</v>
      </c>
      <c r="AF158" s="3" t="s">
        <v>5677</v>
      </c>
      <c r="AG158" s="3" t="s">
        <v>5692</v>
      </c>
    </row>
    <row r="159" spans="1:33" ht="60" x14ac:dyDescent="0.25">
      <c r="A159" s="50" t="s">
        <v>5700</v>
      </c>
      <c r="B159" s="15" t="s">
        <v>5176</v>
      </c>
      <c r="C159" s="10" t="s">
        <v>5289</v>
      </c>
      <c r="D159" s="8" t="s">
        <v>5296</v>
      </c>
      <c r="E159" s="8" t="s">
        <v>5302</v>
      </c>
      <c r="F159" s="10" t="s">
        <v>5319</v>
      </c>
      <c r="G159" s="11" t="s">
        <v>5334</v>
      </c>
      <c r="H159" s="16" t="s">
        <v>5349</v>
      </c>
      <c r="I159" s="11" t="s">
        <v>5364</v>
      </c>
      <c r="J159" s="16" t="s">
        <v>5379</v>
      </c>
      <c r="K159" s="16" t="s">
        <v>5394</v>
      </c>
      <c r="L159" s="8" t="s">
        <v>5409</v>
      </c>
      <c r="M159" s="8" t="s">
        <v>5424</v>
      </c>
      <c r="N159" s="11" t="s">
        <v>5440</v>
      </c>
      <c r="O159" s="8" t="s">
        <v>5452</v>
      </c>
      <c r="P159" s="8" t="s">
        <v>5475</v>
      </c>
      <c r="Q159" s="8" t="s">
        <v>5482</v>
      </c>
      <c r="R159" s="8" t="s">
        <v>5503</v>
      </c>
      <c r="S159" s="8" t="s">
        <v>5519</v>
      </c>
      <c r="T159" s="3" t="s">
        <v>5532</v>
      </c>
      <c r="U159" s="3" t="s">
        <v>5543</v>
      </c>
      <c r="V159" s="3" t="s">
        <v>5564</v>
      </c>
      <c r="W159" s="3" t="s">
        <v>5577</v>
      </c>
      <c r="X159" s="44" t="s">
        <v>5592</v>
      </c>
      <c r="Y159" s="3" t="s">
        <v>5601</v>
      </c>
      <c r="Z159" s="3" t="s">
        <v>5601</v>
      </c>
      <c r="AA159" s="3" t="s">
        <v>5618</v>
      </c>
      <c r="AB159" s="3" t="s">
        <v>5618</v>
      </c>
      <c r="AC159" s="3" t="s">
        <v>5633</v>
      </c>
      <c r="AD159" s="3" t="s">
        <v>5648</v>
      </c>
      <c r="AE159" s="3" t="s">
        <v>5663</v>
      </c>
      <c r="AF159" s="3" t="s">
        <v>5678</v>
      </c>
      <c r="AG159" s="3" t="s">
        <v>5693</v>
      </c>
    </row>
    <row r="160" spans="1:33" x14ac:dyDescent="0.25">
      <c r="A160" s="50" t="s">
        <v>5700</v>
      </c>
      <c r="B160" s="15" t="s">
        <v>5189</v>
      </c>
      <c r="C160" s="10" t="s">
        <v>5190</v>
      </c>
      <c r="D160" s="8" t="s">
        <v>5286</v>
      </c>
      <c r="E160" s="8" t="s">
        <v>5303</v>
      </c>
      <c r="F160" s="10" t="s">
        <v>5320</v>
      </c>
      <c r="G160" s="11" t="s">
        <v>5335</v>
      </c>
      <c r="H160" s="16" t="s">
        <v>5350</v>
      </c>
      <c r="I160" s="11" t="s">
        <v>5365</v>
      </c>
      <c r="J160" s="16" t="s">
        <v>5380</v>
      </c>
      <c r="K160" s="16" t="s">
        <v>5395</v>
      </c>
      <c r="L160" s="8" t="s">
        <v>5410</v>
      </c>
      <c r="M160" s="8" t="s">
        <v>5425</v>
      </c>
      <c r="N160" s="11" t="s">
        <v>5441</v>
      </c>
      <c r="O160" s="8" t="s">
        <v>5453</v>
      </c>
      <c r="P160" s="8" t="s">
        <v>5468</v>
      </c>
      <c r="Q160" s="8" t="s">
        <v>5483</v>
      </c>
      <c r="R160" s="8" t="s">
        <v>5497</v>
      </c>
      <c r="S160" s="8" t="s">
        <v>5513</v>
      </c>
      <c r="T160" s="3" t="s">
        <v>5527</v>
      </c>
      <c r="U160" s="3" t="s">
        <v>5544</v>
      </c>
      <c r="V160" s="3" t="s">
        <v>5556</v>
      </c>
      <c r="W160" s="3" t="s">
        <v>5571</v>
      </c>
      <c r="X160" s="44" t="s">
        <v>5585</v>
      </c>
      <c r="Y160" s="3" t="s">
        <v>5602</v>
      </c>
      <c r="Z160" s="3" t="s">
        <v>5602</v>
      </c>
      <c r="AA160" s="3" t="s">
        <v>5619</v>
      </c>
      <c r="AB160" s="3" t="s">
        <v>5619</v>
      </c>
      <c r="AC160" s="3" t="s">
        <v>5634</v>
      </c>
      <c r="AD160" s="3" t="s">
        <v>5649</v>
      </c>
      <c r="AE160" s="3" t="s">
        <v>5664</v>
      </c>
      <c r="AF160" s="3" t="s">
        <v>5679</v>
      </c>
      <c r="AG160" s="3" t="s">
        <v>5694</v>
      </c>
    </row>
    <row r="161" spans="1:33" ht="60" x14ac:dyDescent="0.25">
      <c r="A161" s="50" t="s">
        <v>5700</v>
      </c>
      <c r="B161" s="15" t="s">
        <v>5191</v>
      </c>
      <c r="C161" s="10" t="s">
        <v>5192</v>
      </c>
      <c r="D161" s="8" t="s">
        <v>5293</v>
      </c>
      <c r="E161" s="8" t="s">
        <v>5304</v>
      </c>
      <c r="F161" s="10" t="s">
        <v>5321</v>
      </c>
      <c r="G161" s="11" t="s">
        <v>5336</v>
      </c>
      <c r="H161" s="16" t="s">
        <v>5351</v>
      </c>
      <c r="I161" s="11" t="s">
        <v>5366</v>
      </c>
      <c r="J161" s="16" t="s">
        <v>5381</v>
      </c>
      <c r="K161" s="16" t="s">
        <v>5396</v>
      </c>
      <c r="L161" s="8" t="s">
        <v>5411</v>
      </c>
      <c r="M161" s="8" t="s">
        <v>5426</v>
      </c>
      <c r="N161" s="11" t="s">
        <v>5442</v>
      </c>
      <c r="O161" s="8" t="s">
        <v>5454</v>
      </c>
      <c r="P161" s="8" t="s">
        <v>5473</v>
      </c>
      <c r="Q161" s="8" t="s">
        <v>5484</v>
      </c>
      <c r="R161" s="8" t="s">
        <v>5498</v>
      </c>
      <c r="S161" s="8" t="s">
        <v>5514</v>
      </c>
      <c r="T161" s="3" t="s">
        <v>5531</v>
      </c>
      <c r="U161" s="3" t="s">
        <v>5545</v>
      </c>
      <c r="V161" s="3" t="s">
        <v>5563</v>
      </c>
      <c r="W161" s="3" t="s">
        <v>5572</v>
      </c>
      <c r="X161" s="44" t="s">
        <v>5586</v>
      </c>
      <c r="Y161" s="3" t="s">
        <v>5603</v>
      </c>
      <c r="Z161" s="3" t="s">
        <v>5603</v>
      </c>
      <c r="AA161" s="3" t="s">
        <v>5620</v>
      </c>
      <c r="AB161" s="3" t="s">
        <v>5620</v>
      </c>
      <c r="AC161" s="3" t="s">
        <v>5635</v>
      </c>
      <c r="AD161" s="3" t="s">
        <v>5650</v>
      </c>
      <c r="AE161" s="3" t="s">
        <v>5665</v>
      </c>
      <c r="AF161" s="3" t="s">
        <v>5680</v>
      </c>
      <c r="AG161" s="3" t="s">
        <v>5695</v>
      </c>
    </row>
    <row r="162" spans="1:33" x14ac:dyDescent="0.25">
      <c r="A162" s="50" t="s">
        <v>5700</v>
      </c>
      <c r="B162" s="15" t="s">
        <v>5177</v>
      </c>
      <c r="C162" s="10" t="s">
        <v>5181</v>
      </c>
      <c r="D162" s="8" t="s">
        <v>5286</v>
      </c>
      <c r="E162" s="8" t="s">
        <v>5305</v>
      </c>
      <c r="F162" s="10" t="s">
        <v>5322</v>
      </c>
      <c r="G162" s="11" t="s">
        <v>5337</v>
      </c>
      <c r="H162" s="16" t="s">
        <v>5352</v>
      </c>
      <c r="I162" s="11" t="s">
        <v>5367</v>
      </c>
      <c r="J162" s="16" t="s">
        <v>5382</v>
      </c>
      <c r="K162" s="16" t="s">
        <v>5397</v>
      </c>
      <c r="L162" s="8" t="s">
        <v>5412</v>
      </c>
      <c r="M162" s="8" t="s">
        <v>5427</v>
      </c>
      <c r="N162" s="11" t="s">
        <v>5443</v>
      </c>
      <c r="O162" s="8" t="s">
        <v>5455</v>
      </c>
      <c r="P162" s="8" t="s">
        <v>5469</v>
      </c>
      <c r="Q162" s="8" t="s">
        <v>5483</v>
      </c>
      <c r="R162" s="8" t="s">
        <v>5499</v>
      </c>
      <c r="S162" s="8" t="s">
        <v>5515</v>
      </c>
      <c r="T162" s="3" t="s">
        <v>5528</v>
      </c>
      <c r="U162" s="3" t="s">
        <v>5546</v>
      </c>
      <c r="V162" s="3" t="s">
        <v>5557</v>
      </c>
      <c r="W162" s="3" t="s">
        <v>5571</v>
      </c>
      <c r="X162" s="44" t="s">
        <v>5587</v>
      </c>
      <c r="Y162" s="3" t="s">
        <v>5604</v>
      </c>
      <c r="Z162" s="3" t="s">
        <v>5604</v>
      </c>
      <c r="AA162" s="3" t="s">
        <v>5621</v>
      </c>
      <c r="AB162" s="3" t="s">
        <v>5621</v>
      </c>
      <c r="AC162" s="3" t="s">
        <v>5636</v>
      </c>
      <c r="AD162" s="3" t="s">
        <v>5651</v>
      </c>
      <c r="AE162" s="3" t="s">
        <v>5666</v>
      </c>
      <c r="AF162" s="3" t="s">
        <v>5681</v>
      </c>
      <c r="AG162" s="3" t="s">
        <v>5696</v>
      </c>
    </row>
    <row r="163" spans="1:33" ht="90" x14ac:dyDescent="0.25">
      <c r="A163" s="15" t="s">
        <v>71</v>
      </c>
      <c r="B163" s="15" t="s">
        <v>5178</v>
      </c>
      <c r="C163" s="10" t="s">
        <v>5203</v>
      </c>
      <c r="D163" s="8" t="s">
        <v>5290</v>
      </c>
      <c r="E163" s="8" t="s">
        <v>5306</v>
      </c>
      <c r="F163" s="10" t="s">
        <v>5323</v>
      </c>
      <c r="G163" s="11" t="s">
        <v>5338</v>
      </c>
      <c r="H163" s="16" t="s">
        <v>5353</v>
      </c>
      <c r="I163" s="11" t="s">
        <v>5368</v>
      </c>
      <c r="J163" s="16" t="s">
        <v>5383</v>
      </c>
      <c r="K163" s="16" t="s">
        <v>5398</v>
      </c>
      <c r="L163" s="8" t="s">
        <v>5413</v>
      </c>
      <c r="M163" s="8" t="s">
        <v>5428</v>
      </c>
      <c r="N163" s="11" t="s">
        <v>5444</v>
      </c>
      <c r="O163" s="8" t="s">
        <v>5456</v>
      </c>
      <c r="P163" s="8" t="s">
        <v>5470</v>
      </c>
      <c r="Q163" s="8" t="s">
        <v>5485</v>
      </c>
      <c r="R163" s="8" t="s">
        <v>5500</v>
      </c>
      <c r="S163" s="8" t="s">
        <v>5516</v>
      </c>
      <c r="T163" s="3" t="s">
        <v>5529</v>
      </c>
      <c r="U163" s="3" t="s">
        <v>5547</v>
      </c>
      <c r="V163" s="3" t="s">
        <v>5558</v>
      </c>
      <c r="W163" s="3" t="s">
        <v>5573</v>
      </c>
      <c r="X163" s="44" t="s">
        <v>5588</v>
      </c>
      <c r="Y163" s="3" t="s">
        <v>5605</v>
      </c>
      <c r="Z163" s="3" t="s">
        <v>5605</v>
      </c>
      <c r="AA163" s="3" t="s">
        <v>5622</v>
      </c>
      <c r="AB163" s="3" t="s">
        <v>5622</v>
      </c>
      <c r="AC163" s="3" t="s">
        <v>5637</v>
      </c>
      <c r="AD163" s="3" t="s">
        <v>5652</v>
      </c>
      <c r="AE163" s="3" t="s">
        <v>5667</v>
      </c>
      <c r="AF163" s="3" t="s">
        <v>5682</v>
      </c>
      <c r="AG163" s="3" t="s">
        <v>5697</v>
      </c>
    </row>
    <row r="164" spans="1:33" x14ac:dyDescent="0.25">
      <c r="A164" s="15" t="s">
        <v>71</v>
      </c>
      <c r="B164" s="17" t="s">
        <v>5185</v>
      </c>
      <c r="C164" s="10" t="s">
        <v>5201</v>
      </c>
      <c r="D164" s="8" t="s">
        <v>5291</v>
      </c>
      <c r="E164" s="8" t="s">
        <v>5307</v>
      </c>
      <c r="F164" s="10" t="s">
        <v>5324</v>
      </c>
      <c r="G164" s="11" t="s">
        <v>5339</v>
      </c>
      <c r="H164" s="16" t="s">
        <v>5354</v>
      </c>
      <c r="I164" s="11" t="s">
        <v>5369</v>
      </c>
      <c r="J164" s="16" t="s">
        <v>5384</v>
      </c>
      <c r="K164" s="16" t="s">
        <v>5399</v>
      </c>
      <c r="L164" s="8" t="s">
        <v>5414</v>
      </c>
      <c r="M164" s="8" t="s">
        <v>5429</v>
      </c>
      <c r="N164" s="11" t="s">
        <v>5445</v>
      </c>
      <c r="O164" s="8" t="s">
        <v>5457</v>
      </c>
      <c r="P164" s="8" t="s">
        <v>5471</v>
      </c>
      <c r="Q164" s="8" t="s">
        <v>5486</v>
      </c>
      <c r="R164" s="8" t="s">
        <v>5501</v>
      </c>
      <c r="S164" s="8" t="s">
        <v>5517</v>
      </c>
      <c r="T164" s="3" t="s">
        <v>5339</v>
      </c>
      <c r="U164" s="3" t="s">
        <v>5548</v>
      </c>
      <c r="V164" s="3" t="s">
        <v>5559</v>
      </c>
      <c r="W164" s="3" t="s">
        <v>5574</v>
      </c>
      <c r="X164" s="44" t="s">
        <v>5589</v>
      </c>
      <c r="Y164" s="3" t="s">
        <v>5606</v>
      </c>
      <c r="Z164" s="3" t="s">
        <v>5606</v>
      </c>
      <c r="AA164" s="3" t="s">
        <v>5623</v>
      </c>
      <c r="AB164" s="3" t="s">
        <v>5623</v>
      </c>
      <c r="AC164" s="3" t="s">
        <v>5638</v>
      </c>
      <c r="AD164" s="3" t="s">
        <v>5653</v>
      </c>
      <c r="AE164" s="3" t="s">
        <v>5668</v>
      </c>
      <c r="AF164" s="3" t="s">
        <v>5683</v>
      </c>
      <c r="AG164" s="3" t="s">
        <v>5698</v>
      </c>
    </row>
    <row r="165" spans="1:33" ht="45" x14ac:dyDescent="0.25">
      <c r="A165" s="15" t="s">
        <v>71</v>
      </c>
      <c r="B165" s="17" t="s">
        <v>5180</v>
      </c>
      <c r="C165" s="10" t="s">
        <v>5202</v>
      </c>
      <c r="D165" s="8" t="s">
        <v>5292</v>
      </c>
      <c r="E165" s="8" t="s">
        <v>5308</v>
      </c>
      <c r="F165" s="10" t="s">
        <v>5325</v>
      </c>
      <c r="G165" s="11" t="s">
        <v>5340</v>
      </c>
      <c r="H165" s="16" t="s">
        <v>5355</v>
      </c>
      <c r="I165" s="11" t="s">
        <v>5370</v>
      </c>
      <c r="J165" s="16" t="s">
        <v>5385</v>
      </c>
      <c r="K165" s="16" t="s">
        <v>5400</v>
      </c>
      <c r="L165" s="8" t="s">
        <v>5415</v>
      </c>
      <c r="M165" s="8" t="s">
        <v>5430</v>
      </c>
      <c r="N165" s="11" t="s">
        <v>5446</v>
      </c>
      <c r="O165" s="8" t="s">
        <v>5458</v>
      </c>
      <c r="P165" s="8" t="s">
        <v>5472</v>
      </c>
      <c r="Q165" s="8" t="s">
        <v>5487</v>
      </c>
      <c r="R165" s="8" t="s">
        <v>5502</v>
      </c>
      <c r="S165" s="8" t="s">
        <v>5518</v>
      </c>
      <c r="T165" s="3" t="s">
        <v>5530</v>
      </c>
      <c r="U165" s="3" t="s">
        <v>5549</v>
      </c>
      <c r="V165" s="3" t="s">
        <v>5562</v>
      </c>
      <c r="W165" s="3" t="s">
        <v>5578</v>
      </c>
      <c r="X165" s="44" t="s">
        <v>5593</v>
      </c>
      <c r="Y165" s="3" t="s">
        <v>5607</v>
      </c>
      <c r="Z165" s="3" t="s">
        <v>5610</v>
      </c>
      <c r="AA165" s="3" t="s">
        <v>5624</v>
      </c>
      <c r="AB165" s="3" t="s">
        <v>5624</v>
      </c>
      <c r="AC165" s="3" t="s">
        <v>5639</v>
      </c>
      <c r="AD165" s="3" t="s">
        <v>5654</v>
      </c>
      <c r="AE165" s="3" t="s">
        <v>5669</v>
      </c>
      <c r="AF165" s="3" t="s">
        <v>5684</v>
      </c>
      <c r="AG165" s="3" t="s">
        <v>5699</v>
      </c>
    </row>
    <row r="166" spans="1:33" ht="195" x14ac:dyDescent="0.25">
      <c r="A166" s="15" t="s">
        <v>71</v>
      </c>
      <c r="B166" s="15" t="s">
        <v>868</v>
      </c>
      <c r="C166" s="10" t="s">
        <v>907</v>
      </c>
      <c r="D166" s="8" t="s">
        <v>3078</v>
      </c>
      <c r="E166" s="8" t="s">
        <v>1245</v>
      </c>
      <c r="F166" s="10" t="s">
        <v>1140</v>
      </c>
      <c r="G166" s="11" t="s">
        <v>2129</v>
      </c>
      <c r="H166" s="16" t="s">
        <v>2284</v>
      </c>
      <c r="I166" s="11" t="s">
        <v>1450</v>
      </c>
      <c r="J166" s="16" t="s">
        <v>1345</v>
      </c>
      <c r="K166" s="16" t="s">
        <v>1551</v>
      </c>
      <c r="L166" s="8" t="s">
        <v>4863</v>
      </c>
      <c r="M166" s="8" t="s">
        <v>3588</v>
      </c>
      <c r="N166" s="11" t="s">
        <v>1630</v>
      </c>
      <c r="O166" s="8" t="s">
        <v>3306</v>
      </c>
      <c r="P166" s="8" t="s">
        <v>1719</v>
      </c>
      <c r="Q166" s="8" t="s">
        <v>2459</v>
      </c>
      <c r="R166" s="8" t="s">
        <v>2601</v>
      </c>
      <c r="S166" s="8" t="s">
        <v>3821</v>
      </c>
      <c r="T166" s="3" t="s">
        <v>3700</v>
      </c>
      <c r="U166" s="3" t="s">
        <v>4989</v>
      </c>
      <c r="V166" s="3" t="s">
        <v>1817</v>
      </c>
      <c r="W166" s="3" t="s">
        <v>2892</v>
      </c>
      <c r="X166" s="44" t="s">
        <v>4601</v>
      </c>
      <c r="Y166" s="3" t="s">
        <v>4220</v>
      </c>
      <c r="Z166" s="3" t="s">
        <v>1906</v>
      </c>
      <c r="AA166" s="3" t="s">
        <v>3766</v>
      </c>
      <c r="AB166" s="3" t="s">
        <v>4002</v>
      </c>
      <c r="AC166" s="3" t="s">
        <v>2009</v>
      </c>
      <c r="AD166" s="3" t="s">
        <v>4387</v>
      </c>
      <c r="AE166" s="3" t="s">
        <v>4497</v>
      </c>
      <c r="AF166" s="3" t="s">
        <v>4149</v>
      </c>
      <c r="AG166" s="3" t="s">
        <v>4711</v>
      </c>
    </row>
    <row r="167" spans="1:33" ht="30" x14ac:dyDescent="0.25">
      <c r="A167" s="15" t="s">
        <v>71</v>
      </c>
      <c r="B167" s="15" t="s">
        <v>295</v>
      </c>
      <c r="C167" s="9" t="s">
        <v>862</v>
      </c>
      <c r="D167" s="8" t="s">
        <v>3079</v>
      </c>
      <c r="E167" s="8" t="s">
        <v>1246</v>
      </c>
      <c r="F167" s="9" t="s">
        <v>1141</v>
      </c>
      <c r="G167" s="8" t="s">
        <v>2130</v>
      </c>
      <c r="H167" s="16" t="s">
        <v>2285</v>
      </c>
      <c r="I167" s="8" t="s">
        <v>1451</v>
      </c>
      <c r="J167" s="16" t="s">
        <v>1346</v>
      </c>
      <c r="K167" s="16" t="s">
        <v>1552</v>
      </c>
      <c r="L167" s="8" t="s">
        <v>4827</v>
      </c>
      <c r="M167" s="8" t="s">
        <v>3589</v>
      </c>
      <c r="N167" s="8" t="s">
        <v>1631</v>
      </c>
      <c r="O167" s="8" t="s">
        <v>3307</v>
      </c>
      <c r="P167" s="8" t="s">
        <v>1720</v>
      </c>
      <c r="Q167" s="8" t="s">
        <v>2460</v>
      </c>
      <c r="R167" s="8" t="s">
        <v>2602</v>
      </c>
      <c r="S167" s="8" t="s">
        <v>3822</v>
      </c>
      <c r="T167" s="3" t="s">
        <v>3701</v>
      </c>
      <c r="U167" s="3" t="s">
        <v>4990</v>
      </c>
      <c r="V167" s="3" t="s">
        <v>1818</v>
      </c>
      <c r="W167" s="3" t="s">
        <v>2893</v>
      </c>
      <c r="X167" s="44" t="s">
        <v>4602</v>
      </c>
      <c r="Y167" s="3" t="s">
        <v>1907</v>
      </c>
      <c r="Z167" s="3" t="s">
        <v>1907</v>
      </c>
      <c r="AA167" s="3" t="s">
        <v>3767</v>
      </c>
      <c r="AB167" s="3" t="s">
        <v>1070</v>
      </c>
      <c r="AC167" s="3" t="s">
        <v>2010</v>
      </c>
      <c r="AD167" s="3" t="s">
        <v>4388</v>
      </c>
      <c r="AE167" s="3" t="s">
        <v>4498</v>
      </c>
      <c r="AF167" s="3" t="s">
        <v>4150</v>
      </c>
      <c r="AG167" s="3" t="s">
        <v>2067</v>
      </c>
    </row>
    <row r="168" spans="1:33" x14ac:dyDescent="0.25">
      <c r="A168" s="15" t="s">
        <v>71</v>
      </c>
      <c r="B168" s="15" t="s">
        <v>297</v>
      </c>
      <c r="C168" s="9" t="s">
        <v>296</v>
      </c>
      <c r="D168" s="8" t="s">
        <v>3080</v>
      </c>
      <c r="E168" s="8" t="s">
        <v>304</v>
      </c>
      <c r="F168" s="9" t="s">
        <v>422</v>
      </c>
      <c r="G168" s="8" t="s">
        <v>619</v>
      </c>
      <c r="H168" s="16" t="s">
        <v>2286</v>
      </c>
      <c r="I168" s="8" t="s">
        <v>308</v>
      </c>
      <c r="J168" s="16" t="s">
        <v>312</v>
      </c>
      <c r="K168" s="16" t="s">
        <v>314</v>
      </c>
      <c r="L168" s="8" t="s">
        <v>2328</v>
      </c>
      <c r="M168" s="8" t="s">
        <v>3590</v>
      </c>
      <c r="N168" s="8" t="s">
        <v>316</v>
      </c>
      <c r="O168" s="8" t="s">
        <v>3308</v>
      </c>
      <c r="P168" s="8" t="s">
        <v>558</v>
      </c>
      <c r="Q168" s="8" t="s">
        <v>2461</v>
      </c>
      <c r="R168" s="8" t="s">
        <v>2603</v>
      </c>
      <c r="S168" s="8" t="s">
        <v>2671</v>
      </c>
      <c r="T168" s="3" t="s">
        <v>2721</v>
      </c>
      <c r="U168" s="3" t="s">
        <v>2769</v>
      </c>
      <c r="V168" s="3" t="s">
        <v>707</v>
      </c>
      <c r="W168" s="3" t="s">
        <v>2894</v>
      </c>
      <c r="X168" s="44" t="s">
        <v>4603</v>
      </c>
      <c r="Y168" s="3" t="s">
        <v>322</v>
      </c>
      <c r="Z168" s="3" t="s">
        <v>322</v>
      </c>
      <c r="AA168" s="3" t="s">
        <v>365</v>
      </c>
      <c r="AB168" s="3" t="s">
        <v>365</v>
      </c>
      <c r="AC168" s="3" t="s">
        <v>333</v>
      </c>
      <c r="AD168" s="3" t="s">
        <v>4389</v>
      </c>
      <c r="AE168" s="3" t="s">
        <v>4499</v>
      </c>
      <c r="AF168" s="3" t="s">
        <v>4151</v>
      </c>
      <c r="AG168" s="3" t="s">
        <v>331</v>
      </c>
    </row>
    <row r="169" spans="1:33" x14ac:dyDescent="0.25">
      <c r="A169" s="15" t="s">
        <v>71</v>
      </c>
      <c r="B169" s="15" t="s">
        <v>298</v>
      </c>
      <c r="C169" s="9" t="s">
        <v>301</v>
      </c>
      <c r="D169" s="8" t="s">
        <v>3081</v>
      </c>
      <c r="E169" s="8" t="s">
        <v>305</v>
      </c>
      <c r="F169" s="9" t="s">
        <v>424</v>
      </c>
      <c r="G169" s="8" t="s">
        <v>423</v>
      </c>
      <c r="H169" s="16" t="s">
        <v>2287</v>
      </c>
      <c r="I169" s="8" t="s">
        <v>309</v>
      </c>
      <c r="J169" s="16" t="s">
        <v>590</v>
      </c>
      <c r="K169" s="16" t="s">
        <v>464</v>
      </c>
      <c r="L169" s="8" t="s">
        <v>4828</v>
      </c>
      <c r="M169" s="8" t="s">
        <v>3591</v>
      </c>
      <c r="N169" s="8" t="s">
        <v>317</v>
      </c>
      <c r="O169" s="8" t="s">
        <v>3309</v>
      </c>
      <c r="P169" s="8" t="s">
        <v>559</v>
      </c>
      <c r="Q169" s="8" t="s">
        <v>2462</v>
      </c>
      <c r="R169" s="8" t="s">
        <v>2604</v>
      </c>
      <c r="S169" s="8" t="s">
        <v>2672</v>
      </c>
      <c r="T169" s="3" t="s">
        <v>2722</v>
      </c>
      <c r="U169" s="3" t="s">
        <v>2770</v>
      </c>
      <c r="V169" s="3" t="s">
        <v>332</v>
      </c>
      <c r="W169" s="3" t="s">
        <v>2895</v>
      </c>
      <c r="X169" s="44" t="s">
        <v>4604</v>
      </c>
      <c r="Y169" s="3" t="s">
        <v>446</v>
      </c>
      <c r="Z169" s="3" t="s">
        <v>323</v>
      </c>
      <c r="AA169" s="3" t="s">
        <v>319</v>
      </c>
      <c r="AB169" s="3" t="s">
        <v>319</v>
      </c>
      <c r="AC169" s="3" t="s">
        <v>326</v>
      </c>
      <c r="AD169" s="3" t="s">
        <v>4390</v>
      </c>
      <c r="AE169" s="3" t="s">
        <v>3444</v>
      </c>
      <c r="AF169" s="3" t="s">
        <v>4152</v>
      </c>
      <c r="AG169" s="3" t="s">
        <v>330</v>
      </c>
    </row>
    <row r="170" spans="1:33" x14ac:dyDescent="0.25">
      <c r="A170" s="15" t="s">
        <v>71</v>
      </c>
      <c r="B170" s="15" t="s">
        <v>299</v>
      </c>
      <c r="C170" s="9" t="s">
        <v>302</v>
      </c>
      <c r="D170" s="8" t="s">
        <v>3082</v>
      </c>
      <c r="E170" s="8" t="s">
        <v>306</v>
      </c>
      <c r="F170" s="9" t="s">
        <v>426</v>
      </c>
      <c r="G170" s="8" t="s">
        <v>425</v>
      </c>
      <c r="H170" s="16" t="s">
        <v>2288</v>
      </c>
      <c r="I170" s="8" t="s">
        <v>310</v>
      </c>
      <c r="J170" s="16" t="s">
        <v>591</v>
      </c>
      <c r="K170" s="16" t="s">
        <v>465</v>
      </c>
      <c r="L170" s="8" t="s">
        <v>4829</v>
      </c>
      <c r="M170" s="8" t="s">
        <v>3592</v>
      </c>
      <c r="N170" s="8" t="s">
        <v>613</v>
      </c>
      <c r="O170" s="8" t="s">
        <v>3310</v>
      </c>
      <c r="P170" s="8" t="s">
        <v>560</v>
      </c>
      <c r="Q170" s="8" t="s">
        <v>2463</v>
      </c>
      <c r="R170" s="8" t="s">
        <v>2605</v>
      </c>
      <c r="S170" s="8" t="s">
        <v>2673</v>
      </c>
      <c r="T170" s="3" t="s">
        <v>2723</v>
      </c>
      <c r="U170" s="3" t="s">
        <v>4991</v>
      </c>
      <c r="V170" s="3" t="s">
        <v>708</v>
      </c>
      <c r="W170" s="3" t="s">
        <v>2896</v>
      </c>
      <c r="X170" s="44" t="s">
        <v>2947</v>
      </c>
      <c r="Y170" s="3" t="s">
        <v>320</v>
      </c>
      <c r="Z170" s="3" t="s">
        <v>320</v>
      </c>
      <c r="AA170" s="3" t="s">
        <v>320</v>
      </c>
      <c r="AB170" s="3" t="s">
        <v>320</v>
      </c>
      <c r="AC170" s="3" t="s">
        <v>327</v>
      </c>
      <c r="AD170" s="3" t="s">
        <v>4391</v>
      </c>
      <c r="AE170" s="3" t="s">
        <v>3445</v>
      </c>
      <c r="AF170" s="3" t="s">
        <v>4153</v>
      </c>
      <c r="AG170" s="3" t="s">
        <v>329</v>
      </c>
    </row>
    <row r="171" spans="1:33" x14ac:dyDescent="0.25">
      <c r="A171" s="15" t="s">
        <v>71</v>
      </c>
      <c r="B171" s="15" t="s">
        <v>300</v>
      </c>
      <c r="C171" s="9" t="s">
        <v>303</v>
      </c>
      <c r="D171" s="8" t="s">
        <v>3083</v>
      </c>
      <c r="E171" s="8" t="s">
        <v>307</v>
      </c>
      <c r="F171" s="9" t="s">
        <v>428</v>
      </c>
      <c r="G171" s="8" t="s">
        <v>427</v>
      </c>
      <c r="H171" s="16" t="s">
        <v>2289</v>
      </c>
      <c r="I171" s="8" t="s">
        <v>311</v>
      </c>
      <c r="J171" s="16" t="s">
        <v>313</v>
      </c>
      <c r="K171" s="16" t="s">
        <v>315</v>
      </c>
      <c r="L171" s="8" t="s">
        <v>2329</v>
      </c>
      <c r="M171" s="8" t="s">
        <v>3593</v>
      </c>
      <c r="N171" s="8" t="s">
        <v>318</v>
      </c>
      <c r="O171" s="8" t="s">
        <v>3311</v>
      </c>
      <c r="P171" s="8" t="s">
        <v>561</v>
      </c>
      <c r="Q171" s="8" t="s">
        <v>2464</v>
      </c>
      <c r="R171" s="8" t="s">
        <v>2606</v>
      </c>
      <c r="S171" s="8" t="s">
        <v>2674</v>
      </c>
      <c r="T171" s="3" t="s">
        <v>2724</v>
      </c>
      <c r="U171" s="3" t="s">
        <v>2771</v>
      </c>
      <c r="V171" s="3" t="s">
        <v>709</v>
      </c>
      <c r="W171" s="3" t="s">
        <v>2897</v>
      </c>
      <c r="X171" s="44" t="s">
        <v>4605</v>
      </c>
      <c r="Y171" s="3" t="s">
        <v>324</v>
      </c>
      <c r="Z171" s="3" t="s">
        <v>325</v>
      </c>
      <c r="AA171" s="3" t="s">
        <v>321</v>
      </c>
      <c r="AB171" s="3" t="s">
        <v>321</v>
      </c>
      <c r="AC171" s="3" t="s">
        <v>636</v>
      </c>
      <c r="AD171" s="3" t="s">
        <v>4392</v>
      </c>
      <c r="AE171" s="3" t="s">
        <v>3446</v>
      </c>
      <c r="AF171" s="3" t="s">
        <v>4154</v>
      </c>
      <c r="AG171" s="3" t="s">
        <v>328</v>
      </c>
    </row>
    <row r="172" spans="1:33" x14ac:dyDescent="0.25">
      <c r="A172" s="15" t="s">
        <v>71</v>
      </c>
      <c r="B172" s="15" t="s">
        <v>334</v>
      </c>
      <c r="C172" s="9" t="s">
        <v>335</v>
      </c>
      <c r="D172" s="9" t="s">
        <v>3084</v>
      </c>
      <c r="E172" s="9" t="s">
        <v>357</v>
      </c>
      <c r="F172" s="9" t="s">
        <v>2725</v>
      </c>
      <c r="G172" s="9" t="s">
        <v>2725</v>
      </c>
      <c r="H172" s="9" t="s">
        <v>337</v>
      </c>
      <c r="I172" s="9" t="s">
        <v>336</v>
      </c>
      <c r="J172" s="9" t="s">
        <v>337</v>
      </c>
      <c r="K172" s="9" t="s">
        <v>338</v>
      </c>
      <c r="L172" s="9" t="s">
        <v>4830</v>
      </c>
      <c r="M172" s="9" t="s">
        <v>335</v>
      </c>
      <c r="N172" s="8" t="s">
        <v>339</v>
      </c>
      <c r="O172" s="9" t="s">
        <v>3312</v>
      </c>
      <c r="P172" s="9" t="s">
        <v>562</v>
      </c>
      <c r="Q172" s="9" t="s">
        <v>2465</v>
      </c>
      <c r="R172" s="9" t="s">
        <v>2607</v>
      </c>
      <c r="S172" s="9" t="s">
        <v>2675</v>
      </c>
      <c r="T172" s="3" t="s">
        <v>2725</v>
      </c>
      <c r="U172" s="3" t="s">
        <v>4992</v>
      </c>
      <c r="V172" s="3" t="s">
        <v>710</v>
      </c>
      <c r="W172" s="3" t="s">
        <v>2465</v>
      </c>
      <c r="X172" s="44" t="s">
        <v>4606</v>
      </c>
      <c r="Y172" s="3" t="s">
        <v>341</v>
      </c>
      <c r="Z172" s="3" t="s">
        <v>341</v>
      </c>
      <c r="AA172" s="3" t="s">
        <v>340</v>
      </c>
      <c r="AB172" s="3" t="s">
        <v>340</v>
      </c>
      <c r="AC172" s="3" t="s">
        <v>342</v>
      </c>
      <c r="AD172" s="3" t="s">
        <v>4393</v>
      </c>
      <c r="AE172" s="3" t="s">
        <v>3447</v>
      </c>
      <c r="AF172" s="3" t="s">
        <v>4155</v>
      </c>
      <c r="AG172" s="3" t="s">
        <v>343</v>
      </c>
    </row>
    <row r="173" spans="1:33" x14ac:dyDescent="0.25">
      <c r="A173" s="15" t="s">
        <v>71</v>
      </c>
      <c r="B173" s="15" t="s">
        <v>127</v>
      </c>
      <c r="C173" s="9" t="s">
        <v>234</v>
      </c>
      <c r="D173" s="8" t="s">
        <v>3085</v>
      </c>
      <c r="E173" s="8" t="s">
        <v>275</v>
      </c>
      <c r="F173" s="9" t="s">
        <v>3911</v>
      </c>
      <c r="G173" s="8" t="s">
        <v>3911</v>
      </c>
      <c r="H173" s="8" t="s">
        <v>2290</v>
      </c>
      <c r="I173" s="8" t="s">
        <v>520</v>
      </c>
      <c r="J173" s="9" t="s">
        <v>178</v>
      </c>
      <c r="K173" s="9" t="s">
        <v>276</v>
      </c>
      <c r="L173" s="8" t="s">
        <v>2330</v>
      </c>
      <c r="M173" s="8" t="s">
        <v>3594</v>
      </c>
      <c r="N173" s="8" t="s">
        <v>277</v>
      </c>
      <c r="O173" s="8" t="s">
        <v>3313</v>
      </c>
      <c r="P173" s="8" t="s">
        <v>563</v>
      </c>
      <c r="Q173" s="8" t="s">
        <v>2466</v>
      </c>
      <c r="R173" s="8" t="s">
        <v>2608</v>
      </c>
      <c r="S173" s="8" t="s">
        <v>2676</v>
      </c>
      <c r="T173" s="3" t="s">
        <v>3668</v>
      </c>
      <c r="U173" s="3" t="s">
        <v>2772</v>
      </c>
      <c r="V173" s="3" t="s">
        <v>288</v>
      </c>
      <c r="W173" s="3" t="s">
        <v>2466</v>
      </c>
      <c r="X173" s="44" t="s">
        <v>2948</v>
      </c>
      <c r="Y173" s="3" t="s">
        <v>279</v>
      </c>
      <c r="Z173" s="3" t="s">
        <v>279</v>
      </c>
      <c r="AA173" s="3" t="s">
        <v>267</v>
      </c>
      <c r="AB173" s="3" t="s">
        <v>267</v>
      </c>
      <c r="AC173" s="3" t="s">
        <v>283</v>
      </c>
      <c r="AD173" s="3" t="s">
        <v>368</v>
      </c>
      <c r="AE173" s="3" t="s">
        <v>3448</v>
      </c>
      <c r="AF173" s="3" t="s">
        <v>4156</v>
      </c>
      <c r="AG173" s="3" t="s">
        <v>284</v>
      </c>
    </row>
    <row r="174" spans="1:33" ht="105" x14ac:dyDescent="0.25">
      <c r="A174" s="15" t="s">
        <v>71</v>
      </c>
      <c r="B174" s="15" t="s">
        <v>5023</v>
      </c>
      <c r="C174" s="9" t="s">
        <v>5026</v>
      </c>
      <c r="D174" s="8" t="s">
        <v>5029</v>
      </c>
      <c r="E174" s="8" t="s">
        <v>5079</v>
      </c>
      <c r="F174" s="9" t="s">
        <v>5080</v>
      </c>
      <c r="G174" s="8" t="s">
        <v>5081</v>
      </c>
      <c r="H174" s="8" t="s">
        <v>5082</v>
      </c>
      <c r="I174" s="8" t="s">
        <v>5083</v>
      </c>
      <c r="J174" s="9" t="s">
        <v>5084</v>
      </c>
      <c r="K174" s="9" t="s">
        <v>5085</v>
      </c>
      <c r="L174" s="8" t="s">
        <v>4831</v>
      </c>
      <c r="M174" s="8" t="s">
        <v>5106</v>
      </c>
      <c r="N174" s="8" t="s">
        <v>5086</v>
      </c>
      <c r="O174" s="8" t="s">
        <v>5087</v>
      </c>
      <c r="P174" s="8" t="s">
        <v>5088</v>
      </c>
      <c r="Q174" s="8" t="s">
        <v>5089</v>
      </c>
      <c r="R174" s="8" t="s">
        <v>5090</v>
      </c>
      <c r="S174" s="8" t="s">
        <v>5091</v>
      </c>
      <c r="T174" s="3" t="s">
        <v>5092</v>
      </c>
      <c r="U174" s="3" t="s">
        <v>5095</v>
      </c>
      <c r="V174" s="3" t="s">
        <v>5096</v>
      </c>
      <c r="W174" s="3" t="s">
        <v>5097</v>
      </c>
      <c r="X174" s="44" t="s">
        <v>5098</v>
      </c>
      <c r="Y174" s="3" t="s">
        <v>5099</v>
      </c>
      <c r="Z174" s="3" t="s">
        <v>5099</v>
      </c>
      <c r="AA174" s="3" t="s">
        <v>5100</v>
      </c>
      <c r="AB174" s="3" t="s">
        <v>5100</v>
      </c>
      <c r="AC174" s="3" t="s">
        <v>5101</v>
      </c>
      <c r="AD174" s="3" t="s">
        <v>5102</v>
      </c>
      <c r="AE174" s="3" t="s">
        <v>5103</v>
      </c>
      <c r="AF174" s="3" t="s">
        <v>5104</v>
      </c>
      <c r="AG174" s="3" t="s">
        <v>5105</v>
      </c>
    </row>
    <row r="175" spans="1:33" ht="105" x14ac:dyDescent="0.25">
      <c r="A175" s="15" t="s">
        <v>71</v>
      </c>
      <c r="B175" s="15" t="s">
        <v>5024</v>
      </c>
      <c r="C175" s="9" t="s">
        <v>5027</v>
      </c>
      <c r="D175" s="8" t="s">
        <v>5030</v>
      </c>
      <c r="E175" s="8" t="s">
        <v>5078</v>
      </c>
      <c r="F175" s="9" t="s">
        <v>5077</v>
      </c>
      <c r="G175" s="8" t="s">
        <v>5075</v>
      </c>
      <c r="H175" s="8" t="s">
        <v>5074</v>
      </c>
      <c r="I175" s="8" t="s">
        <v>5073</v>
      </c>
      <c r="J175" s="9" t="s">
        <v>5072</v>
      </c>
      <c r="K175" s="9" t="s">
        <v>5071</v>
      </c>
      <c r="L175" s="8" t="s">
        <v>4831</v>
      </c>
      <c r="M175" s="8" t="s">
        <v>5107</v>
      </c>
      <c r="N175" s="8" t="s">
        <v>5070</v>
      </c>
      <c r="O175" s="8" t="s">
        <v>5069</v>
      </c>
      <c r="P175" s="8" t="s">
        <v>5068</v>
      </c>
      <c r="Q175" s="8" t="s">
        <v>5067</v>
      </c>
      <c r="R175" s="8" t="s">
        <v>5066</v>
      </c>
      <c r="S175" s="8" t="s">
        <v>5065</v>
      </c>
      <c r="T175" s="3" t="s">
        <v>5093</v>
      </c>
      <c r="U175" s="3" t="s">
        <v>5064</v>
      </c>
      <c r="V175" s="3" t="s">
        <v>5063</v>
      </c>
      <c r="W175" s="3" t="s">
        <v>5062</v>
      </c>
      <c r="X175" s="44" t="s">
        <v>5060</v>
      </c>
      <c r="Y175" s="3" t="s">
        <v>5059</v>
      </c>
      <c r="Z175" s="3" t="s">
        <v>5059</v>
      </c>
      <c r="AA175" s="3" t="s">
        <v>5058</v>
      </c>
      <c r="AB175" s="3" t="s">
        <v>5058</v>
      </c>
      <c r="AC175" s="3" t="s">
        <v>5057</v>
      </c>
      <c r="AD175" s="3" t="s">
        <v>5056</v>
      </c>
      <c r="AE175" s="3" t="s">
        <v>5055</v>
      </c>
      <c r="AF175" s="3" t="s">
        <v>5054</v>
      </c>
      <c r="AG175" s="3" t="s">
        <v>5053</v>
      </c>
    </row>
    <row r="176" spans="1:33" ht="105" x14ac:dyDescent="0.25">
      <c r="A176" s="15" t="s">
        <v>71</v>
      </c>
      <c r="B176" s="15" t="s">
        <v>5025</v>
      </c>
      <c r="C176" s="9" t="s">
        <v>5028</v>
      </c>
      <c r="D176" s="8" t="s">
        <v>5031</v>
      </c>
      <c r="E176" s="8" t="s">
        <v>5032</v>
      </c>
      <c r="F176" s="9" t="s">
        <v>5033</v>
      </c>
      <c r="G176" s="8" t="s">
        <v>5076</v>
      </c>
      <c r="H176" s="8" t="s">
        <v>5034</v>
      </c>
      <c r="I176" s="8" t="s">
        <v>1452</v>
      </c>
      <c r="J176" s="9" t="s">
        <v>5035</v>
      </c>
      <c r="K176" s="9" t="s">
        <v>5036</v>
      </c>
      <c r="L176" s="8" t="s">
        <v>4831</v>
      </c>
      <c r="M176" s="8" t="s">
        <v>5108</v>
      </c>
      <c r="N176" s="8" t="s">
        <v>5037</v>
      </c>
      <c r="O176" s="8" t="s">
        <v>5038</v>
      </c>
      <c r="P176" s="8" t="s">
        <v>5039</v>
      </c>
      <c r="Q176" s="8" t="s">
        <v>5040</v>
      </c>
      <c r="R176" s="8" t="s">
        <v>5041</v>
      </c>
      <c r="S176" s="8" t="s">
        <v>5042</v>
      </c>
      <c r="T176" s="3" t="s">
        <v>5094</v>
      </c>
      <c r="U176" s="3" t="s">
        <v>5043</v>
      </c>
      <c r="V176" s="3" t="s">
        <v>5044</v>
      </c>
      <c r="W176" s="3" t="s">
        <v>5045</v>
      </c>
      <c r="X176" s="44" t="s">
        <v>5061</v>
      </c>
      <c r="Y176" s="3" t="s">
        <v>5046</v>
      </c>
      <c r="Z176" s="3" t="s">
        <v>5046</v>
      </c>
      <c r="AA176" s="3" t="s">
        <v>5047</v>
      </c>
      <c r="AB176" s="3" t="s">
        <v>5047</v>
      </c>
      <c r="AC176" s="3" t="s">
        <v>5048</v>
      </c>
      <c r="AD176" s="3" t="s">
        <v>5049</v>
      </c>
      <c r="AE176" s="3" t="s">
        <v>5050</v>
      </c>
      <c r="AF176" s="3" t="s">
        <v>5051</v>
      </c>
      <c r="AG176" s="3" t="s">
        <v>5052</v>
      </c>
    </row>
    <row r="177" spans="1:33" ht="60" x14ac:dyDescent="0.25">
      <c r="A177" s="15" t="s">
        <v>71</v>
      </c>
      <c r="B177" s="15" t="s">
        <v>115</v>
      </c>
      <c r="C177" s="9" t="s">
        <v>939</v>
      </c>
      <c r="D177" s="8" t="s">
        <v>3086</v>
      </c>
      <c r="E177" s="8" t="s">
        <v>1247</v>
      </c>
      <c r="F177" s="9" t="s">
        <v>1142</v>
      </c>
      <c r="G177" s="8" t="s">
        <v>2131</v>
      </c>
      <c r="H177" s="16" t="s">
        <v>2291</v>
      </c>
      <c r="I177" s="8" t="s">
        <v>1453</v>
      </c>
      <c r="J177" s="16" t="s">
        <v>1347</v>
      </c>
      <c r="K177" s="16" t="s">
        <v>1553</v>
      </c>
      <c r="L177" s="8" t="s">
        <v>4832</v>
      </c>
      <c r="M177" s="8" t="s">
        <v>3595</v>
      </c>
      <c r="N177" s="8" t="s">
        <v>1632</v>
      </c>
      <c r="O177" s="8" t="s">
        <v>3314</v>
      </c>
      <c r="P177" s="8" t="s">
        <v>1721</v>
      </c>
      <c r="Q177" s="8" t="s">
        <v>2467</v>
      </c>
      <c r="R177" s="8" t="s">
        <v>2609</v>
      </c>
      <c r="S177" s="8" t="s">
        <v>3823</v>
      </c>
      <c r="T177" s="3" t="s">
        <v>3702</v>
      </c>
      <c r="U177" s="3" t="s">
        <v>4993</v>
      </c>
      <c r="V177" s="3" t="s">
        <v>1819</v>
      </c>
      <c r="W177" s="3" t="s">
        <v>2898</v>
      </c>
      <c r="X177" s="44" t="s">
        <v>4607</v>
      </c>
      <c r="Y177" s="3" t="s">
        <v>1908</v>
      </c>
      <c r="Z177" s="3" t="s">
        <v>1908</v>
      </c>
      <c r="AA177" s="3" t="s">
        <v>1163</v>
      </c>
      <c r="AB177" s="3" t="s">
        <v>1163</v>
      </c>
      <c r="AC177" s="3" t="s">
        <v>2011</v>
      </c>
      <c r="AD177" s="3" t="s">
        <v>4394</v>
      </c>
      <c r="AE177" s="3" t="s">
        <v>3449</v>
      </c>
      <c r="AF177" s="3" t="s">
        <v>4157</v>
      </c>
      <c r="AG177" s="3" t="s">
        <v>4712</v>
      </c>
    </row>
    <row r="178" spans="1:33" ht="30" x14ac:dyDescent="0.25">
      <c r="A178" s="15" t="s">
        <v>71</v>
      </c>
      <c r="B178" s="15" t="s">
        <v>859</v>
      </c>
      <c r="C178" s="3" t="s">
        <v>1007</v>
      </c>
      <c r="D178" s="3" t="s">
        <v>3087</v>
      </c>
      <c r="E178" s="3" t="s">
        <v>1248</v>
      </c>
      <c r="F178" s="3" t="s">
        <v>1143</v>
      </c>
      <c r="G178" s="3" t="s">
        <v>2132</v>
      </c>
      <c r="H178" s="3" t="s">
        <v>2292</v>
      </c>
      <c r="I178" s="3" t="s">
        <v>1454</v>
      </c>
      <c r="J178" s="3" t="s">
        <v>1348</v>
      </c>
      <c r="K178" s="3" t="s">
        <v>1554</v>
      </c>
      <c r="L178" s="3" t="s">
        <v>4833</v>
      </c>
      <c r="M178" s="3" t="s">
        <v>3596</v>
      </c>
      <c r="N178" s="3" t="s">
        <v>1633</v>
      </c>
      <c r="O178" s="3" t="s">
        <v>3315</v>
      </c>
      <c r="P178" s="3" t="s">
        <v>1722</v>
      </c>
      <c r="Q178" s="3" t="s">
        <v>2468</v>
      </c>
      <c r="R178" s="3" t="s">
        <v>2610</v>
      </c>
      <c r="S178" s="3" t="s">
        <v>3824</v>
      </c>
      <c r="T178" s="3" t="s">
        <v>3703</v>
      </c>
      <c r="U178" s="3" t="s">
        <v>4994</v>
      </c>
      <c r="V178" s="3" t="s">
        <v>3373</v>
      </c>
      <c r="W178" s="3" t="s">
        <v>2899</v>
      </c>
      <c r="X178" s="44" t="s">
        <v>4608</v>
      </c>
      <c r="Y178" s="3" t="s">
        <v>1909</v>
      </c>
      <c r="Z178" s="3" t="s">
        <v>1909</v>
      </c>
      <c r="AA178" s="3" t="s">
        <v>1071</v>
      </c>
      <c r="AB178" s="3" t="s">
        <v>1071</v>
      </c>
      <c r="AC178" s="3" t="s">
        <v>2012</v>
      </c>
      <c r="AD178" s="3" t="s">
        <v>4395</v>
      </c>
      <c r="AE178" s="3" t="s">
        <v>4500</v>
      </c>
      <c r="AF178" s="3" t="s">
        <v>4158</v>
      </c>
      <c r="AG178" s="3" t="s">
        <v>4713</v>
      </c>
    </row>
    <row r="179" spans="1:33" ht="60" x14ac:dyDescent="0.25">
      <c r="A179" s="15" t="s">
        <v>71</v>
      </c>
      <c r="B179" s="15" t="s">
        <v>861</v>
      </c>
      <c r="C179" s="3" t="s">
        <v>906</v>
      </c>
      <c r="D179" s="3" t="s">
        <v>3088</v>
      </c>
      <c r="E179" s="3" t="s">
        <v>1249</v>
      </c>
      <c r="F179" s="3" t="s">
        <v>1144</v>
      </c>
      <c r="G179" s="3" t="s">
        <v>2133</v>
      </c>
      <c r="H179" s="3" t="s">
        <v>2293</v>
      </c>
      <c r="I179" s="3" t="s">
        <v>1455</v>
      </c>
      <c r="J179" s="3" t="s">
        <v>1349</v>
      </c>
      <c r="K179" s="3" t="s">
        <v>1555</v>
      </c>
      <c r="L179" s="3" t="s">
        <v>4864</v>
      </c>
      <c r="M179" s="3" t="s">
        <v>3597</v>
      </c>
      <c r="N179" s="3" t="s">
        <v>1634</v>
      </c>
      <c r="O179" s="3" t="s">
        <v>3316</v>
      </c>
      <c r="P179" s="3" t="s">
        <v>1723</v>
      </c>
      <c r="Q179" s="3" t="s">
        <v>2469</v>
      </c>
      <c r="R179" s="3" t="s">
        <v>2611</v>
      </c>
      <c r="S179" s="3" t="s">
        <v>2677</v>
      </c>
      <c r="T179" s="3" t="s">
        <v>3669</v>
      </c>
      <c r="U179" s="3" t="s">
        <v>4995</v>
      </c>
      <c r="V179" s="3" t="s">
        <v>1820</v>
      </c>
      <c r="W179" s="3" t="s">
        <v>2900</v>
      </c>
      <c r="X179" s="44" t="s">
        <v>4609</v>
      </c>
      <c r="Y179" s="3" t="s">
        <v>1910</v>
      </c>
      <c r="Z179" s="3" t="s">
        <v>1910</v>
      </c>
      <c r="AA179" s="3" t="s">
        <v>1164</v>
      </c>
      <c r="AB179" s="3" t="s">
        <v>4003</v>
      </c>
      <c r="AC179" s="3" t="s">
        <v>2013</v>
      </c>
      <c r="AD179" s="3" t="s">
        <v>4396</v>
      </c>
      <c r="AE179" s="3" t="s">
        <v>4501</v>
      </c>
      <c r="AF179" s="3" t="s">
        <v>4159</v>
      </c>
      <c r="AG179" s="3" t="s">
        <v>4714</v>
      </c>
    </row>
    <row r="180" spans="1:33" ht="30" x14ac:dyDescent="0.25">
      <c r="A180" s="15" t="s">
        <v>71</v>
      </c>
      <c r="B180" s="15" t="s">
        <v>860</v>
      </c>
      <c r="C180" s="3" t="s">
        <v>1008</v>
      </c>
      <c r="D180" s="3" t="s">
        <v>3089</v>
      </c>
      <c r="E180" s="3" t="s">
        <v>1250</v>
      </c>
      <c r="F180" s="3" t="s">
        <v>1145</v>
      </c>
      <c r="G180" s="3" t="s">
        <v>2134</v>
      </c>
      <c r="H180" s="3" t="s">
        <v>2294</v>
      </c>
      <c r="I180" s="3" t="s">
        <v>1456</v>
      </c>
      <c r="J180" s="3" t="s">
        <v>1350</v>
      </c>
      <c r="K180" s="3" t="s">
        <v>1556</v>
      </c>
      <c r="L180" s="3" t="s">
        <v>2331</v>
      </c>
      <c r="M180" s="3" t="s">
        <v>3598</v>
      </c>
      <c r="N180" s="3" t="s">
        <v>1635</v>
      </c>
      <c r="O180" s="3" t="s">
        <v>3317</v>
      </c>
      <c r="P180" s="3" t="s">
        <v>1724</v>
      </c>
      <c r="Q180" s="3" t="s">
        <v>2470</v>
      </c>
      <c r="R180" s="3" t="s">
        <v>2612</v>
      </c>
      <c r="S180" s="3" t="s">
        <v>2678</v>
      </c>
      <c r="T180" s="3" t="s">
        <v>2726</v>
      </c>
      <c r="U180" s="3" t="s">
        <v>2773</v>
      </c>
      <c r="V180" s="3" t="s">
        <v>1821</v>
      </c>
      <c r="W180" s="3" t="s">
        <v>2901</v>
      </c>
      <c r="X180" s="44" t="s">
        <v>2949</v>
      </c>
      <c r="Y180" s="3" t="s">
        <v>1911</v>
      </c>
      <c r="Z180" s="3" t="s">
        <v>1911</v>
      </c>
      <c r="AA180" s="3" t="s">
        <v>1072</v>
      </c>
      <c r="AB180" s="3" t="s">
        <v>1072</v>
      </c>
      <c r="AC180" s="3" t="s">
        <v>2014</v>
      </c>
      <c r="AD180" s="3" t="s">
        <v>4397</v>
      </c>
      <c r="AE180" s="3" t="s">
        <v>3450</v>
      </c>
      <c r="AF180" s="3" t="s">
        <v>4160</v>
      </c>
      <c r="AG180" s="3" t="s">
        <v>2068</v>
      </c>
    </row>
    <row r="181" spans="1:33" x14ac:dyDescent="0.25">
      <c r="A181" s="15" t="s">
        <v>71</v>
      </c>
      <c r="B181" s="15" t="s">
        <v>385</v>
      </c>
      <c r="C181" s="9" t="s">
        <v>1009</v>
      </c>
      <c r="D181" s="9" t="s">
        <v>3090</v>
      </c>
      <c r="E181" s="9" t="s">
        <v>1251</v>
      </c>
      <c r="F181" s="9" t="s">
        <v>1146</v>
      </c>
      <c r="G181" s="9" t="s">
        <v>2135</v>
      </c>
      <c r="H181" s="9" t="s">
        <v>2295</v>
      </c>
      <c r="I181" s="9" t="s">
        <v>1457</v>
      </c>
      <c r="J181" s="9" t="s">
        <v>1351</v>
      </c>
      <c r="K181" s="9" t="s">
        <v>1557</v>
      </c>
      <c r="L181" s="9" t="s">
        <v>2332</v>
      </c>
      <c r="M181" s="9" t="s">
        <v>3599</v>
      </c>
      <c r="N181" s="9" t="s">
        <v>1636</v>
      </c>
      <c r="O181" s="9" t="s">
        <v>3318</v>
      </c>
      <c r="P181" s="9" t="s">
        <v>1725</v>
      </c>
      <c r="Q181" s="9" t="s">
        <v>2471</v>
      </c>
      <c r="R181" s="9" t="s">
        <v>2613</v>
      </c>
      <c r="S181" s="9" t="s">
        <v>2679</v>
      </c>
      <c r="T181" s="3" t="s">
        <v>4409</v>
      </c>
      <c r="U181" s="3" t="s">
        <v>2774</v>
      </c>
      <c r="V181" s="3" t="s">
        <v>3374</v>
      </c>
      <c r="W181" s="3" t="s">
        <v>2471</v>
      </c>
      <c r="X181" s="44" t="s">
        <v>2950</v>
      </c>
      <c r="Y181" s="3" t="s">
        <v>1912</v>
      </c>
      <c r="Z181" s="3" t="s">
        <v>1912</v>
      </c>
      <c r="AA181" s="3" t="s">
        <v>1073</v>
      </c>
      <c r="AB181" s="3" t="s">
        <v>1073</v>
      </c>
      <c r="AC181" s="3" t="s">
        <v>2015</v>
      </c>
      <c r="AD181" s="3" t="s">
        <v>4398</v>
      </c>
      <c r="AE181" s="3" t="s">
        <v>3451</v>
      </c>
      <c r="AF181" s="3" t="s">
        <v>4161</v>
      </c>
      <c r="AG181" s="3" t="s">
        <v>2069</v>
      </c>
    </row>
    <row r="182" spans="1:33" x14ac:dyDescent="0.25">
      <c r="A182" s="15" t="s">
        <v>71</v>
      </c>
      <c r="B182" s="15" t="s">
        <v>869</v>
      </c>
      <c r="C182" s="3" t="s">
        <v>869</v>
      </c>
      <c r="D182" s="3" t="s">
        <v>3091</v>
      </c>
      <c r="E182" s="3" t="s">
        <v>5003</v>
      </c>
      <c r="F182" s="3" t="s">
        <v>1147</v>
      </c>
      <c r="G182" s="3" t="s">
        <v>2136</v>
      </c>
      <c r="H182" s="3" t="s">
        <v>2296</v>
      </c>
      <c r="I182" s="3" t="s">
        <v>1458</v>
      </c>
      <c r="J182" s="3" t="s">
        <v>1352</v>
      </c>
      <c r="K182" s="3" t="s">
        <v>1558</v>
      </c>
      <c r="L182" s="3" t="s">
        <v>4834</v>
      </c>
      <c r="M182" s="3" t="s">
        <v>3600</v>
      </c>
      <c r="N182" s="3" t="s">
        <v>1637</v>
      </c>
      <c r="O182" s="3" t="s">
        <v>3319</v>
      </c>
      <c r="P182" s="3" t="s">
        <v>1726</v>
      </c>
      <c r="Q182" s="3" t="s">
        <v>2472</v>
      </c>
      <c r="R182" s="3" t="s">
        <v>2614</v>
      </c>
      <c r="S182" s="3" t="s">
        <v>4846</v>
      </c>
      <c r="T182" s="3" t="s">
        <v>3670</v>
      </c>
      <c r="U182" s="3" t="s">
        <v>4996</v>
      </c>
      <c r="V182" s="3" t="s">
        <v>1822</v>
      </c>
      <c r="W182" s="3" t="s">
        <v>2902</v>
      </c>
      <c r="X182" s="44" t="s">
        <v>2951</v>
      </c>
      <c r="Y182" s="3" t="s">
        <v>1913</v>
      </c>
      <c r="Z182" s="3" t="s">
        <v>1913</v>
      </c>
      <c r="AA182" s="3" t="s">
        <v>1074</v>
      </c>
      <c r="AB182" s="3" t="s">
        <v>1074</v>
      </c>
      <c r="AC182" s="3" t="s">
        <v>2016</v>
      </c>
      <c r="AD182" s="3" t="s">
        <v>4399</v>
      </c>
      <c r="AE182" s="3" t="s">
        <v>4502</v>
      </c>
      <c r="AF182" s="3" t="s">
        <v>4162</v>
      </c>
      <c r="AG182" s="3" t="s">
        <v>2070</v>
      </c>
    </row>
    <row r="183" spans="1:33" s="2" customFormat="1" ht="30" x14ac:dyDescent="0.25">
      <c r="A183" s="17" t="s">
        <v>71</v>
      </c>
      <c r="B183" s="15" t="s">
        <v>382</v>
      </c>
      <c r="D183" s="2" t="s">
        <v>5173</v>
      </c>
      <c r="E183" s="2" t="s">
        <v>670</v>
      </c>
      <c r="F183" s="2" t="s">
        <v>4412</v>
      </c>
      <c r="G183" s="3" t="s">
        <v>4412</v>
      </c>
      <c r="I183" s="2" t="s">
        <v>521</v>
      </c>
      <c r="J183" s="2" t="s">
        <v>386</v>
      </c>
      <c r="K183" s="21" t="s">
        <v>466</v>
      </c>
      <c r="L183" s="2" t="s">
        <v>4865</v>
      </c>
      <c r="N183" s="2" t="s">
        <v>668</v>
      </c>
      <c r="P183" s="2" t="s">
        <v>664</v>
      </c>
      <c r="S183" s="2" t="s">
        <v>4411</v>
      </c>
      <c r="T183" s="2" t="s">
        <v>4410</v>
      </c>
      <c r="U183" s="2" t="s">
        <v>4997</v>
      </c>
      <c r="V183" s="2" t="s">
        <v>711</v>
      </c>
      <c r="X183" s="2" t="s">
        <v>4614</v>
      </c>
      <c r="Y183" s="2" t="s">
        <v>4223</v>
      </c>
      <c r="Z183" s="2" t="s">
        <v>595</v>
      </c>
      <c r="AA183" s="2" t="s">
        <v>3768</v>
      </c>
      <c r="AB183" s="2" t="s">
        <v>4238</v>
      </c>
      <c r="AC183" s="2" t="s">
        <v>369</v>
      </c>
      <c r="AD183" s="2" t="s">
        <v>4400</v>
      </c>
      <c r="AE183" s="2" t="s">
        <v>4414</v>
      </c>
      <c r="AG183" s="3" t="s">
        <v>482</v>
      </c>
    </row>
  </sheetData>
  <conditionalFormatting sqref="B155:B1048576 B1:B150">
    <cfRule type="duplicateValues" dxfId="2" priority="110"/>
  </conditionalFormatting>
  <conditionalFormatting sqref="B151:B154 C1:BB183">
    <cfRule type="containsBlanks" dxfId="1" priority="72">
      <formula>LEN(TRIM(B1))=0</formula>
    </cfRule>
  </conditionalFormatting>
  <hyperlinks>
    <hyperlink ref="A151" r:id="rId1" xr:uid="{191DA7DF-37EF-4A59-9D89-7EDC855F4E3B}"/>
    <hyperlink ref="A152" r:id="rId2" xr:uid="{2301A52F-3432-44C9-966E-33BE0680C4AB}"/>
  </hyperlinks>
  <pageMargins left="0.7" right="0.7" top="0.75" bottom="0.75" header="0.3" footer="0.3"/>
  <pageSetup paperSize="9" orientation="portrait" horizontalDpi="1200" verticalDpi="1200"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19C82-A0F9-45B6-96E6-AFC6615E1430}">
  <dimension ref="A1:Q45"/>
  <sheetViews>
    <sheetView showGridLines="0" workbookViewId="0">
      <selection activeCell="I5" sqref="I5"/>
    </sheetView>
  </sheetViews>
  <sheetFormatPr defaultColWidth="8.85546875" defaultRowHeight="15" x14ac:dyDescent="0.25"/>
  <cols>
    <col min="1" max="1" width="28" style="27" customWidth="1"/>
    <col min="2" max="3" width="15" customWidth="1"/>
    <col min="4" max="5" width="22.7109375" style="40" customWidth="1"/>
    <col min="6" max="6" width="27.42578125" customWidth="1"/>
    <col min="7" max="7" width="30.42578125" customWidth="1"/>
    <col min="8" max="9" width="38.28515625" customWidth="1"/>
    <col min="10" max="17" width="15" customWidth="1"/>
  </cols>
  <sheetData>
    <row r="1" spans="1:17" s="2" customFormat="1" ht="54" customHeight="1" x14ac:dyDescent="0.25">
      <c r="A1" s="47" t="s">
        <v>2149</v>
      </c>
      <c r="B1" s="47"/>
      <c r="C1" s="47"/>
      <c r="D1" s="47"/>
      <c r="E1" s="47"/>
      <c r="F1" s="47"/>
      <c r="G1" s="47"/>
      <c r="H1" s="47"/>
      <c r="I1" s="3"/>
      <c r="J1" s="3"/>
      <c r="K1" s="3"/>
      <c r="L1" s="3"/>
      <c r="M1" s="3"/>
      <c r="N1" s="3"/>
      <c r="O1" s="3"/>
      <c r="P1" s="3"/>
      <c r="Q1" s="3"/>
    </row>
    <row r="2" spans="1:17" ht="54" customHeight="1" x14ac:dyDescent="0.25">
      <c r="A2" s="48" t="s">
        <v>3321</v>
      </c>
      <c r="B2" s="48" t="s">
        <v>1030</v>
      </c>
      <c r="C2" s="48" t="s">
        <v>3099</v>
      </c>
      <c r="D2" s="48" t="s">
        <v>3102</v>
      </c>
      <c r="E2" s="48"/>
      <c r="F2" s="48" t="s">
        <v>4719</v>
      </c>
      <c r="G2" s="48" t="s">
        <v>3104</v>
      </c>
      <c r="H2" s="48" t="s">
        <v>4720</v>
      </c>
      <c r="I2" s="48" t="s">
        <v>5280</v>
      </c>
    </row>
    <row r="3" spans="1:17" ht="56.25" customHeight="1" x14ac:dyDescent="0.25">
      <c r="A3" s="49"/>
      <c r="B3" s="49"/>
      <c r="C3" s="49"/>
      <c r="D3" s="41" t="s">
        <v>3103</v>
      </c>
      <c r="E3" s="41" t="s">
        <v>3105</v>
      </c>
      <c r="F3" s="49"/>
      <c r="G3" s="49"/>
      <c r="H3" s="49"/>
      <c r="I3" s="49"/>
    </row>
    <row r="4" spans="1:17" ht="15" customHeight="1" x14ac:dyDescent="0.25">
      <c r="A4" s="34"/>
      <c r="B4" s="36"/>
      <c r="C4" s="36"/>
      <c r="D4" s="35"/>
      <c r="E4" s="35"/>
      <c r="F4" s="36"/>
      <c r="G4" s="36"/>
      <c r="H4" s="36"/>
      <c r="I4" s="36"/>
    </row>
    <row r="5" spans="1:17" x14ac:dyDescent="0.25">
      <c r="A5" s="28" t="s">
        <v>3092</v>
      </c>
      <c r="B5" s="28" t="s">
        <v>3097</v>
      </c>
      <c r="C5" s="28" t="s">
        <v>3098</v>
      </c>
      <c r="D5" s="37" t="s">
        <v>3092</v>
      </c>
      <c r="E5" s="37" t="s">
        <v>3125</v>
      </c>
      <c r="F5" s="31" t="s">
        <v>4611</v>
      </c>
      <c r="G5" s="29" t="s">
        <v>5172</v>
      </c>
      <c r="H5" s="29" t="s">
        <v>5173</v>
      </c>
      <c r="I5" s="29" t="s">
        <v>119</v>
      </c>
    </row>
    <row r="6" spans="1:17" x14ac:dyDescent="0.25">
      <c r="A6" s="30" t="s">
        <v>211</v>
      </c>
      <c r="B6" s="31" t="s">
        <v>2150</v>
      </c>
      <c r="C6" s="31" t="s">
        <v>3096</v>
      </c>
      <c r="D6" s="38" t="s">
        <v>211</v>
      </c>
      <c r="E6" s="38" t="s">
        <v>366</v>
      </c>
      <c r="F6" s="31" t="s">
        <v>3353</v>
      </c>
      <c r="G6" s="32" t="s">
        <v>4004</v>
      </c>
      <c r="H6" s="32" t="s">
        <v>4004</v>
      </c>
      <c r="I6" s="32" t="s">
        <v>119</v>
      </c>
    </row>
    <row r="7" spans="1:17" x14ac:dyDescent="0.25">
      <c r="A7" s="30" t="s">
        <v>381</v>
      </c>
      <c r="B7" s="31" t="s">
        <v>2150</v>
      </c>
      <c r="C7" s="31" t="s">
        <v>3096</v>
      </c>
      <c r="D7" s="38" t="s">
        <v>381</v>
      </c>
      <c r="E7" s="38" t="s">
        <v>617</v>
      </c>
      <c r="F7" s="31" t="s">
        <v>4005</v>
      </c>
      <c r="G7" s="32" t="s">
        <v>4412</v>
      </c>
      <c r="H7" s="32" t="s">
        <v>4412</v>
      </c>
      <c r="I7" s="32" t="s">
        <v>119</v>
      </c>
    </row>
    <row r="8" spans="1:17" x14ac:dyDescent="0.25">
      <c r="A8" s="30" t="s">
        <v>171</v>
      </c>
      <c r="B8" s="31" t="s">
        <v>2150</v>
      </c>
      <c r="C8" s="31" t="s">
        <v>3096</v>
      </c>
      <c r="D8" s="38" t="s">
        <v>171</v>
      </c>
      <c r="E8" s="38" t="s">
        <v>616</v>
      </c>
      <c r="F8" s="31" t="s">
        <v>4006</v>
      </c>
      <c r="G8" s="32" t="s">
        <v>4412</v>
      </c>
      <c r="H8" s="32" t="s">
        <v>4412</v>
      </c>
      <c r="I8" s="32" t="s">
        <v>119</v>
      </c>
    </row>
    <row r="9" spans="1:17" x14ac:dyDescent="0.25">
      <c r="A9" s="31" t="s">
        <v>2297</v>
      </c>
      <c r="B9" s="31" t="s">
        <v>3097</v>
      </c>
      <c r="C9" s="31" t="s">
        <v>3096</v>
      </c>
      <c r="D9" s="38" t="s">
        <v>2297</v>
      </c>
      <c r="E9" s="38" t="s">
        <v>3116</v>
      </c>
      <c r="F9" s="31" t="s">
        <v>3353</v>
      </c>
      <c r="G9" s="32"/>
      <c r="H9" s="32"/>
      <c r="I9" s="32" t="s">
        <v>119</v>
      </c>
    </row>
    <row r="10" spans="1:17" x14ac:dyDescent="0.25">
      <c r="A10" s="30" t="s">
        <v>112</v>
      </c>
      <c r="B10" s="31" t="s">
        <v>2150</v>
      </c>
      <c r="C10" s="31" t="s">
        <v>3096</v>
      </c>
      <c r="D10" s="38" t="s">
        <v>112</v>
      </c>
      <c r="E10" s="38" t="s">
        <v>255</v>
      </c>
      <c r="F10" s="31" t="s">
        <v>3353</v>
      </c>
      <c r="G10" s="32"/>
      <c r="H10" s="32"/>
      <c r="I10" s="32" t="s">
        <v>119</v>
      </c>
    </row>
    <row r="11" spans="1:17" x14ac:dyDescent="0.25">
      <c r="A11" s="30" t="s">
        <v>111</v>
      </c>
      <c r="B11" s="31" t="s">
        <v>2150</v>
      </c>
      <c r="C11" s="31" t="s">
        <v>3096</v>
      </c>
      <c r="D11" s="38" t="s">
        <v>111</v>
      </c>
      <c r="E11" s="38" t="s">
        <v>183</v>
      </c>
      <c r="F11" s="31" t="s">
        <v>3353</v>
      </c>
      <c r="G11" s="32"/>
      <c r="H11" s="32"/>
      <c r="I11" s="32" t="s">
        <v>119</v>
      </c>
    </row>
    <row r="12" spans="1:17" x14ac:dyDescent="0.25">
      <c r="A12" s="30" t="s">
        <v>110</v>
      </c>
      <c r="B12" s="31" t="s">
        <v>2150</v>
      </c>
      <c r="C12" s="31" t="s">
        <v>3096</v>
      </c>
      <c r="D12" s="38" t="s">
        <v>110</v>
      </c>
      <c r="E12" s="38" t="s">
        <v>254</v>
      </c>
      <c r="F12" s="31" t="s">
        <v>3353</v>
      </c>
      <c r="G12" s="45" t="s">
        <v>466</v>
      </c>
      <c r="H12" s="45" t="s">
        <v>4618</v>
      </c>
      <c r="I12" s="45" t="s">
        <v>119</v>
      </c>
    </row>
    <row r="13" spans="1:17" x14ac:dyDescent="0.25">
      <c r="A13" s="31" t="s">
        <v>2333</v>
      </c>
      <c r="B13" s="31" t="s">
        <v>3097</v>
      </c>
      <c r="C13" s="31" t="s">
        <v>3096</v>
      </c>
      <c r="D13" s="38" t="s">
        <v>2333</v>
      </c>
      <c r="E13" s="38" t="s">
        <v>3117</v>
      </c>
      <c r="F13" s="31" t="s">
        <v>3353</v>
      </c>
      <c r="G13" s="32"/>
      <c r="H13" s="32"/>
      <c r="I13" s="32" t="s">
        <v>119</v>
      </c>
    </row>
    <row r="14" spans="1:17" x14ac:dyDescent="0.25">
      <c r="A14" s="31" t="s">
        <v>3601</v>
      </c>
      <c r="B14" s="31" t="s">
        <v>3097</v>
      </c>
      <c r="C14" s="31" t="s">
        <v>3096</v>
      </c>
      <c r="D14" s="38" t="s">
        <v>3601</v>
      </c>
      <c r="E14" s="38" t="s">
        <v>3602</v>
      </c>
      <c r="F14" s="31" t="s">
        <v>3353</v>
      </c>
      <c r="G14" s="32"/>
      <c r="H14" s="32"/>
      <c r="I14" s="32" t="s">
        <v>119</v>
      </c>
    </row>
    <row r="15" spans="1:17" x14ac:dyDescent="0.25">
      <c r="A15" s="30" t="s">
        <v>109</v>
      </c>
      <c r="B15" s="31" t="s">
        <v>2150</v>
      </c>
      <c r="C15" s="31" t="s">
        <v>3096</v>
      </c>
      <c r="D15" s="38" t="s">
        <v>109</v>
      </c>
      <c r="E15" s="38" t="s">
        <v>608</v>
      </c>
      <c r="F15" s="31" t="s">
        <v>3353</v>
      </c>
      <c r="G15" s="32" t="s">
        <v>4718</v>
      </c>
      <c r="H15" s="32" t="s">
        <v>4718</v>
      </c>
      <c r="I15" s="32" t="s">
        <v>119</v>
      </c>
    </row>
    <row r="16" spans="1:17" x14ac:dyDescent="0.25">
      <c r="A16" s="33" t="s">
        <v>3169</v>
      </c>
      <c r="B16" s="32" t="s">
        <v>3097</v>
      </c>
      <c r="C16" s="32" t="s">
        <v>3096</v>
      </c>
      <c r="D16" s="39" t="s">
        <v>3169</v>
      </c>
      <c r="E16" s="39" t="s">
        <v>3170</v>
      </c>
      <c r="F16" s="32" t="s">
        <v>3353</v>
      </c>
      <c r="G16" s="32"/>
      <c r="H16" s="32"/>
      <c r="I16" s="32" t="s">
        <v>119</v>
      </c>
    </row>
    <row r="17" spans="1:9" x14ac:dyDescent="0.25">
      <c r="A17" s="30" t="s">
        <v>522</v>
      </c>
      <c r="B17" s="31" t="s">
        <v>2150</v>
      </c>
      <c r="C17" s="31" t="s">
        <v>3096</v>
      </c>
      <c r="D17" s="38" t="s">
        <v>522</v>
      </c>
      <c r="E17" s="38" t="s">
        <v>522</v>
      </c>
      <c r="F17" s="31" t="s">
        <v>3353</v>
      </c>
      <c r="G17" s="32"/>
      <c r="H17" s="32"/>
      <c r="I17" s="32" t="s">
        <v>119</v>
      </c>
    </row>
    <row r="18" spans="1:9" x14ac:dyDescent="0.25">
      <c r="A18" s="31" t="s">
        <v>2473</v>
      </c>
      <c r="B18" s="31" t="s">
        <v>3097</v>
      </c>
      <c r="C18" s="31" t="s">
        <v>3096</v>
      </c>
      <c r="D18" s="38" t="s">
        <v>2473</v>
      </c>
      <c r="E18" s="38" t="s">
        <v>3118</v>
      </c>
      <c r="F18" s="31" t="s">
        <v>4007</v>
      </c>
      <c r="G18" s="32"/>
      <c r="H18" s="32"/>
      <c r="I18" s="32" t="s">
        <v>119</v>
      </c>
    </row>
    <row r="19" spans="1:9" x14ac:dyDescent="0.25">
      <c r="A19" s="31" t="s">
        <v>2615</v>
      </c>
      <c r="B19" s="31" t="s">
        <v>3097</v>
      </c>
      <c r="C19" s="31" t="s">
        <v>3096</v>
      </c>
      <c r="D19" s="38" t="s">
        <v>2615</v>
      </c>
      <c r="E19" s="38" t="s">
        <v>3119</v>
      </c>
      <c r="F19" s="31" t="s">
        <v>3353</v>
      </c>
      <c r="G19" s="32"/>
      <c r="H19" s="32"/>
      <c r="I19" s="32" t="s">
        <v>119</v>
      </c>
    </row>
    <row r="20" spans="1:9" x14ac:dyDescent="0.25">
      <c r="A20" s="31" t="s">
        <v>2680</v>
      </c>
      <c r="B20" s="31" t="s">
        <v>3097</v>
      </c>
      <c r="C20" s="31" t="s">
        <v>3096</v>
      </c>
      <c r="D20" s="38" t="s">
        <v>2680</v>
      </c>
      <c r="E20" s="38" t="s">
        <v>3120</v>
      </c>
      <c r="F20" s="31" t="s">
        <v>3353</v>
      </c>
      <c r="G20" s="32"/>
      <c r="H20" s="32"/>
      <c r="I20" s="32" t="s">
        <v>119</v>
      </c>
    </row>
    <row r="21" spans="1:9" x14ac:dyDescent="0.25">
      <c r="A21" s="31" t="s">
        <v>2727</v>
      </c>
      <c r="B21" s="31" t="s">
        <v>3097</v>
      </c>
      <c r="C21" s="31" t="s">
        <v>3096</v>
      </c>
      <c r="D21" s="38" t="s">
        <v>2727</v>
      </c>
      <c r="E21" s="38" t="s">
        <v>3121</v>
      </c>
      <c r="F21" s="31" t="s">
        <v>4008</v>
      </c>
      <c r="G21" s="32" t="s">
        <v>4413</v>
      </c>
      <c r="H21" s="32" t="s">
        <v>4408</v>
      </c>
      <c r="I21" s="32" t="s">
        <v>119</v>
      </c>
    </row>
    <row r="22" spans="1:9" x14ac:dyDescent="0.25">
      <c r="A22" s="31" t="s">
        <v>3093</v>
      </c>
      <c r="B22" s="31" t="s">
        <v>3097</v>
      </c>
      <c r="C22" s="31" t="s">
        <v>3096</v>
      </c>
      <c r="D22" s="38" t="s">
        <v>3093</v>
      </c>
      <c r="E22" s="38" t="s">
        <v>3122</v>
      </c>
      <c r="F22" s="31" t="s">
        <v>4009</v>
      </c>
      <c r="G22" s="32"/>
      <c r="H22" s="32"/>
      <c r="I22" s="32" t="s">
        <v>119</v>
      </c>
    </row>
    <row r="23" spans="1:9" x14ac:dyDescent="0.25">
      <c r="A23" s="30" t="s">
        <v>108</v>
      </c>
      <c r="B23" s="31" t="s">
        <v>2150</v>
      </c>
      <c r="C23" s="31" t="s">
        <v>3096</v>
      </c>
      <c r="D23" s="38" t="s">
        <v>108</v>
      </c>
      <c r="E23" s="38" t="s">
        <v>108</v>
      </c>
      <c r="F23" s="31" t="s">
        <v>3353</v>
      </c>
      <c r="G23" s="32"/>
      <c r="H23" s="32"/>
      <c r="I23" s="32" t="s">
        <v>119</v>
      </c>
    </row>
    <row r="24" spans="1:9" x14ac:dyDescent="0.25">
      <c r="A24" s="31" t="s">
        <v>3094</v>
      </c>
      <c r="B24" s="31" t="s">
        <v>3097</v>
      </c>
      <c r="C24" s="31" t="s">
        <v>3096</v>
      </c>
      <c r="D24" s="38" t="s">
        <v>3094</v>
      </c>
      <c r="E24" s="38" t="s">
        <v>3123</v>
      </c>
      <c r="F24" s="31" t="s">
        <v>4007</v>
      </c>
      <c r="G24" s="32"/>
      <c r="H24" s="32"/>
      <c r="I24" s="32" t="s">
        <v>119</v>
      </c>
    </row>
    <row r="25" spans="1:9" x14ac:dyDescent="0.25">
      <c r="A25" s="31" t="s">
        <v>3095</v>
      </c>
      <c r="B25" s="31" t="s">
        <v>3097</v>
      </c>
      <c r="C25" s="31" t="s">
        <v>3098</v>
      </c>
      <c r="D25" s="38" t="s">
        <v>3095</v>
      </c>
      <c r="E25" s="38" t="s">
        <v>3124</v>
      </c>
      <c r="F25" s="31" t="s">
        <v>4611</v>
      </c>
      <c r="G25" s="31" t="s">
        <v>4614</v>
      </c>
      <c r="H25" s="31" t="s">
        <v>4614</v>
      </c>
      <c r="I25" s="31" t="s">
        <v>119</v>
      </c>
    </row>
    <row r="26" spans="1:9" x14ac:dyDescent="0.25">
      <c r="A26" s="30" t="s">
        <v>73</v>
      </c>
      <c r="B26" s="31" t="s">
        <v>2150</v>
      </c>
      <c r="C26" s="31" t="s">
        <v>3096</v>
      </c>
      <c r="D26" s="38" t="s">
        <v>73</v>
      </c>
      <c r="E26" s="38" t="s">
        <v>724</v>
      </c>
      <c r="F26" s="31" t="s">
        <v>3353</v>
      </c>
      <c r="G26" s="32" t="s">
        <v>4223</v>
      </c>
      <c r="H26" s="32" t="s">
        <v>4223</v>
      </c>
      <c r="I26" s="32" t="s">
        <v>119</v>
      </c>
    </row>
    <row r="27" spans="1:9" x14ac:dyDescent="0.25">
      <c r="A27" s="30" t="s">
        <v>74</v>
      </c>
      <c r="B27" s="31" t="s">
        <v>2150</v>
      </c>
      <c r="C27" s="31" t="s">
        <v>3096</v>
      </c>
      <c r="D27" s="38" t="s">
        <v>74</v>
      </c>
      <c r="E27" s="38" t="s">
        <v>3961</v>
      </c>
      <c r="F27" s="31" t="s">
        <v>3353</v>
      </c>
      <c r="G27" s="32" t="s">
        <v>595</v>
      </c>
      <c r="H27" s="32" t="s">
        <v>595</v>
      </c>
      <c r="I27" s="32" t="s">
        <v>119</v>
      </c>
    </row>
    <row r="28" spans="1:9" x14ac:dyDescent="0.25">
      <c r="A28" s="30" t="s">
        <v>269</v>
      </c>
      <c r="B28" s="31" t="s">
        <v>2150</v>
      </c>
      <c r="C28" s="31" t="s">
        <v>3096</v>
      </c>
      <c r="D28" s="38" t="s">
        <v>269</v>
      </c>
      <c r="E28" s="38" t="s">
        <v>725</v>
      </c>
      <c r="F28" s="31" t="s">
        <v>3353</v>
      </c>
      <c r="G28" s="32" t="s">
        <v>3768</v>
      </c>
      <c r="H28" s="32" t="s">
        <v>3768</v>
      </c>
      <c r="I28" s="32" t="s">
        <v>119</v>
      </c>
    </row>
    <row r="29" spans="1:9" x14ac:dyDescent="0.25">
      <c r="A29" s="30" t="s">
        <v>268</v>
      </c>
      <c r="B29" s="31" t="s">
        <v>2150</v>
      </c>
      <c r="C29" s="31" t="s">
        <v>3096</v>
      </c>
      <c r="D29" s="38" t="s">
        <v>268</v>
      </c>
      <c r="E29" s="38" t="s">
        <v>726</v>
      </c>
      <c r="F29" s="31" t="s">
        <v>3353</v>
      </c>
      <c r="G29" s="32" t="s">
        <v>4004</v>
      </c>
      <c r="H29" s="32" t="s">
        <v>4004</v>
      </c>
      <c r="I29" s="32" t="s">
        <v>119</v>
      </c>
    </row>
    <row r="30" spans="1:9" x14ac:dyDescent="0.25">
      <c r="A30" s="30" t="s">
        <v>107</v>
      </c>
      <c r="B30" s="31" t="s">
        <v>2150</v>
      </c>
      <c r="C30" s="31" t="s">
        <v>3096</v>
      </c>
      <c r="D30" s="38" t="s">
        <v>107</v>
      </c>
      <c r="E30" s="38" t="s">
        <v>623</v>
      </c>
      <c r="F30" s="31" t="s">
        <v>4010</v>
      </c>
      <c r="G30" s="32"/>
      <c r="H30" s="32"/>
      <c r="I30" s="32" t="s">
        <v>119</v>
      </c>
    </row>
    <row r="31" spans="1:9" x14ac:dyDescent="0.25">
      <c r="A31" s="30" t="s">
        <v>91</v>
      </c>
      <c r="B31" s="31" t="s">
        <v>2150</v>
      </c>
      <c r="C31" s="31" t="s">
        <v>3096</v>
      </c>
      <c r="D31" s="38" t="s">
        <v>91</v>
      </c>
      <c r="E31" s="38" t="s">
        <v>184</v>
      </c>
      <c r="F31" s="31" t="s">
        <v>4011</v>
      </c>
      <c r="G31" s="32"/>
      <c r="H31" s="32"/>
      <c r="I31" s="32" t="s">
        <v>119</v>
      </c>
    </row>
    <row r="32" spans="1:9" x14ac:dyDescent="0.25">
      <c r="A32" s="30" t="s">
        <v>3388</v>
      </c>
      <c r="B32" s="31" t="s">
        <v>2150</v>
      </c>
      <c r="C32" s="31" t="s">
        <v>3096</v>
      </c>
      <c r="D32" s="38" t="s">
        <v>3388</v>
      </c>
      <c r="E32" s="38" t="s">
        <v>3389</v>
      </c>
      <c r="F32" s="31" t="s">
        <v>3353</v>
      </c>
      <c r="G32" s="32" t="s">
        <v>4415</v>
      </c>
      <c r="H32" s="32" t="s">
        <v>4414</v>
      </c>
      <c r="I32" s="32" t="s">
        <v>119</v>
      </c>
    </row>
    <row r="33" spans="1:9" x14ac:dyDescent="0.25">
      <c r="A33" s="30" t="s">
        <v>4166</v>
      </c>
      <c r="B33" s="31" t="s">
        <v>3097</v>
      </c>
      <c r="C33" s="31" t="s">
        <v>3096</v>
      </c>
      <c r="D33" s="38" t="s">
        <v>4166</v>
      </c>
      <c r="E33" s="38" t="s">
        <v>4167</v>
      </c>
      <c r="F33" s="31" t="s">
        <v>3353</v>
      </c>
      <c r="G33" s="32"/>
      <c r="H33" s="32"/>
      <c r="I33" s="32" t="s">
        <v>119</v>
      </c>
    </row>
    <row r="34" spans="1:9" x14ac:dyDescent="0.25">
      <c r="A34" s="30" t="s">
        <v>106</v>
      </c>
      <c r="B34" s="31" t="s">
        <v>2150</v>
      </c>
      <c r="C34" s="31" t="s">
        <v>3096</v>
      </c>
      <c r="D34" s="38" t="s">
        <v>106</v>
      </c>
      <c r="E34" s="38" t="s">
        <v>467</v>
      </c>
      <c r="F34" s="31" t="s">
        <v>3353</v>
      </c>
      <c r="G34" s="32" t="s">
        <v>482</v>
      </c>
      <c r="H34" s="32" t="s">
        <v>482</v>
      </c>
      <c r="I34" s="32" t="s">
        <v>119</v>
      </c>
    </row>
    <row r="35" spans="1:9" x14ac:dyDescent="0.25">
      <c r="A35" s="33"/>
      <c r="B35" s="32"/>
      <c r="C35" s="32"/>
      <c r="D35" s="39"/>
      <c r="E35" s="39"/>
      <c r="F35" s="32"/>
      <c r="G35" s="32"/>
      <c r="H35" s="32"/>
      <c r="I35" s="32" t="s">
        <v>119</v>
      </c>
    </row>
    <row r="36" spans="1:9" x14ac:dyDescent="0.25">
      <c r="A36" s="33"/>
      <c r="B36" s="32"/>
      <c r="C36" s="32"/>
      <c r="D36" s="39"/>
      <c r="E36" s="39"/>
      <c r="F36" s="32"/>
      <c r="G36" s="32"/>
      <c r="H36" s="32"/>
      <c r="I36" s="32" t="s">
        <v>119</v>
      </c>
    </row>
    <row r="37" spans="1:9" x14ac:dyDescent="0.25">
      <c r="A37" s="33"/>
      <c r="B37" s="32"/>
      <c r="C37" s="32"/>
      <c r="D37" s="39"/>
      <c r="E37" s="39"/>
      <c r="F37" s="32"/>
      <c r="G37" s="32"/>
      <c r="H37" s="32"/>
      <c r="I37" s="32" t="s">
        <v>119</v>
      </c>
    </row>
    <row r="38" spans="1:9" x14ac:dyDescent="0.25">
      <c r="A38" s="33"/>
      <c r="B38" s="32"/>
      <c r="C38" s="32"/>
      <c r="D38" s="39"/>
      <c r="E38" s="39"/>
      <c r="F38" s="32"/>
      <c r="G38" s="32"/>
      <c r="H38" s="32"/>
      <c r="I38" s="32" t="s">
        <v>119</v>
      </c>
    </row>
    <row r="39" spans="1:9" x14ac:dyDescent="0.25">
      <c r="A39" s="33"/>
      <c r="B39" s="32"/>
      <c r="C39" s="32"/>
      <c r="D39" s="39"/>
      <c r="E39" s="39"/>
      <c r="F39" s="32"/>
      <c r="G39" s="32"/>
      <c r="H39" s="32"/>
      <c r="I39" s="32" t="s">
        <v>119</v>
      </c>
    </row>
    <row r="40" spans="1:9" x14ac:dyDescent="0.25">
      <c r="A40" s="33"/>
      <c r="B40" s="32"/>
      <c r="C40" s="32"/>
      <c r="D40" s="39"/>
      <c r="E40" s="39"/>
      <c r="F40" s="32"/>
      <c r="G40" s="32"/>
      <c r="H40" s="32"/>
      <c r="I40" s="32" t="s">
        <v>119</v>
      </c>
    </row>
    <row r="41" spans="1:9" x14ac:dyDescent="0.25">
      <c r="A41" s="33"/>
      <c r="B41" s="32"/>
      <c r="C41" s="32"/>
      <c r="D41" s="39"/>
      <c r="E41" s="39"/>
      <c r="F41" s="32"/>
      <c r="G41" s="32"/>
      <c r="H41" s="32"/>
      <c r="I41" s="32" t="s">
        <v>119</v>
      </c>
    </row>
    <row r="42" spans="1:9" x14ac:dyDescent="0.25">
      <c r="A42" s="33"/>
      <c r="B42" s="32"/>
      <c r="C42" s="32"/>
      <c r="D42" s="39"/>
      <c r="E42" s="39"/>
      <c r="F42" s="32"/>
      <c r="G42" s="32"/>
      <c r="H42" s="32"/>
      <c r="I42" s="32" t="s">
        <v>119</v>
      </c>
    </row>
    <row r="43" spans="1:9" x14ac:dyDescent="0.25">
      <c r="A43" s="33"/>
      <c r="B43" s="32"/>
      <c r="C43" s="32"/>
      <c r="D43" s="39"/>
      <c r="E43" s="39"/>
      <c r="F43" s="32"/>
      <c r="G43" s="32"/>
      <c r="H43" s="32"/>
      <c r="I43" s="32" t="s">
        <v>119</v>
      </c>
    </row>
    <row r="44" spans="1:9" x14ac:dyDescent="0.25">
      <c r="A44" s="33"/>
      <c r="B44" s="32"/>
      <c r="C44" s="32"/>
      <c r="D44" s="39"/>
      <c r="E44" s="39"/>
      <c r="F44" s="32"/>
      <c r="G44" s="32"/>
      <c r="H44" s="32"/>
      <c r="I44" s="32" t="s">
        <v>119</v>
      </c>
    </row>
    <row r="45" spans="1:9" x14ac:dyDescent="0.25">
      <c r="A45" s="33"/>
      <c r="B45" s="32"/>
      <c r="C45" s="32"/>
      <c r="D45" s="39"/>
      <c r="E45" s="39"/>
      <c r="F45" s="32"/>
      <c r="G45" s="32"/>
      <c r="H45" s="32"/>
      <c r="I45" s="32" t="s">
        <v>119</v>
      </c>
    </row>
  </sheetData>
  <autoFilter ref="A4:H4" xr:uid="{0D419C82-A0F9-45B6-96E6-AFC6615E1430}">
    <sortState xmlns:xlrd2="http://schemas.microsoft.com/office/spreadsheetml/2017/richdata2" ref="A5:H31">
      <sortCondition ref="A4"/>
    </sortState>
  </autoFilter>
  <mergeCells count="9">
    <mergeCell ref="I2:I3"/>
    <mergeCell ref="A1:H1"/>
    <mergeCell ref="D2:E2"/>
    <mergeCell ref="B2:B3"/>
    <mergeCell ref="C2:C3"/>
    <mergeCell ref="F2:F3"/>
    <mergeCell ref="G2:G3"/>
    <mergeCell ref="H2:H3"/>
    <mergeCell ref="A2:A3"/>
  </mergeCells>
  <conditionalFormatting sqref="A5:A20">
    <cfRule type="containsBlanks" dxfId="0" priority="1">
      <formula>LEN(TRIM(A5))=0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7"/>
  <sheetViews>
    <sheetView workbookViewId="0"/>
  </sheetViews>
  <sheetFormatPr defaultColWidth="8.85546875" defaultRowHeight="15" x14ac:dyDescent="0.25"/>
  <cols>
    <col min="1" max="1" width="27.28515625" customWidth="1"/>
    <col min="2" max="2" width="13.42578125" customWidth="1"/>
    <col min="3" max="3" width="20.42578125" customWidth="1"/>
    <col min="5" max="5" width="67" customWidth="1"/>
    <col min="6" max="6" width="9.42578125" customWidth="1"/>
    <col min="7" max="8" width="14.42578125" customWidth="1"/>
    <col min="9" max="9" width="12.85546875" customWidth="1"/>
    <col min="10" max="10" width="78.7109375" customWidth="1"/>
  </cols>
  <sheetData>
    <row r="1" spans="1:11" x14ac:dyDescent="0.25">
      <c r="A1" s="4" t="s">
        <v>66</v>
      </c>
      <c r="B1" s="4" t="s">
        <v>92</v>
      </c>
      <c r="C1" s="4" t="s">
        <v>67</v>
      </c>
      <c r="D1" s="4" t="s">
        <v>68</v>
      </c>
      <c r="E1" s="4" t="s">
        <v>69</v>
      </c>
      <c r="F1" s="4" t="s">
        <v>3100</v>
      </c>
      <c r="G1" s="4" t="s">
        <v>3357</v>
      </c>
      <c r="H1" s="4" t="s">
        <v>4250</v>
      </c>
      <c r="I1" s="4" t="s">
        <v>3101</v>
      </c>
      <c r="J1" s="4" t="s">
        <v>3365</v>
      </c>
      <c r="K1" s="4"/>
    </row>
    <row r="2" spans="1:11" x14ac:dyDescent="0.25">
      <c r="A2" t="s">
        <v>179</v>
      </c>
      <c r="B2" t="s">
        <v>93</v>
      </c>
      <c r="C2" t="s">
        <v>20</v>
      </c>
      <c r="E2" t="s">
        <v>714</v>
      </c>
      <c r="F2" t="s">
        <v>3096</v>
      </c>
      <c r="H2" t="s">
        <v>4248</v>
      </c>
      <c r="I2" t="b">
        <v>1</v>
      </c>
      <c r="J2" t="s">
        <v>638</v>
      </c>
    </row>
    <row r="3" spans="1:11" x14ac:dyDescent="0.25">
      <c r="A3" t="s">
        <v>179</v>
      </c>
      <c r="B3" t="s">
        <v>93</v>
      </c>
      <c r="C3" t="s">
        <v>20</v>
      </c>
      <c r="D3" t="s">
        <v>3369</v>
      </c>
      <c r="E3" t="s">
        <v>715</v>
      </c>
      <c r="F3" t="s">
        <v>3096</v>
      </c>
      <c r="H3" t="s">
        <v>4248</v>
      </c>
      <c r="I3" t="b">
        <v>1</v>
      </c>
      <c r="J3" t="s">
        <v>638</v>
      </c>
    </row>
    <row r="4" spans="1:11" x14ac:dyDescent="0.25">
      <c r="A4" t="s">
        <v>179</v>
      </c>
      <c r="B4" t="s">
        <v>93</v>
      </c>
      <c r="C4" t="s">
        <v>20</v>
      </c>
      <c r="D4" t="s">
        <v>3370</v>
      </c>
      <c r="E4" t="s">
        <v>716</v>
      </c>
      <c r="F4" t="s">
        <v>3096</v>
      </c>
      <c r="H4" t="s">
        <v>4248</v>
      </c>
      <c r="I4" t="b">
        <v>1</v>
      </c>
      <c r="J4" t="s">
        <v>638</v>
      </c>
    </row>
    <row r="5" spans="1:11" x14ac:dyDescent="0.25">
      <c r="A5" t="s">
        <v>179</v>
      </c>
      <c r="B5" t="s">
        <v>93</v>
      </c>
      <c r="C5" t="s">
        <v>20</v>
      </c>
      <c r="D5" t="s">
        <v>3371</v>
      </c>
      <c r="E5" t="s">
        <v>717</v>
      </c>
      <c r="F5" t="s">
        <v>3096</v>
      </c>
      <c r="H5" t="s">
        <v>4248</v>
      </c>
      <c r="I5" t="b">
        <v>1</v>
      </c>
      <c r="J5" t="s">
        <v>638</v>
      </c>
    </row>
    <row r="6" spans="1:11" x14ac:dyDescent="0.25">
      <c r="A6" t="s">
        <v>171</v>
      </c>
      <c r="B6" t="s">
        <v>94</v>
      </c>
      <c r="C6" t="s">
        <v>225</v>
      </c>
      <c r="E6" t="s">
        <v>718</v>
      </c>
      <c r="F6" t="s">
        <v>3096</v>
      </c>
      <c r="H6" t="s">
        <v>4249</v>
      </c>
      <c r="I6" t="b">
        <v>1</v>
      </c>
      <c r="J6" t="s">
        <v>637</v>
      </c>
    </row>
    <row r="7" spans="1:11" x14ac:dyDescent="0.25">
      <c r="A7" t="s">
        <v>171</v>
      </c>
      <c r="B7" t="s">
        <v>94</v>
      </c>
      <c r="C7" t="s">
        <v>225</v>
      </c>
      <c r="D7" t="s">
        <v>3369</v>
      </c>
      <c r="E7" t="s">
        <v>718</v>
      </c>
      <c r="F7" t="s">
        <v>3096</v>
      </c>
      <c r="H7" t="s">
        <v>4249</v>
      </c>
      <c r="I7" t="b">
        <v>1</v>
      </c>
      <c r="J7" t="s">
        <v>637</v>
      </c>
    </row>
    <row r="8" spans="1:11" x14ac:dyDescent="0.25">
      <c r="A8" t="s">
        <v>171</v>
      </c>
      <c r="B8" t="s">
        <v>94</v>
      </c>
      <c r="C8" t="s">
        <v>225</v>
      </c>
      <c r="D8" t="s">
        <v>3370</v>
      </c>
      <c r="E8" t="s">
        <v>718</v>
      </c>
      <c r="F8" t="s">
        <v>3096</v>
      </c>
      <c r="H8" t="s">
        <v>4249</v>
      </c>
      <c r="I8" t="b">
        <v>1</v>
      </c>
      <c r="J8" t="s">
        <v>637</v>
      </c>
    </row>
    <row r="9" spans="1:11" x14ac:dyDescent="0.25">
      <c r="A9" t="s">
        <v>171</v>
      </c>
      <c r="B9" t="s">
        <v>94</v>
      </c>
      <c r="C9" t="s">
        <v>225</v>
      </c>
      <c r="D9" t="s">
        <v>3371</v>
      </c>
      <c r="E9" t="s">
        <v>718</v>
      </c>
      <c r="F9" t="s">
        <v>3096</v>
      </c>
      <c r="H9" t="s">
        <v>4249</v>
      </c>
      <c r="I9" t="b">
        <v>1</v>
      </c>
      <c r="J9" t="s">
        <v>637</v>
      </c>
    </row>
    <row r="10" spans="1:11" x14ac:dyDescent="0.25">
      <c r="A10" t="s">
        <v>381</v>
      </c>
      <c r="B10" t="s">
        <v>94</v>
      </c>
      <c r="C10" t="s">
        <v>429</v>
      </c>
      <c r="E10" t="s">
        <v>719</v>
      </c>
      <c r="F10" t="s">
        <v>3096</v>
      </c>
      <c r="H10" t="s">
        <v>4249</v>
      </c>
      <c r="I10" t="b">
        <v>1</v>
      </c>
      <c r="J10" t="s">
        <v>430</v>
      </c>
    </row>
    <row r="11" spans="1:11" x14ac:dyDescent="0.25">
      <c r="A11" t="s">
        <v>381</v>
      </c>
      <c r="B11" t="s">
        <v>94</v>
      </c>
      <c r="C11" t="s">
        <v>429</v>
      </c>
      <c r="D11" t="s">
        <v>3369</v>
      </c>
      <c r="E11" t="s">
        <v>719</v>
      </c>
      <c r="F11" t="s">
        <v>3096</v>
      </c>
      <c r="H11" t="s">
        <v>4249</v>
      </c>
      <c r="I11" t="b">
        <v>1</v>
      </c>
      <c r="J11" t="s">
        <v>430</v>
      </c>
    </row>
    <row r="12" spans="1:11" x14ac:dyDescent="0.25">
      <c r="A12" t="s">
        <v>381</v>
      </c>
      <c r="B12" t="s">
        <v>94</v>
      </c>
      <c r="C12" t="s">
        <v>429</v>
      </c>
      <c r="D12" t="s">
        <v>3370</v>
      </c>
      <c r="E12" t="s">
        <v>719</v>
      </c>
      <c r="F12" t="s">
        <v>3096</v>
      </c>
      <c r="H12" t="s">
        <v>4249</v>
      </c>
      <c r="I12" t="b">
        <v>1</v>
      </c>
      <c r="J12" t="s">
        <v>430</v>
      </c>
    </row>
    <row r="13" spans="1:11" x14ac:dyDescent="0.25">
      <c r="A13" t="s">
        <v>381</v>
      </c>
      <c r="B13" t="s">
        <v>94</v>
      </c>
      <c r="C13" t="s">
        <v>429</v>
      </c>
      <c r="D13" t="s">
        <v>3371</v>
      </c>
      <c r="E13" t="s">
        <v>719</v>
      </c>
      <c r="F13" t="s">
        <v>3096</v>
      </c>
      <c r="H13" t="s">
        <v>4249</v>
      </c>
      <c r="I13" t="b">
        <v>1</v>
      </c>
      <c r="J13" t="s">
        <v>430</v>
      </c>
    </row>
    <row r="14" spans="1:11" x14ac:dyDescent="0.25">
      <c r="A14" t="s">
        <v>2727</v>
      </c>
      <c r="B14" t="s">
        <v>94</v>
      </c>
      <c r="C14" t="s">
        <v>3361</v>
      </c>
      <c r="E14" t="s">
        <v>3359</v>
      </c>
      <c r="F14" t="s">
        <v>3096</v>
      </c>
      <c r="H14" t="s">
        <v>4249</v>
      </c>
      <c r="I14" t="b">
        <v>1</v>
      </c>
      <c r="J14" t="s">
        <v>3360</v>
      </c>
    </row>
    <row r="15" spans="1:11" x14ac:dyDescent="0.25">
      <c r="A15" t="s">
        <v>2727</v>
      </c>
      <c r="B15" t="s">
        <v>94</v>
      </c>
      <c r="C15" t="s">
        <v>3361</v>
      </c>
      <c r="D15" t="s">
        <v>3369</v>
      </c>
      <c r="E15" t="s">
        <v>3359</v>
      </c>
      <c r="F15" t="s">
        <v>3096</v>
      </c>
      <c r="H15" t="s">
        <v>4249</v>
      </c>
      <c r="I15" t="b">
        <v>1</v>
      </c>
      <c r="J15" t="s">
        <v>3360</v>
      </c>
    </row>
    <row r="16" spans="1:11" x14ac:dyDescent="0.25">
      <c r="A16" t="s">
        <v>2727</v>
      </c>
      <c r="B16" t="s">
        <v>94</v>
      </c>
      <c r="C16" t="s">
        <v>3361</v>
      </c>
      <c r="D16" t="s">
        <v>3370</v>
      </c>
      <c r="E16" t="s">
        <v>3359</v>
      </c>
      <c r="F16" t="s">
        <v>3096</v>
      </c>
      <c r="H16" t="s">
        <v>4249</v>
      </c>
      <c r="I16" t="b">
        <v>1</v>
      </c>
      <c r="J16" t="s">
        <v>3360</v>
      </c>
    </row>
    <row r="17" spans="1:10" x14ac:dyDescent="0.25">
      <c r="A17" t="s">
        <v>2727</v>
      </c>
      <c r="B17" t="s">
        <v>94</v>
      </c>
      <c r="C17" t="s">
        <v>3361</v>
      </c>
      <c r="D17" t="s">
        <v>3371</v>
      </c>
      <c r="E17" t="s">
        <v>3359</v>
      </c>
      <c r="F17" t="s">
        <v>3096</v>
      </c>
      <c r="H17" t="s">
        <v>4249</v>
      </c>
      <c r="I17" t="b">
        <v>1</v>
      </c>
      <c r="J17" t="s">
        <v>3360</v>
      </c>
    </row>
    <row r="18" spans="1:10" x14ac:dyDescent="0.25">
      <c r="A18" t="s">
        <v>3093</v>
      </c>
      <c r="B18" t="s">
        <v>94</v>
      </c>
      <c r="C18" t="s">
        <v>3363</v>
      </c>
      <c r="E18" t="s">
        <v>3364</v>
      </c>
      <c r="F18" t="s">
        <v>3096</v>
      </c>
      <c r="H18" t="s">
        <v>4248</v>
      </c>
      <c r="I18" t="b">
        <v>1</v>
      </c>
      <c r="J18" t="s">
        <v>3362</v>
      </c>
    </row>
    <row r="19" spans="1:10" x14ac:dyDescent="0.25">
      <c r="A19" t="s">
        <v>3093</v>
      </c>
      <c r="B19" t="s">
        <v>94</v>
      </c>
      <c r="C19" t="s">
        <v>3363</v>
      </c>
      <c r="D19" t="s">
        <v>3369</v>
      </c>
      <c r="E19" t="s">
        <v>3364</v>
      </c>
      <c r="F19" t="s">
        <v>3096</v>
      </c>
      <c r="H19" t="s">
        <v>4248</v>
      </c>
      <c r="I19" t="b">
        <v>1</v>
      </c>
      <c r="J19" t="s">
        <v>3362</v>
      </c>
    </row>
    <row r="20" spans="1:10" x14ac:dyDescent="0.25">
      <c r="A20" t="s">
        <v>3093</v>
      </c>
      <c r="B20" t="s">
        <v>94</v>
      </c>
      <c r="C20" t="s">
        <v>3363</v>
      </c>
      <c r="D20" t="s">
        <v>3370</v>
      </c>
      <c r="E20" t="s">
        <v>3364</v>
      </c>
      <c r="F20" t="s">
        <v>3096</v>
      </c>
      <c r="H20" t="s">
        <v>4248</v>
      </c>
      <c r="I20" t="b">
        <v>1</v>
      </c>
      <c r="J20" t="s">
        <v>3362</v>
      </c>
    </row>
    <row r="21" spans="1:10" x14ac:dyDescent="0.25">
      <c r="A21" t="s">
        <v>3093</v>
      </c>
      <c r="B21" t="s">
        <v>94</v>
      </c>
      <c r="C21" t="s">
        <v>3363</v>
      </c>
      <c r="D21" t="s">
        <v>3371</v>
      </c>
      <c r="E21" t="s">
        <v>3364</v>
      </c>
      <c r="F21" t="s">
        <v>3096</v>
      </c>
      <c r="H21" t="s">
        <v>4248</v>
      </c>
      <c r="I21" t="b">
        <v>1</v>
      </c>
      <c r="J21" t="s">
        <v>3362</v>
      </c>
    </row>
    <row r="22" spans="1:10" x14ac:dyDescent="0.25">
      <c r="A22" t="s">
        <v>91</v>
      </c>
      <c r="B22" t="s">
        <v>94</v>
      </c>
      <c r="C22" t="s">
        <v>4401</v>
      </c>
      <c r="E22" t="s">
        <v>4402</v>
      </c>
      <c r="F22" t="s">
        <v>3096</v>
      </c>
      <c r="G22" t="s">
        <v>4407</v>
      </c>
      <c r="H22" t="s">
        <v>4248</v>
      </c>
      <c r="I22" t="b">
        <v>1</v>
      </c>
      <c r="J22" t="s">
        <v>4406</v>
      </c>
    </row>
    <row r="23" spans="1:10" x14ac:dyDescent="0.25">
      <c r="A23" t="s">
        <v>91</v>
      </c>
      <c r="B23" t="s">
        <v>94</v>
      </c>
      <c r="C23" t="s">
        <v>4401</v>
      </c>
      <c r="D23" t="s">
        <v>3369</v>
      </c>
      <c r="E23" t="s">
        <v>4403</v>
      </c>
      <c r="F23" t="s">
        <v>3096</v>
      </c>
      <c r="G23" t="s">
        <v>4407</v>
      </c>
      <c r="H23" t="s">
        <v>4248</v>
      </c>
      <c r="I23" t="b">
        <v>1</v>
      </c>
      <c r="J23" t="s">
        <v>4406</v>
      </c>
    </row>
    <row r="24" spans="1:10" x14ac:dyDescent="0.25">
      <c r="A24" t="s">
        <v>91</v>
      </c>
      <c r="B24" t="s">
        <v>94</v>
      </c>
      <c r="C24" t="s">
        <v>4401</v>
      </c>
      <c r="D24" t="s">
        <v>3370</v>
      </c>
      <c r="E24" t="s">
        <v>4404</v>
      </c>
      <c r="F24" t="s">
        <v>3096</v>
      </c>
      <c r="G24" t="s">
        <v>4407</v>
      </c>
      <c r="H24" t="s">
        <v>4248</v>
      </c>
      <c r="I24" t="b">
        <v>1</v>
      </c>
      <c r="J24" t="s">
        <v>4406</v>
      </c>
    </row>
    <row r="25" spans="1:10" x14ac:dyDescent="0.25">
      <c r="A25" t="s">
        <v>91</v>
      </c>
      <c r="B25" t="s">
        <v>94</v>
      </c>
      <c r="C25" t="s">
        <v>4401</v>
      </c>
      <c r="D25" t="s">
        <v>3371</v>
      </c>
      <c r="E25" t="s">
        <v>4405</v>
      </c>
      <c r="F25" t="s">
        <v>3096</v>
      </c>
      <c r="G25" t="s">
        <v>4407</v>
      </c>
      <c r="H25" t="s">
        <v>4248</v>
      </c>
      <c r="I25" t="b">
        <v>1</v>
      </c>
      <c r="J25" t="s">
        <v>4406</v>
      </c>
    </row>
    <row r="26" spans="1:10" x14ac:dyDescent="0.25">
      <c r="A26" t="s">
        <v>107</v>
      </c>
      <c r="B26" t="s">
        <v>94</v>
      </c>
      <c r="C26" t="s">
        <v>3379</v>
      </c>
      <c r="E26" t="s">
        <v>3382</v>
      </c>
      <c r="F26" t="s">
        <v>3096</v>
      </c>
      <c r="G26" t="s">
        <v>3386</v>
      </c>
      <c r="H26" t="s">
        <v>4248</v>
      </c>
      <c r="I26" t="b">
        <v>1</v>
      </c>
      <c r="J26" t="s">
        <v>3384</v>
      </c>
    </row>
    <row r="27" spans="1:10" x14ac:dyDescent="0.25">
      <c r="A27" t="s">
        <v>107</v>
      </c>
      <c r="B27" t="s">
        <v>94</v>
      </c>
      <c r="C27" t="s">
        <v>3379</v>
      </c>
      <c r="D27" t="s">
        <v>3369</v>
      </c>
      <c r="E27" t="s">
        <v>3383</v>
      </c>
      <c r="F27" t="s">
        <v>3096</v>
      </c>
      <c r="G27" t="s">
        <v>3386</v>
      </c>
      <c r="H27" t="s">
        <v>4248</v>
      </c>
      <c r="I27" t="b">
        <v>1</v>
      </c>
      <c r="J27" t="s">
        <v>3385</v>
      </c>
    </row>
    <row r="28" spans="1:10" x14ac:dyDescent="0.25">
      <c r="A28" t="s">
        <v>107</v>
      </c>
      <c r="B28" t="s">
        <v>94</v>
      </c>
      <c r="C28" t="s">
        <v>3379</v>
      </c>
      <c r="D28" t="s">
        <v>3370</v>
      </c>
      <c r="E28" t="s">
        <v>3382</v>
      </c>
      <c r="F28" t="s">
        <v>3096</v>
      </c>
      <c r="G28" t="s">
        <v>3386</v>
      </c>
      <c r="H28" t="s">
        <v>4248</v>
      </c>
      <c r="I28" t="b">
        <v>1</v>
      </c>
      <c r="J28" t="s">
        <v>3384</v>
      </c>
    </row>
    <row r="29" spans="1:10" x14ac:dyDescent="0.25">
      <c r="A29" t="s">
        <v>107</v>
      </c>
      <c r="B29" t="s">
        <v>94</v>
      </c>
      <c r="C29" t="s">
        <v>3379</v>
      </c>
      <c r="D29" t="s">
        <v>3371</v>
      </c>
      <c r="E29" t="s">
        <v>3383</v>
      </c>
      <c r="F29" t="s">
        <v>3096</v>
      </c>
      <c r="G29" t="s">
        <v>3386</v>
      </c>
      <c r="H29" t="s">
        <v>4248</v>
      </c>
      <c r="I29" t="b">
        <v>1</v>
      </c>
      <c r="J29" t="s">
        <v>3385</v>
      </c>
    </row>
    <row r="30" spans="1:10" x14ac:dyDescent="0.25">
      <c r="A30" t="s">
        <v>3376</v>
      </c>
      <c r="B30" t="s">
        <v>94</v>
      </c>
      <c r="C30" t="s">
        <v>4611</v>
      </c>
      <c r="E30" t="s">
        <v>4616</v>
      </c>
      <c r="F30" t="s">
        <v>3098</v>
      </c>
      <c r="H30" t="s">
        <v>4248</v>
      </c>
      <c r="I30" t="b">
        <v>1</v>
      </c>
      <c r="J30" t="s">
        <v>4613</v>
      </c>
    </row>
    <row r="31" spans="1:10" x14ac:dyDescent="0.25">
      <c r="A31" t="s">
        <v>3376</v>
      </c>
      <c r="B31" t="s">
        <v>94</v>
      </c>
      <c r="C31" t="s">
        <v>4611</v>
      </c>
      <c r="D31" t="s">
        <v>3369</v>
      </c>
      <c r="E31" t="s">
        <v>4615</v>
      </c>
      <c r="F31" t="s">
        <v>3098</v>
      </c>
      <c r="H31" t="s">
        <v>4248</v>
      </c>
      <c r="I31" t="b">
        <v>1</v>
      </c>
      <c r="J31" t="s">
        <v>4612</v>
      </c>
    </row>
    <row r="32" spans="1:10" x14ac:dyDescent="0.25">
      <c r="A32" t="s">
        <v>3376</v>
      </c>
      <c r="B32" t="s">
        <v>94</v>
      </c>
      <c r="C32" t="s">
        <v>4611</v>
      </c>
      <c r="D32" t="s">
        <v>3370</v>
      </c>
      <c r="E32" t="s">
        <v>4617</v>
      </c>
      <c r="F32" t="s">
        <v>3098</v>
      </c>
      <c r="H32" t="s">
        <v>4248</v>
      </c>
      <c r="I32" t="b">
        <v>1</v>
      </c>
      <c r="J32" t="s">
        <v>4613</v>
      </c>
    </row>
    <row r="33" spans="1:10" x14ac:dyDescent="0.25">
      <c r="A33" t="s">
        <v>3376</v>
      </c>
      <c r="B33" t="s">
        <v>94</v>
      </c>
      <c r="C33" t="s">
        <v>4611</v>
      </c>
      <c r="D33" t="s">
        <v>3371</v>
      </c>
      <c r="E33" t="s">
        <v>4615</v>
      </c>
      <c r="F33" t="s">
        <v>3098</v>
      </c>
      <c r="H33" t="s">
        <v>4248</v>
      </c>
      <c r="I33" t="b">
        <v>1</v>
      </c>
      <c r="J33" t="s">
        <v>4612</v>
      </c>
    </row>
    <row r="34" spans="1:10" x14ac:dyDescent="0.25">
      <c r="A34" t="s">
        <v>3375</v>
      </c>
      <c r="B34" t="s">
        <v>94</v>
      </c>
      <c r="C34" t="s">
        <v>3367</v>
      </c>
      <c r="E34" t="s">
        <v>3380</v>
      </c>
      <c r="F34" t="s">
        <v>3096</v>
      </c>
      <c r="G34" t="s">
        <v>3358</v>
      </c>
      <c r="H34" t="s">
        <v>4248</v>
      </c>
      <c r="I34" t="b">
        <v>1</v>
      </c>
      <c r="J34" t="s">
        <v>3366</v>
      </c>
    </row>
    <row r="35" spans="1:10" x14ac:dyDescent="0.25">
      <c r="A35" t="s">
        <v>3375</v>
      </c>
      <c r="B35" t="s">
        <v>94</v>
      </c>
      <c r="C35" t="s">
        <v>3367</v>
      </c>
      <c r="D35" t="s">
        <v>3369</v>
      </c>
      <c r="E35" t="s">
        <v>3381</v>
      </c>
      <c r="F35" t="s">
        <v>3096</v>
      </c>
      <c r="G35" t="s">
        <v>3358</v>
      </c>
      <c r="H35" t="s">
        <v>4248</v>
      </c>
      <c r="I35" t="b">
        <v>1</v>
      </c>
      <c r="J35" t="s">
        <v>3368</v>
      </c>
    </row>
    <row r="36" spans="1:10" x14ac:dyDescent="0.25">
      <c r="A36" t="s">
        <v>3375</v>
      </c>
      <c r="B36" t="s">
        <v>94</v>
      </c>
      <c r="C36" t="s">
        <v>3367</v>
      </c>
      <c r="D36" t="s">
        <v>3370</v>
      </c>
      <c r="E36" t="s">
        <v>3380</v>
      </c>
      <c r="F36" t="s">
        <v>3096</v>
      </c>
      <c r="G36" t="s">
        <v>3358</v>
      </c>
      <c r="H36" t="s">
        <v>4248</v>
      </c>
      <c r="I36" t="b">
        <v>1</v>
      </c>
      <c r="J36" t="s">
        <v>3366</v>
      </c>
    </row>
    <row r="37" spans="1:10" x14ac:dyDescent="0.25">
      <c r="A37" t="s">
        <v>3375</v>
      </c>
      <c r="B37" t="s">
        <v>94</v>
      </c>
      <c r="C37" t="s">
        <v>3367</v>
      </c>
      <c r="D37" t="s">
        <v>3371</v>
      </c>
      <c r="E37" t="s">
        <v>3381</v>
      </c>
      <c r="F37" t="s">
        <v>3096</v>
      </c>
      <c r="G37" t="s">
        <v>3358</v>
      </c>
      <c r="H37" t="s">
        <v>4248</v>
      </c>
      <c r="I37" t="b">
        <v>1</v>
      </c>
      <c r="J37" t="s">
        <v>3368</v>
      </c>
    </row>
  </sheetData>
  <pageMargins left="0.7" right="0.7" top="0.75" bottom="0.75" header="0.3" footer="0.3"/>
  <pageSetup paperSize="9" orientation="portrait" r:id="rId1"/>
</worksheet>
</file>

<file path=docMetadata/LabelInfo.xml><?xml version="1.0" encoding="utf-8"?>
<clbl:labelList xmlns:clbl="http://schemas.microsoft.com/office/2020/mipLabelMetadata">
  <clbl:label id="{1b52b3a1-dbcb-41fb-a452-370cf542753f}" enabled="1" method="Privileged" siteId="{d1323671-cdbe-4417-b4d4-bdb24b51316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policy_spatial</vt:lpstr>
      <vt:lpstr>spatial</vt:lpstr>
      <vt:lpstr>policy</vt:lpstr>
      <vt:lpstr>policy_spatial_ee</vt:lpstr>
      <vt:lpstr>spatial_ee</vt:lpstr>
      <vt:lpstr>languages</vt:lpstr>
      <vt:lpstr>Translation Sign-off</vt:lpstr>
      <vt:lpstr>fonts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 Higgs</dc:creator>
  <cp:lastModifiedBy>Carl Higgs</cp:lastModifiedBy>
  <dcterms:created xsi:type="dcterms:W3CDTF">2022-01-17T05:26:28Z</dcterms:created>
  <dcterms:modified xsi:type="dcterms:W3CDTF">2026-04-21T03:55:09Z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52b3a1-dbcb-41fb-a452-370cf542753f_Enabled">
    <vt:lpwstr>true</vt:lpwstr>
  </property>
  <property fmtid="{D5CDD505-2E9C-101B-9397-08002B2CF9AE}" pid="3" name="MSIP_Label_1b52b3a1-dbcb-41fb-a452-370cf542753f_SetDate">
    <vt:lpwstr>2026-03-31T04:01:15Z</vt:lpwstr>
  </property>
  <property fmtid="{D5CDD505-2E9C-101B-9397-08002B2CF9AE}" pid="4" name="MSIP_Label_1b52b3a1-dbcb-41fb-a452-370cf542753f_Method">
    <vt:lpwstr>Privileged</vt:lpwstr>
  </property>
  <property fmtid="{D5CDD505-2E9C-101B-9397-08002B2CF9AE}" pid="5" name="MSIP_Label_1b52b3a1-dbcb-41fb-a452-370cf542753f_Name">
    <vt:lpwstr>Public</vt:lpwstr>
  </property>
  <property fmtid="{D5CDD505-2E9C-101B-9397-08002B2CF9AE}" pid="6" name="MSIP_Label_1b52b3a1-dbcb-41fb-a452-370cf542753f_SiteId">
    <vt:lpwstr>d1323671-cdbe-4417-b4d4-bdb24b51316b</vt:lpwstr>
  </property>
  <property fmtid="{D5CDD505-2E9C-101B-9397-08002B2CF9AE}" pid="7" name="MSIP_Label_1b52b3a1-dbcb-41fb-a452-370cf542753f_ActionId">
    <vt:lpwstr>0d622153-08f2-4c89-a1ed-68fd586fe583</vt:lpwstr>
  </property>
  <property fmtid="{D5CDD505-2E9C-101B-9397-08002B2CF9AE}" pid="8" name="MSIP_Label_1b52b3a1-dbcb-41fb-a452-370cf542753f_ContentBits">
    <vt:lpwstr>0</vt:lpwstr>
  </property>
  <property fmtid="{D5CDD505-2E9C-101B-9397-08002B2CF9AE}" pid="9" name="MSIP_Label_1b52b3a1-dbcb-41fb-a452-370cf542753f_Tag">
    <vt:lpwstr>10, 0, 1, 1</vt:lpwstr>
  </property>
</Properties>
</file>