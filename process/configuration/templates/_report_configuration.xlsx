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templates/"/>
    </mc:Choice>
  </mc:AlternateContent>
  <xr:revisionPtr revIDLastSave="368" documentId="13_ncr:1_{974DC119-FBC5-4146-98A2-4FA425A99853}" xr6:coauthVersionLast="47" xr6:coauthVersionMax="47" xr10:uidLastSave="{B858FA20-6F52-457E-A945-5BA9DEBB829C}"/>
  <bookViews>
    <workbookView xWindow="28680" yWindow="-120" windowWidth="29040" windowHeight="16440" activeTab="3" xr2:uid="{00000000-000D-0000-FFFF-FFFF00000000}"/>
  </bookViews>
  <sheets>
    <sheet name="policy_spatial" sheetId="1" r:id="rId1"/>
    <sheet name="spatial" sheetId="9" r:id="rId2"/>
    <sheet name="policy" sheetId="11" r:id="rId3"/>
    <sheet name="languages" sheetId="2" r:id="rId4"/>
    <sheet name="Translation Sign-off" sheetId="14" r:id="rId5"/>
    <sheet name="fonts" sheetId="3" r:id="rId6"/>
  </sheets>
  <definedNames>
    <definedName name="_xlnm._FilterDatabase" localSheetId="3" hidden="1">languages!$A$1:$S$179</definedName>
    <definedName name="_xlnm._FilterDatabase" localSheetId="2" hidden="1">policy!$A$1:$T$1</definedName>
    <definedName name="_xlnm._FilterDatabase" localSheetId="0" hidden="1">policy_spatial!$A$1:$T$1</definedName>
    <definedName name="_xlnm._FilterDatabase" localSheetId="1" hidden="1">spatial!$A$1:$T$48</definedName>
    <definedName name="_xlnm._FilterDatabase" localSheetId="4"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0" i="9" l="1"/>
  <c r="E39" i="11"/>
  <c r="E39" i="1"/>
  <c r="G15" i="11"/>
  <c r="F15" i="11"/>
  <c r="D15" i="11"/>
  <c r="F14" i="11"/>
  <c r="D14" i="11"/>
  <c r="F13" i="11"/>
  <c r="D13" i="11"/>
  <c r="F12" i="11"/>
  <c r="D12" i="11"/>
  <c r="G15" i="9"/>
  <c r="F15" i="9"/>
  <c r="D15" i="9"/>
  <c r="F14" i="9"/>
  <c r="D14" i="9"/>
  <c r="F13" i="9"/>
  <c r="D13" i="9"/>
  <c r="F12" i="9"/>
  <c r="E12" i="9"/>
  <c r="G12" i="9" s="1"/>
  <c r="E13" i="9" s="1"/>
  <c r="G13" i="9" s="1"/>
  <c r="E14" i="9" s="1"/>
  <c r="G14" i="9" s="1"/>
  <c r="D12" i="9"/>
  <c r="G15" i="1"/>
  <c r="F15" i="1"/>
  <c r="D15" i="1"/>
  <c r="F14" i="1"/>
  <c r="D14" i="1"/>
  <c r="F13" i="1"/>
  <c r="D13" i="1"/>
  <c r="F12" i="1"/>
  <c r="D12" i="1"/>
  <c r="G28" i="1" l="1"/>
  <c r="E29" i="1" s="1"/>
  <c r="G30" i="9"/>
  <c r="E68" i="9"/>
  <c r="D16" i="11"/>
  <c r="G16" i="9"/>
  <c r="E16" i="9"/>
  <c r="D16" i="9"/>
  <c r="E66" i="11"/>
  <c r="E118" i="9"/>
  <c r="F72" i="1"/>
  <c r="F73" i="1" s="1"/>
  <c r="D72" i="1"/>
  <c r="D73" i="1" s="1"/>
  <c r="F70" i="1"/>
  <c r="E69" i="1"/>
  <c r="G69" i="1" s="1"/>
  <c r="E70" i="1" s="1"/>
  <c r="F67" i="1"/>
  <c r="F68" i="1" s="1"/>
  <c r="E67" i="1"/>
  <c r="G67" i="1" s="1"/>
  <c r="E68" i="1" s="1"/>
  <c r="G68" i="1" s="1"/>
  <c r="D67" i="1"/>
  <c r="D68" i="1" s="1"/>
  <c r="F200" i="1"/>
  <c r="D200" i="1"/>
  <c r="E199" i="1"/>
  <c r="D199" i="1"/>
  <c r="F199" i="1" s="1"/>
  <c r="G198" i="1"/>
  <c r="G199" i="1" s="1"/>
  <c r="F319" i="1"/>
  <c r="D319" i="1"/>
  <c r="E318" i="1"/>
  <c r="D318" i="1"/>
  <c r="F318" i="1" s="1"/>
  <c r="G317" i="1"/>
  <c r="G318" i="1" s="1"/>
  <c r="E58" i="11"/>
  <c r="G58" i="11" s="1"/>
  <c r="E61" i="11" s="1"/>
  <c r="G61" i="11" s="1"/>
  <c r="G62" i="11" s="1"/>
  <c r="G55" i="11" s="1"/>
  <c r="G63" i="11"/>
  <c r="E64" i="11" s="1"/>
  <c r="G64" i="11" s="1"/>
  <c r="F61" i="11"/>
  <c r="F62" i="11" s="1"/>
  <c r="D61" i="11"/>
  <c r="D62" i="11" s="1"/>
  <c r="F59" i="11"/>
  <c r="F56" i="11"/>
  <c r="F57" i="11" s="1"/>
  <c r="E56" i="11"/>
  <c r="G56" i="11" s="1"/>
  <c r="E57" i="11" s="1"/>
  <c r="G57" i="11" s="1"/>
  <c r="D56" i="11"/>
  <c r="D57" i="11" s="1"/>
  <c r="A136" i="11"/>
  <c r="A137" i="11" s="1"/>
  <c r="D112" i="11"/>
  <c r="D116" i="11" s="1"/>
  <c r="D120" i="11" s="1"/>
  <c r="D124" i="11" s="1"/>
  <c r="D128" i="11" s="1"/>
  <c r="D132" i="11" s="1"/>
  <c r="D136" i="11" s="1"/>
  <c r="D140" i="11" s="1"/>
  <c r="D144" i="11" s="1"/>
  <c r="D148" i="11" s="1"/>
  <c r="D152" i="11" s="1"/>
  <c r="D156" i="11" s="1"/>
  <c r="D160" i="11" s="1"/>
  <c r="D164" i="11" s="1"/>
  <c r="D168" i="11" s="1"/>
  <c r="D172" i="11" s="1"/>
  <c r="F108" i="11"/>
  <c r="F112" i="11" s="1"/>
  <c r="F116" i="11" s="1"/>
  <c r="F120" i="11" s="1"/>
  <c r="F124" i="11" s="1"/>
  <c r="F128" i="11" s="1"/>
  <c r="F132" i="11" s="1"/>
  <c r="F136" i="11" s="1"/>
  <c r="F140" i="11" s="1"/>
  <c r="F144" i="11" s="1"/>
  <c r="F148" i="11" s="1"/>
  <c r="F152" i="11" s="1"/>
  <c r="F156" i="11" s="1"/>
  <c r="F160" i="11" s="1"/>
  <c r="F164" i="11" s="1"/>
  <c r="F168" i="11" s="1"/>
  <c r="F172" i="11" s="1"/>
  <c r="D107" i="11"/>
  <c r="D104" i="11"/>
  <c r="D101" i="11" s="1"/>
  <c r="D110" i="11" s="1"/>
  <c r="D114" i="11" s="1"/>
  <c r="D118" i="11" s="1"/>
  <c r="D122" i="11" s="1"/>
  <c r="D126" i="11" s="1"/>
  <c r="D130" i="11" s="1"/>
  <c r="D134" i="11" s="1"/>
  <c r="D138" i="11" s="1"/>
  <c r="D142" i="11" s="1"/>
  <c r="D146" i="11" s="1"/>
  <c r="D150" i="11" s="1"/>
  <c r="D154" i="11" s="1"/>
  <c r="D158" i="11" s="1"/>
  <c r="D162" i="11" s="1"/>
  <c r="D166" i="11" s="1"/>
  <c r="D170" i="11" s="1"/>
  <c r="D174" i="11" s="1"/>
  <c r="F103" i="11"/>
  <c r="E103" i="11"/>
  <c r="E104" i="11" s="1"/>
  <c r="E105" i="11" s="1"/>
  <c r="E100" i="11"/>
  <c r="E101" i="11" s="1"/>
  <c r="E102" i="11" s="1"/>
  <c r="D100" i="11"/>
  <c r="D109" i="11" s="1"/>
  <c r="D113" i="11" s="1"/>
  <c r="D117" i="11" s="1"/>
  <c r="D121" i="11" s="1"/>
  <c r="D125" i="11" s="1"/>
  <c r="D129" i="11" s="1"/>
  <c r="D133" i="11" s="1"/>
  <c r="D137" i="11" s="1"/>
  <c r="D141" i="11" s="1"/>
  <c r="D145" i="11" s="1"/>
  <c r="D149" i="11" s="1"/>
  <c r="D153" i="11" s="1"/>
  <c r="D157" i="11" s="1"/>
  <c r="D161" i="11" s="1"/>
  <c r="D165" i="11" s="1"/>
  <c r="D169" i="11" s="1"/>
  <c r="D173" i="11" s="1"/>
  <c r="G99" i="11"/>
  <c r="D201" i="11"/>
  <c r="G200" i="11"/>
  <c r="E201" i="11" s="1"/>
  <c r="G201" i="11" s="1"/>
  <c r="F256" i="11"/>
  <c r="D252" i="11"/>
  <c r="F252" i="11" s="1"/>
  <c r="F251" i="11"/>
  <c r="E251" i="11"/>
  <c r="E252" i="11" s="1"/>
  <c r="E253" i="11" s="1"/>
  <c r="E248" i="11"/>
  <c r="E254" i="11" s="1"/>
  <c r="D248" i="11"/>
  <c r="D257" i="11" s="1"/>
  <c r="E247" i="11"/>
  <c r="G247" i="11" s="1"/>
  <c r="G244" i="11"/>
  <c r="E245" i="11" s="1"/>
  <c r="G245" i="11" s="1"/>
  <c r="F228" i="11"/>
  <c r="F232" i="11" s="1"/>
  <c r="F236" i="11" s="1"/>
  <c r="F240" i="11" s="1"/>
  <c r="D224" i="11"/>
  <c r="D221" i="11" s="1"/>
  <c r="D230" i="11" s="1"/>
  <c r="D234" i="11" s="1"/>
  <c r="D238" i="11" s="1"/>
  <c r="D242" i="11" s="1"/>
  <c r="F223" i="11"/>
  <c r="E223" i="11"/>
  <c r="E224" i="11" s="1"/>
  <c r="E225" i="11" s="1"/>
  <c r="E220" i="11"/>
  <c r="E226" i="11" s="1"/>
  <c r="D220" i="11"/>
  <c r="D229" i="11" s="1"/>
  <c r="D233" i="11" s="1"/>
  <c r="D237" i="11" s="1"/>
  <c r="D241" i="11" s="1"/>
  <c r="E219" i="11"/>
  <c r="G219" i="11" s="1"/>
  <c r="G216" i="11"/>
  <c r="E217" i="11" s="1"/>
  <c r="G217" i="11" s="1"/>
  <c r="G301" i="1"/>
  <c r="E302" i="1" s="1"/>
  <c r="G302" i="1" s="1"/>
  <c r="G271" i="1"/>
  <c r="E272" i="1" s="1"/>
  <c r="G272" i="1" s="1"/>
  <c r="G213" i="1"/>
  <c r="D210" i="1"/>
  <c r="F209" i="1"/>
  <c r="D209" i="1"/>
  <c r="F208" i="1"/>
  <c r="D208" i="1"/>
  <c r="F207" i="1"/>
  <c r="D207" i="1"/>
  <c r="F206" i="1"/>
  <c r="D206" i="1"/>
  <c r="F205" i="1"/>
  <c r="D205" i="1"/>
  <c r="D204" i="1"/>
  <c r="D203" i="1"/>
  <c r="D202" i="1" s="1"/>
  <c r="G201" i="1"/>
  <c r="E202" i="1" s="1"/>
  <c r="G202" i="1" s="1"/>
  <c r="E203" i="1" s="1"/>
  <c r="D201" i="1"/>
  <c r="E61" i="9"/>
  <c r="G64" i="9"/>
  <c r="E63" i="9"/>
  <c r="E64" i="9" s="1"/>
  <c r="D63" i="9"/>
  <c r="F63" i="9"/>
  <c r="D64" i="9"/>
  <c r="F64" i="9"/>
  <c r="D62" i="9"/>
  <c r="F61" i="9"/>
  <c r="G60" i="9"/>
  <c r="G113" i="9"/>
  <c r="E114" i="9" s="1"/>
  <c r="G114" i="9" s="1"/>
  <c r="P270" i="11"/>
  <c r="P269" i="11"/>
  <c r="P268" i="11"/>
  <c r="F266" i="11"/>
  <c r="F267" i="11" s="1"/>
  <c r="F271" i="11" s="1"/>
  <c r="D266" i="11"/>
  <c r="D267" i="11" s="1"/>
  <c r="D268" i="11" s="1"/>
  <c r="G265" i="11"/>
  <c r="E266" i="11" s="1"/>
  <c r="G266" i="11" s="1"/>
  <c r="E267" i="11" s="1"/>
  <c r="G267" i="11" s="1"/>
  <c r="E268" i="11" s="1"/>
  <c r="F264" i="11"/>
  <c r="G263" i="11"/>
  <c r="E264" i="11" s="1"/>
  <c r="G264" i="11" s="1"/>
  <c r="G28" i="11"/>
  <c r="E29" i="11" s="1"/>
  <c r="G29" i="11" s="1"/>
  <c r="E30" i="11" s="1"/>
  <c r="G30" i="11" s="1"/>
  <c r="F28" i="11"/>
  <c r="F28" i="1"/>
  <c r="G38" i="9"/>
  <c r="E39" i="9" s="1"/>
  <c r="G193" i="1"/>
  <c r="G73" i="9"/>
  <c r="E75" i="9" s="1"/>
  <c r="F52" i="11"/>
  <c r="F54" i="11" s="1"/>
  <c r="F53" i="11" s="1"/>
  <c r="D52" i="11"/>
  <c r="D54" i="11" s="1"/>
  <c r="D53" i="11" s="1"/>
  <c r="F48" i="11"/>
  <c r="F50" i="11" s="1"/>
  <c r="F49" i="11" s="1"/>
  <c r="E48" i="11"/>
  <c r="G48" i="11" s="1"/>
  <c r="E49" i="11" s="1"/>
  <c r="G49" i="11" s="1"/>
  <c r="E50" i="11" s="1"/>
  <c r="G50" i="11" s="1"/>
  <c r="G47" i="11" s="1"/>
  <c r="E51" i="11" s="1"/>
  <c r="E52" i="11" s="1"/>
  <c r="G52" i="11" s="1"/>
  <c r="E53" i="11" s="1"/>
  <c r="G53" i="11" s="1"/>
  <c r="E54" i="11" s="1"/>
  <c r="G54" i="11" s="1"/>
  <c r="G51" i="11" s="1"/>
  <c r="D48" i="11"/>
  <c r="D50" i="11" s="1"/>
  <c r="D49" i="11" s="1"/>
  <c r="G45" i="11"/>
  <c r="E46" i="11" s="1"/>
  <c r="G46" i="11" s="1"/>
  <c r="F26" i="11"/>
  <c r="D26" i="11"/>
  <c r="F25" i="11"/>
  <c r="D25" i="11"/>
  <c r="F24" i="11"/>
  <c r="D24" i="11"/>
  <c r="F23" i="11"/>
  <c r="D23" i="11"/>
  <c r="G22" i="11"/>
  <c r="E23" i="11" s="1"/>
  <c r="G23" i="11" s="1"/>
  <c r="E24" i="11" s="1"/>
  <c r="G24" i="11" s="1"/>
  <c r="E25" i="11" s="1"/>
  <c r="G25" i="11" s="1"/>
  <c r="E26" i="11" s="1"/>
  <c r="G26" i="11" s="1"/>
  <c r="F22" i="11"/>
  <c r="D22" i="11"/>
  <c r="G21" i="11"/>
  <c r="F26" i="9"/>
  <c r="D26" i="9"/>
  <c r="F25" i="9"/>
  <c r="D25" i="9"/>
  <c r="F24" i="9"/>
  <c r="D24" i="9"/>
  <c r="F23" i="9"/>
  <c r="D23" i="9"/>
  <c r="G22" i="9"/>
  <c r="E23" i="9" s="1"/>
  <c r="G23" i="9" s="1"/>
  <c r="E24" i="9" s="1"/>
  <c r="G24" i="9" s="1"/>
  <c r="E25" i="9" s="1"/>
  <c r="G25" i="9" s="1"/>
  <c r="E26" i="9" s="1"/>
  <c r="G26" i="9" s="1"/>
  <c r="F22" i="9"/>
  <c r="D22" i="9"/>
  <c r="G21" i="9"/>
  <c r="G21" i="1"/>
  <c r="G22" i="1"/>
  <c r="E23" i="1" s="1"/>
  <c r="E59" i="1"/>
  <c r="G37" i="11"/>
  <c r="E38" i="11" s="1"/>
  <c r="G38" i="11" s="1"/>
  <c r="G89" i="9"/>
  <c r="D86" i="9"/>
  <c r="D79" i="9"/>
  <c r="D78" i="9" s="1"/>
  <c r="G77" i="9"/>
  <c r="E78" i="9" s="1"/>
  <c r="G78" i="9" s="1"/>
  <c r="E79" i="9" s="1"/>
  <c r="G111" i="9"/>
  <c r="E112" i="9" s="1"/>
  <c r="G112" i="9" s="1"/>
  <c r="G109" i="9"/>
  <c r="E110" i="9" s="1"/>
  <c r="G110" i="9" s="1"/>
  <c r="G35" i="11"/>
  <c r="F35" i="11"/>
  <c r="D35" i="11"/>
  <c r="F34" i="11"/>
  <c r="D34" i="11"/>
  <c r="G33" i="11"/>
  <c r="G32" i="11"/>
  <c r="E31" i="11"/>
  <c r="G31" i="11" s="1"/>
  <c r="F30" i="11"/>
  <c r="D30" i="11"/>
  <c r="G20" i="11"/>
  <c r="F20" i="11"/>
  <c r="G18" i="11"/>
  <c r="E17" i="11"/>
  <c r="E16" i="11" s="1"/>
  <c r="G16" i="11" s="1"/>
  <c r="G11" i="11"/>
  <c r="F11" i="11"/>
  <c r="G10" i="11"/>
  <c r="F10" i="11"/>
  <c r="G9" i="11"/>
  <c r="F9" i="11"/>
  <c r="G8" i="11"/>
  <c r="F8" i="11"/>
  <c r="G7" i="11"/>
  <c r="F7" i="11"/>
  <c r="G6" i="11"/>
  <c r="F6" i="11"/>
  <c r="G5" i="11"/>
  <c r="F5" i="11"/>
  <c r="F4" i="11"/>
  <c r="D4" i="11"/>
  <c r="F3" i="11"/>
  <c r="D3" i="11"/>
  <c r="G2" i="11"/>
  <c r="E3" i="11" s="1"/>
  <c r="G3" i="11" s="1"/>
  <c r="E4" i="11" s="1"/>
  <c r="G4" i="11" s="1"/>
  <c r="E12" i="11" s="1"/>
  <c r="G12" i="11" s="1"/>
  <c r="E13" i="11" s="1"/>
  <c r="G13" i="11" s="1"/>
  <c r="E14" i="11" s="1"/>
  <c r="G14" i="11" s="1"/>
  <c r="G91" i="9"/>
  <c r="E92" i="9" s="1"/>
  <c r="G92" i="9" s="1"/>
  <c r="E93" i="9" s="1"/>
  <c r="D93" i="9"/>
  <c r="D92" i="9" s="1"/>
  <c r="D100" i="9"/>
  <c r="G103" i="9"/>
  <c r="D54" i="9"/>
  <c r="D52" i="9"/>
  <c r="D53" i="9" s="1"/>
  <c r="F51" i="9"/>
  <c r="E51" i="9"/>
  <c r="E54" i="9" s="1"/>
  <c r="E56" i="9" s="1"/>
  <c r="E50" i="9"/>
  <c r="G50" i="9" s="1"/>
  <c r="G70" i="9"/>
  <c r="D70" i="9"/>
  <c r="F69" i="9"/>
  <c r="F70" i="9" s="1"/>
  <c r="G67" i="9"/>
  <c r="F66" i="9"/>
  <c r="E66" i="9"/>
  <c r="G66" i="9" s="1"/>
  <c r="F58" i="9"/>
  <c r="F59" i="9" s="1"/>
  <c r="D58" i="9"/>
  <c r="D59" i="9" s="1"/>
  <c r="G107" i="9"/>
  <c r="E108" i="9" s="1"/>
  <c r="G108" i="9" s="1"/>
  <c r="G105" i="9"/>
  <c r="E106" i="9" s="1"/>
  <c r="G106" i="9" s="1"/>
  <c r="G72" i="9"/>
  <c r="G48" i="9"/>
  <c r="G46" i="9"/>
  <c r="E47" i="9" s="1"/>
  <c r="G47" i="9" s="1"/>
  <c r="G37" i="9"/>
  <c r="G33" i="9"/>
  <c r="G32" i="9"/>
  <c r="E31" i="9"/>
  <c r="G31" i="9" s="1"/>
  <c r="F30" i="9"/>
  <c r="D30" i="9"/>
  <c r="G28" i="9"/>
  <c r="E29" i="9" s="1"/>
  <c r="F28" i="9"/>
  <c r="G20" i="9"/>
  <c r="F20" i="9"/>
  <c r="G18" i="9"/>
  <c r="E17" i="9"/>
  <c r="G11" i="9"/>
  <c r="F11" i="9"/>
  <c r="G10" i="9"/>
  <c r="F10" i="9"/>
  <c r="G9" i="9"/>
  <c r="F9" i="9"/>
  <c r="G8" i="9"/>
  <c r="F8" i="9"/>
  <c r="G7" i="9"/>
  <c r="F7" i="9"/>
  <c r="G6" i="9"/>
  <c r="F6" i="9"/>
  <c r="G5" i="9"/>
  <c r="F5" i="9"/>
  <c r="F4" i="9"/>
  <c r="D4" i="9"/>
  <c r="F3" i="9"/>
  <c r="D3" i="9"/>
  <c r="G2" i="9"/>
  <c r="E3" i="9" s="1"/>
  <c r="G3" i="9" s="1"/>
  <c r="E4" i="9" s="1"/>
  <c r="G4" i="9" s="1"/>
  <c r="D51" i="1"/>
  <c r="F53" i="1" s="1"/>
  <c r="F46" i="1"/>
  <c r="D46" i="1"/>
  <c r="G45" i="1"/>
  <c r="E46" i="1" s="1"/>
  <c r="G46" i="1" s="1"/>
  <c r="D53" i="1"/>
  <c r="E49" i="1"/>
  <c r="G49" i="1" s="1"/>
  <c r="P52" i="1"/>
  <c r="P51" i="1"/>
  <c r="P50" i="1"/>
  <c r="E50" i="1"/>
  <c r="E53" i="1" s="1"/>
  <c r="E55" i="1" s="1"/>
  <c r="G32" i="1"/>
  <c r="G5" i="1"/>
  <c r="F5" i="1"/>
  <c r="E106" i="11" l="1"/>
  <c r="G106" i="11" s="1"/>
  <c r="D60" i="11"/>
  <c r="G39" i="9"/>
  <c r="G40" i="9" s="1"/>
  <c r="E41" i="9" s="1"/>
  <c r="G41" i="9" s="1"/>
  <c r="G39" i="11"/>
  <c r="E40" i="11" s="1"/>
  <c r="G68" i="9"/>
  <c r="E69" i="9" s="1"/>
  <c r="G69" i="9" s="1"/>
  <c r="E319" i="1"/>
  <c r="G319" i="1" s="1"/>
  <c r="D71" i="1"/>
  <c r="E73" i="1"/>
  <c r="E71" i="1"/>
  <c r="G71" i="1" s="1"/>
  <c r="G70" i="1"/>
  <c r="E72" i="1"/>
  <c r="G72" i="1" s="1"/>
  <c r="G73" i="1" s="1"/>
  <c r="G66" i="1" s="1"/>
  <c r="G107" i="1" s="1"/>
  <c r="E200" i="1"/>
  <c r="G200" i="1" s="1"/>
  <c r="G96" i="11"/>
  <c r="E97" i="11" s="1"/>
  <c r="E59" i="11"/>
  <c r="G100" i="11"/>
  <c r="G101" i="11" s="1"/>
  <c r="G102" i="11" s="1"/>
  <c r="D253" i="11"/>
  <c r="F249" i="11" s="1"/>
  <c r="F258" i="11" s="1"/>
  <c r="D249" i="11"/>
  <c r="D258" i="11" s="1"/>
  <c r="D211" i="1"/>
  <c r="F104" i="11"/>
  <c r="D105" i="11"/>
  <c r="F105" i="11" s="1"/>
  <c r="F100" i="11"/>
  <c r="F109" i="11" s="1"/>
  <c r="F113" i="11" s="1"/>
  <c r="F117" i="11" s="1"/>
  <c r="F121" i="11" s="1"/>
  <c r="F125" i="11" s="1"/>
  <c r="F129" i="11" s="1"/>
  <c r="F133" i="11" s="1"/>
  <c r="F137" i="11" s="1"/>
  <c r="F141" i="11" s="1"/>
  <c r="F145" i="11" s="1"/>
  <c r="F149" i="11" s="1"/>
  <c r="F153" i="11" s="1"/>
  <c r="F157" i="11" s="1"/>
  <c r="F161" i="11" s="1"/>
  <c r="F165" i="11" s="1"/>
  <c r="F169" i="11" s="1"/>
  <c r="F173" i="11" s="1"/>
  <c r="A140" i="11"/>
  <c r="A138" i="11"/>
  <c r="A139" i="11"/>
  <c r="E249" i="11"/>
  <c r="E250" i="11" s="1"/>
  <c r="F224" i="11"/>
  <c r="D225" i="11"/>
  <c r="D222" i="11" s="1"/>
  <c r="F222" i="11" s="1"/>
  <c r="F231" i="11" s="1"/>
  <c r="F235" i="11" s="1"/>
  <c r="F239" i="11" s="1"/>
  <c r="F243" i="11" s="1"/>
  <c r="F220" i="11"/>
  <c r="F229" i="11" s="1"/>
  <c r="F233" i="11" s="1"/>
  <c r="F237" i="11" s="1"/>
  <c r="F241" i="11" s="1"/>
  <c r="F248" i="11"/>
  <c r="F257" i="11" s="1"/>
  <c r="D232" i="11"/>
  <c r="D236" i="11" s="1"/>
  <c r="D240" i="11" s="1"/>
  <c r="E228" i="11"/>
  <c r="G226" i="11"/>
  <c r="G254" i="11"/>
  <c r="E256" i="11"/>
  <c r="G220" i="11"/>
  <c r="G221" i="11" s="1"/>
  <c r="G222" i="11" s="1"/>
  <c r="E221" i="11"/>
  <c r="E222" i="11" s="1"/>
  <c r="G248" i="11"/>
  <c r="G249" i="11" s="1"/>
  <c r="G250" i="11" s="1"/>
  <c r="E204" i="1"/>
  <c r="G204" i="1" s="1"/>
  <c r="E205" i="1" s="1"/>
  <c r="G205" i="1" s="1"/>
  <c r="E206" i="1" s="1"/>
  <c r="G206" i="1" s="1"/>
  <c r="E207" i="1" s="1"/>
  <c r="G207" i="1" s="1"/>
  <c r="E208" i="1" s="1"/>
  <c r="G208" i="1" s="1"/>
  <c r="E209" i="1" s="1"/>
  <c r="G209" i="1" s="1"/>
  <c r="G203" i="1"/>
  <c r="E211" i="1" s="1"/>
  <c r="G211" i="1" s="1"/>
  <c r="E210" i="1"/>
  <c r="G210" i="1" s="1"/>
  <c r="G29" i="1"/>
  <c r="G63" i="9"/>
  <c r="E62" i="9"/>
  <c r="G62" i="9" s="1"/>
  <c r="G61" i="9"/>
  <c r="D272" i="11"/>
  <c r="D271" i="11"/>
  <c r="F268" i="11"/>
  <c r="D269" i="11" s="1"/>
  <c r="F269" i="11" s="1"/>
  <c r="D270" i="11" s="1"/>
  <c r="F270" i="11" s="1"/>
  <c r="E269" i="11"/>
  <c r="G29" i="9"/>
  <c r="E30" i="9" s="1"/>
  <c r="D52" i="1"/>
  <c r="F52" i="1" s="1"/>
  <c r="E51" i="1"/>
  <c r="E52" i="1"/>
  <c r="E34" i="11"/>
  <c r="G34" i="11" s="1"/>
  <c r="E53" i="9"/>
  <c r="G53" i="9" s="1"/>
  <c r="D87" i="9"/>
  <c r="E52" i="9"/>
  <c r="G52" i="9" s="1"/>
  <c r="E55" i="9"/>
  <c r="G75" i="9"/>
  <c r="E76" i="9" s="1"/>
  <c r="G76" i="9" s="1"/>
  <c r="D101" i="9"/>
  <c r="G23" i="1"/>
  <c r="E24" i="1" s="1"/>
  <c r="E86" i="9"/>
  <c r="G86" i="9" s="1"/>
  <c r="G79" i="9"/>
  <c r="E87" i="9" s="1"/>
  <c r="G87" i="9" s="1"/>
  <c r="E80" i="9"/>
  <c r="G80" i="9" s="1"/>
  <c r="E81" i="9" s="1"/>
  <c r="G81" i="9" s="1"/>
  <c r="E82" i="9" s="1"/>
  <c r="G82" i="9" s="1"/>
  <c r="E83" i="9" s="1"/>
  <c r="G83" i="9" s="1"/>
  <c r="E84" i="9" s="1"/>
  <c r="G84" i="9" s="1"/>
  <c r="E85" i="9" s="1"/>
  <c r="G85" i="9" s="1"/>
  <c r="G93" i="9"/>
  <c r="E101" i="9" s="1"/>
  <c r="G101" i="9" s="1"/>
  <c r="E100" i="9"/>
  <c r="G100" i="9" s="1"/>
  <c r="E94" i="9"/>
  <c r="G94" i="9" s="1"/>
  <c r="E95" i="9" s="1"/>
  <c r="G95" i="9" s="1"/>
  <c r="E96" i="9" s="1"/>
  <c r="G96" i="9" s="1"/>
  <c r="E97" i="9" s="1"/>
  <c r="G97" i="9" s="1"/>
  <c r="E98" i="9" s="1"/>
  <c r="G98" i="9" s="1"/>
  <c r="E99" i="9" s="1"/>
  <c r="G99" i="9" s="1"/>
  <c r="G51" i="9"/>
  <c r="F53" i="9"/>
  <c r="D56" i="9"/>
  <c r="F55" i="9"/>
  <c r="G54" i="9"/>
  <c r="F52" i="9"/>
  <c r="F54" i="9"/>
  <c r="D55" i="9"/>
  <c r="E58" i="9"/>
  <c r="G58" i="9" s="1"/>
  <c r="E59" i="9" s="1"/>
  <c r="G59" i="9" s="1"/>
  <c r="D54" i="1"/>
  <c r="E54" i="1"/>
  <c r="F51" i="1"/>
  <c r="F50" i="1"/>
  <c r="G50" i="1"/>
  <c r="E42" i="9" l="1"/>
  <c r="G42" i="9" s="1"/>
  <c r="E43" i="9" s="1"/>
  <c r="G43" i="9" s="1"/>
  <c r="E44" i="9" s="1"/>
  <c r="G44" i="9" s="1"/>
  <c r="E45" i="9" s="1"/>
  <c r="G45" i="9" s="1"/>
  <c r="D231" i="11"/>
  <c r="D235" i="11" s="1"/>
  <c r="D239" i="11" s="1"/>
  <c r="D243" i="11" s="1"/>
  <c r="D250" i="11"/>
  <c r="D259" i="11" s="1"/>
  <c r="F221" i="11"/>
  <c r="F230" i="11" s="1"/>
  <c r="F234" i="11" s="1"/>
  <c r="F238" i="11" s="1"/>
  <c r="F242" i="11" s="1"/>
  <c r="F253" i="11"/>
  <c r="E108" i="11"/>
  <c r="G108" i="11" s="1"/>
  <c r="G40" i="11"/>
  <c r="E62" i="11"/>
  <c r="E60" i="11"/>
  <c r="G60" i="11" s="1"/>
  <c r="G59" i="11"/>
  <c r="F101" i="11"/>
  <c r="F110" i="11" s="1"/>
  <c r="F114" i="11" s="1"/>
  <c r="F118" i="11" s="1"/>
  <c r="F122" i="11" s="1"/>
  <c r="F126" i="11" s="1"/>
  <c r="F130" i="11" s="1"/>
  <c r="F134" i="11" s="1"/>
  <c r="F138" i="11" s="1"/>
  <c r="F142" i="11" s="1"/>
  <c r="F146" i="11" s="1"/>
  <c r="F150" i="11" s="1"/>
  <c r="F154" i="11" s="1"/>
  <c r="F158" i="11" s="1"/>
  <c r="F162" i="11" s="1"/>
  <c r="F166" i="11" s="1"/>
  <c r="F170" i="11" s="1"/>
  <c r="F174" i="11" s="1"/>
  <c r="G268" i="11"/>
  <c r="E271" i="11" s="1"/>
  <c r="G271" i="11" s="1"/>
  <c r="E272" i="11" s="1"/>
  <c r="G272" i="11" s="1"/>
  <c r="F225" i="11"/>
  <c r="D102" i="11"/>
  <c r="F102" i="11" s="1"/>
  <c r="F111" i="11" s="1"/>
  <c r="F115" i="11" s="1"/>
  <c r="F119" i="11" s="1"/>
  <c r="F123" i="11" s="1"/>
  <c r="F127" i="11" s="1"/>
  <c r="F131" i="11" s="1"/>
  <c r="F135" i="11" s="1"/>
  <c r="F139" i="11" s="1"/>
  <c r="F143" i="11" s="1"/>
  <c r="F147" i="11" s="1"/>
  <c r="F151" i="11" s="1"/>
  <c r="F155" i="11" s="1"/>
  <c r="F159" i="11" s="1"/>
  <c r="F163" i="11" s="1"/>
  <c r="F167" i="11" s="1"/>
  <c r="F171" i="11" s="1"/>
  <c r="F175" i="11" s="1"/>
  <c r="A142" i="11"/>
  <c r="A144" i="11"/>
  <c r="A141" i="11"/>
  <c r="A143" i="11"/>
  <c r="E257" i="11"/>
  <c r="G256" i="11"/>
  <c r="E232" i="11"/>
  <c r="E236" i="11" s="1"/>
  <c r="E240" i="11" s="1"/>
  <c r="G228" i="11"/>
  <c r="E229" i="11"/>
  <c r="E212" i="1"/>
  <c r="G212" i="1" s="1"/>
  <c r="E214" i="1"/>
  <c r="G214" i="1" s="1"/>
  <c r="G269" i="11"/>
  <c r="E270" i="11"/>
  <c r="G270" i="11" s="1"/>
  <c r="D55" i="1"/>
  <c r="F54" i="1"/>
  <c r="E90" i="9"/>
  <c r="G90" i="9" s="1"/>
  <c r="E88" i="9"/>
  <c r="G88" i="9" s="1"/>
  <c r="E102" i="9"/>
  <c r="G102" i="9" s="1"/>
  <c r="E104" i="9"/>
  <c r="G104" i="9" s="1"/>
  <c r="N215" i="11"/>
  <c r="N214" i="11"/>
  <c r="N213" i="11"/>
  <c r="N212" i="11"/>
  <c r="N210" i="11"/>
  <c r="N209" i="11"/>
  <c r="N208" i="11"/>
  <c r="N207" i="11"/>
  <c r="N206" i="11"/>
  <c r="N205" i="11"/>
  <c r="N204" i="11"/>
  <c r="N203" i="11"/>
  <c r="N202" i="11"/>
  <c r="M202" i="11"/>
  <c r="N199" i="11"/>
  <c r="N198" i="11"/>
  <c r="N197" i="11"/>
  <c r="N196" i="11"/>
  <c r="N195" i="11"/>
  <c r="N194" i="11"/>
  <c r="N193" i="11"/>
  <c r="N192" i="11"/>
  <c r="N191" i="11"/>
  <c r="N190" i="11"/>
  <c r="N189" i="11"/>
  <c r="N188" i="11"/>
  <c r="N186" i="11"/>
  <c r="N185" i="11"/>
  <c r="N184" i="11"/>
  <c r="N183" i="11"/>
  <c r="N182" i="11"/>
  <c r="N181" i="11"/>
  <c r="N180" i="11"/>
  <c r="N179" i="11"/>
  <c r="N178" i="11"/>
  <c r="M178" i="11"/>
  <c r="N94" i="11"/>
  <c r="N93" i="11"/>
  <c r="N92" i="11"/>
  <c r="N91" i="11"/>
  <c r="N90" i="11"/>
  <c r="N89" i="11"/>
  <c r="N88" i="11"/>
  <c r="N87" i="11"/>
  <c r="N86" i="11"/>
  <c r="N85" i="11"/>
  <c r="N84" i="11"/>
  <c r="N83" i="11"/>
  <c r="N82" i="11"/>
  <c r="N81" i="11"/>
  <c r="N80" i="11"/>
  <c r="N79" i="11"/>
  <c r="N78" i="11"/>
  <c r="N77" i="11"/>
  <c r="N76" i="11"/>
  <c r="N75" i="11"/>
  <c r="N73" i="11"/>
  <c r="N72" i="11"/>
  <c r="N71" i="11"/>
  <c r="N70" i="11"/>
  <c r="N69" i="11"/>
  <c r="N68" i="11"/>
  <c r="N67" i="11"/>
  <c r="N66" i="11"/>
  <c r="N65" i="11"/>
  <c r="D79" i="11"/>
  <c r="D83" i="11" s="1"/>
  <c r="D87" i="11" s="1"/>
  <c r="D91" i="11" s="1"/>
  <c r="F75" i="11"/>
  <c r="F79" i="11" s="1"/>
  <c r="F83" i="11" s="1"/>
  <c r="F87" i="11" s="1"/>
  <c r="F91" i="11" s="1"/>
  <c r="D74" i="11"/>
  <c r="D71" i="11"/>
  <c r="D72" i="11" s="1"/>
  <c r="F70" i="11"/>
  <c r="E70" i="11"/>
  <c r="E71" i="11" s="1"/>
  <c r="E72" i="11" s="1"/>
  <c r="E67" i="11"/>
  <c r="E73" i="11" s="1"/>
  <c r="D67" i="11"/>
  <c r="D76" i="11" s="1"/>
  <c r="D80" i="11" s="1"/>
  <c r="D84" i="11" s="1"/>
  <c r="D88" i="11" s="1"/>
  <c r="D92" i="11" s="1"/>
  <c r="G66" i="11"/>
  <c r="F321" i="1"/>
  <c r="N243" i="11" l="1"/>
  <c r="N240" i="11"/>
  <c r="N242" i="11"/>
  <c r="N241" i="11"/>
  <c r="E241" i="11"/>
  <c r="G240" i="11"/>
  <c r="E237" i="11"/>
  <c r="G236" i="11"/>
  <c r="N236" i="11"/>
  <c r="N238" i="11"/>
  <c r="N237" i="11"/>
  <c r="N239" i="11"/>
  <c r="F250" i="11"/>
  <c r="F259" i="11" s="1"/>
  <c r="E109" i="11"/>
  <c r="E110" i="11" s="1"/>
  <c r="E112" i="11"/>
  <c r="E116" i="11" s="1"/>
  <c r="E41" i="11"/>
  <c r="G41" i="11" s="1"/>
  <c r="E42" i="11" s="1"/>
  <c r="G42" i="11" s="1"/>
  <c r="E43" i="11" s="1"/>
  <c r="G43" i="11" s="1"/>
  <c r="E44" i="11" s="1"/>
  <c r="G44" i="11" s="1"/>
  <c r="G67" i="11"/>
  <c r="G68" i="11" s="1"/>
  <c r="G69" i="11" s="1"/>
  <c r="D111" i="11"/>
  <c r="D115" i="11" s="1"/>
  <c r="D119" i="11" s="1"/>
  <c r="D123" i="11" s="1"/>
  <c r="D127" i="11" s="1"/>
  <c r="D131" i="11" s="1"/>
  <c r="D135" i="11" s="1"/>
  <c r="D139" i="11" s="1"/>
  <c r="D143" i="11" s="1"/>
  <c r="D147" i="11" s="1"/>
  <c r="D151" i="11" s="1"/>
  <c r="D155" i="11" s="1"/>
  <c r="D159" i="11" s="1"/>
  <c r="D163" i="11" s="1"/>
  <c r="D167" i="11" s="1"/>
  <c r="D171" i="11" s="1"/>
  <c r="D175" i="11" s="1"/>
  <c r="A147" i="11"/>
  <c r="A146" i="11"/>
  <c r="A148" i="11"/>
  <c r="A145" i="11"/>
  <c r="N228" i="11"/>
  <c r="N254" i="11"/>
  <c r="N252" i="11"/>
  <c r="N248" i="11"/>
  <c r="N222" i="11"/>
  <c r="N226" i="11"/>
  <c r="N221" i="11"/>
  <c r="N259" i="11"/>
  <c r="N225" i="11"/>
  <c r="N220" i="11"/>
  <c r="N234" i="11"/>
  <c r="N258" i="11"/>
  <c r="N251" i="11"/>
  <c r="N249" i="11"/>
  <c r="N247" i="11"/>
  <c r="N235" i="11"/>
  <c r="N257" i="11"/>
  <c r="N224" i="11"/>
  <c r="N223" i="11"/>
  <c r="N250" i="11"/>
  <c r="M246" i="11"/>
  <c r="N233" i="11"/>
  <c r="N219" i="11"/>
  <c r="M218" i="11"/>
  <c r="N256" i="11"/>
  <c r="N232" i="11"/>
  <c r="N231" i="11"/>
  <c r="N253" i="11"/>
  <c r="N229" i="11"/>
  <c r="N230" i="11"/>
  <c r="E258" i="11"/>
  <c r="G257" i="11"/>
  <c r="G229" i="11"/>
  <c r="E230" i="11"/>
  <c r="G232" i="11"/>
  <c r="E233" i="11"/>
  <c r="E68" i="11"/>
  <c r="E69" i="11" s="1"/>
  <c r="G36" i="11" s="1"/>
  <c r="E75" i="11"/>
  <c r="E79" i="11" s="1"/>
  <c r="F67" i="11"/>
  <c r="F76" i="11" s="1"/>
  <c r="F80" i="11" s="1"/>
  <c r="F84" i="11" s="1"/>
  <c r="F88" i="11" s="1"/>
  <c r="F92" i="11" s="1"/>
  <c r="D68" i="11"/>
  <c r="D77" i="11" s="1"/>
  <c r="D81" i="11" s="1"/>
  <c r="D85" i="11" s="1"/>
  <c r="D89" i="11" s="1"/>
  <c r="D93" i="11" s="1"/>
  <c r="D69" i="11"/>
  <c r="F68" i="11"/>
  <c r="F77" i="11" s="1"/>
  <c r="F81" i="11" s="1"/>
  <c r="F85" i="11" s="1"/>
  <c r="F89" i="11" s="1"/>
  <c r="F93" i="11" s="1"/>
  <c r="F72" i="11"/>
  <c r="F71" i="11"/>
  <c r="G320" i="1"/>
  <c r="E321" i="1" s="1"/>
  <c r="G321" i="1" s="1"/>
  <c r="G59" i="1"/>
  <c r="F59" i="1"/>
  <c r="F61" i="1" s="1"/>
  <c r="F60" i="1" s="1"/>
  <c r="F63" i="1"/>
  <c r="F65" i="1" s="1"/>
  <c r="F64" i="1" s="1"/>
  <c r="D63" i="1"/>
  <c r="D65" i="1" s="1"/>
  <c r="D64" i="1" s="1"/>
  <c r="D59" i="1"/>
  <c r="D61" i="1" s="1"/>
  <c r="D60" i="1" s="1"/>
  <c r="E191" i="1"/>
  <c r="G227" i="1"/>
  <c r="D224" i="1"/>
  <c r="F223" i="1"/>
  <c r="D223" i="1"/>
  <c r="F222" i="1"/>
  <c r="D222" i="1"/>
  <c r="F221" i="1"/>
  <c r="D221" i="1"/>
  <c r="F220" i="1"/>
  <c r="D220" i="1"/>
  <c r="F219" i="1"/>
  <c r="D219" i="1"/>
  <c r="D218" i="1"/>
  <c r="D217" i="1"/>
  <c r="D225" i="1" s="1"/>
  <c r="G215" i="1"/>
  <c r="E216" i="1" s="1"/>
  <c r="G216" i="1" s="1"/>
  <c r="E217" i="1" s="1"/>
  <c r="D215" i="1"/>
  <c r="D197" i="1"/>
  <c r="G253" i="1"/>
  <c r="E254" i="1" s="1"/>
  <c r="G254" i="1" s="1"/>
  <c r="E108" i="1"/>
  <c r="D16" i="1"/>
  <c r="D4" i="1"/>
  <c r="D3" i="1"/>
  <c r="F262" i="11"/>
  <c r="D262" i="11"/>
  <c r="E261" i="11"/>
  <c r="D261" i="11"/>
  <c r="F261" i="11" s="1"/>
  <c r="G260" i="11"/>
  <c r="G261" i="11" s="1"/>
  <c r="F212" i="11"/>
  <c r="D212" i="11"/>
  <c r="D210" i="11"/>
  <c r="D208" i="11"/>
  <c r="F204" i="11" s="1"/>
  <c r="F213" i="11" s="1"/>
  <c r="F207" i="11"/>
  <c r="E207" i="11"/>
  <c r="E208" i="11" s="1"/>
  <c r="E209" i="11" s="1"/>
  <c r="E204" i="11"/>
  <c r="E210" i="11" s="1"/>
  <c r="D204" i="11"/>
  <c r="D213" i="11" s="1"/>
  <c r="E203" i="11"/>
  <c r="G203" i="11" s="1"/>
  <c r="D196" i="11"/>
  <c r="D192" i="11"/>
  <c r="F188" i="11"/>
  <c r="F192" i="11" s="1"/>
  <c r="F196" i="11" s="1"/>
  <c r="D188" i="11"/>
  <c r="D186" i="11"/>
  <c r="D184" i="11"/>
  <c r="F184" i="11" s="1"/>
  <c r="F183" i="11"/>
  <c r="E183" i="11"/>
  <c r="E184" i="11" s="1"/>
  <c r="E185" i="11" s="1"/>
  <c r="E180" i="11"/>
  <c r="E186" i="11" s="1"/>
  <c r="D180" i="11"/>
  <c r="D189" i="11" s="1"/>
  <c r="E179" i="11"/>
  <c r="G179" i="11" s="1"/>
  <c r="D177" i="11"/>
  <c r="G176" i="11"/>
  <c r="F97" i="11"/>
  <c r="G97" i="11"/>
  <c r="G95" i="11"/>
  <c r="D116" i="9"/>
  <c r="D117" i="9" s="1"/>
  <c r="D118" i="9" s="1"/>
  <c r="P120" i="9"/>
  <c r="P119" i="9"/>
  <c r="P118" i="9"/>
  <c r="F116" i="9"/>
  <c r="F117" i="9" s="1"/>
  <c r="F121" i="9" s="1"/>
  <c r="G115" i="9"/>
  <c r="G74" i="9"/>
  <c r="F74" i="9"/>
  <c r="F36" i="9"/>
  <c r="D36" i="9"/>
  <c r="G35" i="9"/>
  <c r="E36" i="9" s="1"/>
  <c r="G36" i="9" s="1"/>
  <c r="F35" i="9"/>
  <c r="D35" i="9"/>
  <c r="F34" i="9"/>
  <c r="D34" i="9"/>
  <c r="P327" i="1"/>
  <c r="P326" i="1"/>
  <c r="P325" i="1"/>
  <c r="D313" i="1"/>
  <c r="D312" i="1"/>
  <c r="N311" i="1"/>
  <c r="D311" i="1"/>
  <c r="N310" i="1"/>
  <c r="N309" i="1"/>
  <c r="D309" i="1"/>
  <c r="D306" i="1" s="1"/>
  <c r="N308" i="1"/>
  <c r="F308" i="1"/>
  <c r="E308" i="1"/>
  <c r="E309" i="1" s="1"/>
  <c r="E310" i="1" s="1"/>
  <c r="N307" i="1"/>
  <c r="N306" i="1"/>
  <c r="N305" i="1"/>
  <c r="E305" i="1"/>
  <c r="E311" i="1" s="1"/>
  <c r="D305" i="1"/>
  <c r="N304" i="1"/>
  <c r="E304" i="1"/>
  <c r="G304" i="1" s="1"/>
  <c r="M303" i="1"/>
  <c r="N283" i="1"/>
  <c r="D283" i="1"/>
  <c r="D285" i="1" s="1"/>
  <c r="N282" i="1"/>
  <c r="N281" i="1"/>
  <c r="D281" i="1"/>
  <c r="F277" i="1" s="1"/>
  <c r="N280" i="1"/>
  <c r="F280" i="1"/>
  <c r="E280" i="1"/>
  <c r="E281" i="1" s="1"/>
  <c r="E282" i="1" s="1"/>
  <c r="N279" i="1"/>
  <c r="N278" i="1"/>
  <c r="N277" i="1"/>
  <c r="E277" i="1"/>
  <c r="E283" i="1" s="1"/>
  <c r="D277" i="1"/>
  <c r="N276" i="1"/>
  <c r="E276" i="1"/>
  <c r="G276" i="1" s="1"/>
  <c r="M275" i="1"/>
  <c r="F274" i="1"/>
  <c r="G273" i="1"/>
  <c r="E274" i="1" s="1"/>
  <c r="D274" i="1"/>
  <c r="N265" i="1"/>
  <c r="N264" i="1"/>
  <c r="N263" i="1"/>
  <c r="N262" i="1"/>
  <c r="N261" i="1"/>
  <c r="N260" i="1"/>
  <c r="N259" i="1"/>
  <c r="N258" i="1"/>
  <c r="M257" i="1"/>
  <c r="D267" i="1"/>
  <c r="D265" i="1"/>
  <c r="D263" i="1"/>
  <c r="D264" i="1" s="1"/>
  <c r="F262" i="1"/>
  <c r="E262" i="1"/>
  <c r="E263" i="1" s="1"/>
  <c r="E264" i="1" s="1"/>
  <c r="E259" i="1"/>
  <c r="E265" i="1" s="1"/>
  <c r="D259" i="1"/>
  <c r="E258" i="1"/>
  <c r="G258" i="1" s="1"/>
  <c r="D256" i="1"/>
  <c r="G229" i="1"/>
  <c r="E230" i="1" s="1"/>
  <c r="D249" i="1"/>
  <c r="D245" i="1"/>
  <c r="D241" i="1"/>
  <c r="D239" i="1"/>
  <c r="N316" i="1"/>
  <c r="N315" i="1"/>
  <c r="N314" i="1"/>
  <c r="N313" i="1"/>
  <c r="N300" i="1"/>
  <c r="N299" i="1"/>
  <c r="N298" i="1"/>
  <c r="N297" i="1"/>
  <c r="N296" i="1"/>
  <c r="N295" i="1"/>
  <c r="N294" i="1"/>
  <c r="N293" i="1"/>
  <c r="N292" i="1"/>
  <c r="N291" i="1"/>
  <c r="N290" i="1"/>
  <c r="N289" i="1"/>
  <c r="N288" i="1"/>
  <c r="N287" i="1"/>
  <c r="N286" i="1"/>
  <c r="N285" i="1"/>
  <c r="N270" i="1"/>
  <c r="N269" i="1"/>
  <c r="N268" i="1"/>
  <c r="N267" i="1"/>
  <c r="N252" i="1"/>
  <c r="N251" i="1"/>
  <c r="N250" i="1"/>
  <c r="N249" i="1"/>
  <c r="N248" i="1"/>
  <c r="N247" i="1"/>
  <c r="N246" i="1"/>
  <c r="N245" i="1"/>
  <c r="N244" i="1"/>
  <c r="N243" i="1"/>
  <c r="N242" i="1"/>
  <c r="N241" i="1"/>
  <c r="N239" i="1"/>
  <c r="N238" i="1"/>
  <c r="N237" i="1"/>
  <c r="D237" i="1"/>
  <c r="F233" i="1" s="1"/>
  <c r="N236" i="1"/>
  <c r="F236" i="1"/>
  <c r="E236" i="1"/>
  <c r="E237" i="1" s="1"/>
  <c r="E238" i="1" s="1"/>
  <c r="N235" i="1"/>
  <c r="N234" i="1"/>
  <c r="N233" i="1"/>
  <c r="E233" i="1"/>
  <c r="E239" i="1" s="1"/>
  <c r="D233" i="1"/>
  <c r="N232" i="1"/>
  <c r="E232" i="1"/>
  <c r="G232" i="1" s="1"/>
  <c r="M231" i="1"/>
  <c r="D230" i="1"/>
  <c r="D118" i="1"/>
  <c r="D115" i="1"/>
  <c r="F111" i="1" s="1"/>
  <c r="F114" i="1"/>
  <c r="D111" i="1"/>
  <c r="G33" i="1"/>
  <c r="E31" i="1"/>
  <c r="G31" i="1" s="1"/>
  <c r="F47" i="1"/>
  <c r="G187" i="1"/>
  <c r="G188" i="1" s="1"/>
  <c r="E189" i="1" s="1"/>
  <c r="D190" i="1"/>
  <c r="F189" i="1"/>
  <c r="F190" i="1" s="1"/>
  <c r="F108" i="1"/>
  <c r="N86" i="1"/>
  <c r="D85" i="1"/>
  <c r="D82" i="1"/>
  <c r="D83" i="1" s="1"/>
  <c r="E81" i="1"/>
  <c r="E78" i="1"/>
  <c r="E84" i="1" s="1"/>
  <c r="E77" i="1"/>
  <c r="G77" i="1" s="1"/>
  <c r="M76" i="1"/>
  <c r="N105" i="1"/>
  <c r="N104" i="1"/>
  <c r="N103" i="1"/>
  <c r="N102" i="1"/>
  <c r="N101" i="1"/>
  <c r="N100" i="1"/>
  <c r="N99" i="1"/>
  <c r="N98" i="1"/>
  <c r="N97" i="1"/>
  <c r="N96" i="1"/>
  <c r="N95" i="1"/>
  <c r="N94" i="1"/>
  <c r="N93" i="1"/>
  <c r="N92" i="1"/>
  <c r="N91" i="1"/>
  <c r="N90" i="1"/>
  <c r="N89" i="1"/>
  <c r="N88" i="1"/>
  <c r="N87" i="1"/>
  <c r="N84" i="1"/>
  <c r="N83" i="1"/>
  <c r="N82" i="1"/>
  <c r="N81" i="1"/>
  <c r="N80" i="1"/>
  <c r="N79" i="1"/>
  <c r="N78" i="1"/>
  <c r="N77" i="1"/>
  <c r="F75" i="1"/>
  <c r="D75" i="1"/>
  <c r="F74" i="1"/>
  <c r="F57" i="1"/>
  <c r="D57" i="1"/>
  <c r="G6" i="1"/>
  <c r="F4" i="1"/>
  <c r="D36" i="1"/>
  <c r="F44" i="1"/>
  <c r="F43" i="1"/>
  <c r="F42" i="1"/>
  <c r="F41" i="1"/>
  <c r="F40" i="1"/>
  <c r="F39" i="1"/>
  <c r="F38" i="1"/>
  <c r="F37" i="1"/>
  <c r="F35" i="1"/>
  <c r="F34" i="1"/>
  <c r="F30" i="1"/>
  <c r="D35" i="1"/>
  <c r="D34" i="1"/>
  <c r="D30" i="1"/>
  <c r="D26" i="1"/>
  <c r="D25" i="1"/>
  <c r="D24" i="1"/>
  <c r="D23" i="1"/>
  <c r="D22" i="1"/>
  <c r="F26" i="1"/>
  <c r="F25" i="1"/>
  <c r="F24" i="1"/>
  <c r="F23" i="1"/>
  <c r="F22" i="1"/>
  <c r="F6" i="1"/>
  <c r="F7" i="1"/>
  <c r="F8" i="1"/>
  <c r="F9" i="1"/>
  <c r="F10" i="1"/>
  <c r="F11" i="1"/>
  <c r="F3" i="1"/>
  <c r="G11" i="1"/>
  <c r="G10" i="1"/>
  <c r="G9" i="1"/>
  <c r="G8" i="1"/>
  <c r="G20" i="1"/>
  <c r="F20" i="1"/>
  <c r="G2" i="1"/>
  <c r="E3" i="1" s="1"/>
  <c r="G195" i="1"/>
  <c r="E242" i="11" l="1"/>
  <c r="G241" i="11"/>
  <c r="G237" i="11"/>
  <c r="E238" i="11"/>
  <c r="G109" i="11"/>
  <c r="G112" i="11"/>
  <c r="E113" i="11"/>
  <c r="G113" i="11" s="1"/>
  <c r="G283" i="1"/>
  <c r="G239" i="1"/>
  <c r="G265" i="1"/>
  <c r="G311" i="1"/>
  <c r="A149" i="11"/>
  <c r="A151" i="11"/>
  <c r="A150" i="11"/>
  <c r="A152" i="11"/>
  <c r="E111" i="11"/>
  <c r="G111" i="11" s="1"/>
  <c r="G110" i="11"/>
  <c r="G116" i="11"/>
  <c r="E120" i="11"/>
  <c r="E117" i="11"/>
  <c r="E76" i="11"/>
  <c r="E77" i="11" s="1"/>
  <c r="G230" i="11"/>
  <c r="E231" i="11"/>
  <c r="G231" i="11" s="1"/>
  <c r="E234" i="11"/>
  <c r="G233" i="11"/>
  <c r="E259" i="11"/>
  <c r="G259" i="11" s="1"/>
  <c r="G246" i="11" s="1"/>
  <c r="G258" i="11"/>
  <c r="G75" i="11"/>
  <c r="G73" i="11"/>
  <c r="E60" i="1"/>
  <c r="G60" i="1" s="1"/>
  <c r="E61" i="1" s="1"/>
  <c r="E177" i="11"/>
  <c r="G177" i="11" s="1"/>
  <c r="E262" i="11"/>
  <c r="G262" i="11" s="1"/>
  <c r="E116" i="9"/>
  <c r="G116" i="9" s="1"/>
  <c r="E117" i="9" s="1"/>
  <c r="G117" i="9" s="1"/>
  <c r="E119" i="9" s="1"/>
  <c r="E80" i="11"/>
  <c r="E83" i="11"/>
  <c r="G79" i="11"/>
  <c r="D78" i="11"/>
  <c r="D82" i="11" s="1"/>
  <c r="D86" i="11" s="1"/>
  <c r="D90" i="11" s="1"/>
  <c r="D94" i="11" s="1"/>
  <c r="F69" i="11"/>
  <c r="F78" i="11" s="1"/>
  <c r="F82" i="11" s="1"/>
  <c r="F86" i="11" s="1"/>
  <c r="F90" i="11" s="1"/>
  <c r="F94" i="11" s="1"/>
  <c r="D216" i="1"/>
  <c r="G217" i="1"/>
  <c r="E225" i="1" s="1"/>
  <c r="G225" i="1" s="1"/>
  <c r="E218" i="1"/>
  <c r="G218" i="1" s="1"/>
  <c r="E219" i="1" s="1"/>
  <c r="G219" i="1" s="1"/>
  <c r="E220" i="1" s="1"/>
  <c r="G220" i="1" s="1"/>
  <c r="E221" i="1" s="1"/>
  <c r="G221" i="1" s="1"/>
  <c r="E222" i="1" s="1"/>
  <c r="G222" i="1" s="1"/>
  <c r="E223" i="1" s="1"/>
  <c r="G223" i="1" s="1"/>
  <c r="E224" i="1"/>
  <c r="G224" i="1" s="1"/>
  <c r="F208" i="11"/>
  <c r="D209" i="11"/>
  <c r="F205" i="11" s="1"/>
  <c r="F214" i="11" s="1"/>
  <c r="D185" i="11"/>
  <c r="F180" i="11"/>
  <c r="F189" i="11" s="1"/>
  <c r="D205" i="11"/>
  <c r="D214" i="11" s="1"/>
  <c r="G180" i="11"/>
  <c r="G181" i="11" s="1"/>
  <c r="G182" i="11" s="1"/>
  <c r="D181" i="11"/>
  <c r="D190" i="11" s="1"/>
  <c r="D194" i="11" s="1"/>
  <c r="D193" i="11"/>
  <c r="D197" i="11"/>
  <c r="G186" i="11"/>
  <c r="E188" i="11"/>
  <c r="E205" i="11"/>
  <c r="E206" i="11" s="1"/>
  <c r="G204" i="11"/>
  <c r="G205" i="11" s="1"/>
  <c r="G206" i="11" s="1"/>
  <c r="E181" i="11"/>
  <c r="E182" i="11" s="1"/>
  <c r="D122" i="9"/>
  <c r="D121" i="9"/>
  <c r="F118" i="9"/>
  <c r="D119" i="9" s="1"/>
  <c r="F119" i="9" s="1"/>
  <c r="D120" i="9" s="1"/>
  <c r="F120" i="9" s="1"/>
  <c r="D71" i="9"/>
  <c r="D278" i="1"/>
  <c r="G305" i="1"/>
  <c r="G306" i="1" s="1"/>
  <c r="G307" i="1" s="1"/>
  <c r="F309" i="1"/>
  <c r="D310" i="1"/>
  <c r="F305" i="1"/>
  <c r="E306" i="1"/>
  <c r="E307" i="1" s="1"/>
  <c r="G277" i="1"/>
  <c r="G278" i="1" s="1"/>
  <c r="G279" i="1" s="1"/>
  <c r="E278" i="1"/>
  <c r="E279" i="1" s="1"/>
  <c r="F281" i="1"/>
  <c r="D282" i="1"/>
  <c r="G274" i="1"/>
  <c r="E260" i="1"/>
  <c r="E261" i="1" s="1"/>
  <c r="G259" i="1"/>
  <c r="G260" i="1" s="1"/>
  <c r="G261" i="1" s="1"/>
  <c r="D261" i="1"/>
  <c r="F261" i="1" s="1"/>
  <c r="F260" i="1"/>
  <c r="F264" i="1"/>
  <c r="F259" i="1"/>
  <c r="D260" i="1"/>
  <c r="F263" i="1"/>
  <c r="G233" i="1"/>
  <c r="G234" i="1" s="1"/>
  <c r="G235" i="1" s="1"/>
  <c r="E234" i="1"/>
  <c r="E235" i="1" s="1"/>
  <c r="F237" i="1"/>
  <c r="D238" i="1"/>
  <c r="D234" i="1"/>
  <c r="F241" i="1"/>
  <c r="D112" i="1"/>
  <c r="F115" i="1"/>
  <c r="D116" i="1"/>
  <c r="D289" i="1"/>
  <c r="D293" i="1" s="1"/>
  <c r="D297" i="1" s="1"/>
  <c r="D286" i="1"/>
  <c r="D290" i="1" s="1"/>
  <c r="D294" i="1" s="1"/>
  <c r="D298" i="1" s="1"/>
  <c r="G3" i="1"/>
  <c r="E4" i="1" s="1"/>
  <c r="F267" i="1"/>
  <c r="F285" i="1"/>
  <c r="F289" i="1" s="1"/>
  <c r="F293" i="1" s="1"/>
  <c r="F297" i="1" s="1"/>
  <c r="D268" i="1"/>
  <c r="F194" i="1"/>
  <c r="D120" i="1"/>
  <c r="D124" i="1" s="1"/>
  <c r="D128" i="1" s="1"/>
  <c r="D132" i="1" s="1"/>
  <c r="D136" i="1" s="1"/>
  <c r="D140" i="1" s="1"/>
  <c r="D144" i="1" s="1"/>
  <c r="D148" i="1" s="1"/>
  <c r="D152" i="1" s="1"/>
  <c r="D156" i="1" s="1"/>
  <c r="D160" i="1" s="1"/>
  <c r="D164" i="1" s="1"/>
  <c r="D168" i="1" s="1"/>
  <c r="D172" i="1" s="1"/>
  <c r="D176" i="1" s="1"/>
  <c r="D180" i="1" s="1"/>
  <c r="D184" i="1" s="1"/>
  <c r="D123" i="1"/>
  <c r="D127" i="1" s="1"/>
  <c r="D131" i="1" s="1"/>
  <c r="D135" i="1" s="1"/>
  <c r="D139" i="1" s="1"/>
  <c r="D143" i="1" s="1"/>
  <c r="D147" i="1" s="1"/>
  <c r="D151" i="1" s="1"/>
  <c r="D155" i="1" s="1"/>
  <c r="D159" i="1" s="1"/>
  <c r="D163" i="1" s="1"/>
  <c r="D167" i="1" s="1"/>
  <c r="D171" i="1" s="1"/>
  <c r="D175" i="1" s="1"/>
  <c r="D179" i="1" s="1"/>
  <c r="D183" i="1" s="1"/>
  <c r="D78" i="1"/>
  <c r="A147" i="1"/>
  <c r="D323" i="1"/>
  <c r="D324" i="1" s="1"/>
  <c r="D325" i="1" s="1"/>
  <c r="D329" i="1" s="1"/>
  <c r="E243" i="11" l="1"/>
  <c r="G243" i="11" s="1"/>
  <c r="G218" i="11" s="1"/>
  <c r="G242" i="11"/>
  <c r="E239" i="11"/>
  <c r="G239" i="11" s="1"/>
  <c r="G238" i="11"/>
  <c r="E114" i="11"/>
  <c r="E115" i="11" s="1"/>
  <c r="G115" i="11" s="1"/>
  <c r="G76" i="11"/>
  <c r="E118" i="11"/>
  <c r="G117" i="11"/>
  <c r="E124" i="11"/>
  <c r="E121" i="11"/>
  <c r="G120" i="11"/>
  <c r="A154" i="11"/>
  <c r="A156" i="11"/>
  <c r="A153" i="11"/>
  <c r="A155" i="11"/>
  <c r="G251" i="11"/>
  <c r="G252" i="11" s="1"/>
  <c r="G253" i="11" s="1"/>
  <c r="E255" i="11"/>
  <c r="G255" i="11" s="1"/>
  <c r="E235" i="11"/>
  <c r="G235" i="11" s="1"/>
  <c r="G234" i="11"/>
  <c r="E34" i="9"/>
  <c r="G34" i="9" s="1"/>
  <c r="G77" i="11"/>
  <c r="E78" i="11"/>
  <c r="G78" i="11" s="1"/>
  <c r="E84" i="11"/>
  <c r="E87" i="11"/>
  <c r="G83" i="11"/>
  <c r="E81" i="11"/>
  <c r="G80" i="11"/>
  <c r="E228" i="1"/>
  <c r="G228" i="1" s="1"/>
  <c r="E226" i="1"/>
  <c r="G226" i="1" s="1"/>
  <c r="F197" i="11"/>
  <c r="F193" i="11"/>
  <c r="D198" i="11"/>
  <c r="F181" i="11"/>
  <c r="F190" i="11" s="1"/>
  <c r="F185" i="11"/>
  <c r="F209" i="11"/>
  <c r="D206" i="11"/>
  <c r="D182" i="11"/>
  <c r="F182" i="11" s="1"/>
  <c r="F191" i="11" s="1"/>
  <c r="E212" i="11"/>
  <c r="G210" i="11"/>
  <c r="E189" i="11"/>
  <c r="E192" i="11"/>
  <c r="G188" i="11"/>
  <c r="G118" i="9"/>
  <c r="E121" i="9" s="1"/>
  <c r="G121" i="9" s="1"/>
  <c r="E122" i="9" s="1"/>
  <c r="G122" i="9" s="1"/>
  <c r="G119" i="9"/>
  <c r="E120" i="9"/>
  <c r="G120" i="9" s="1"/>
  <c r="D328" i="1"/>
  <c r="F325" i="1"/>
  <c r="D326" i="1" s="1"/>
  <c r="F326" i="1" s="1"/>
  <c r="D327" i="1" s="1"/>
  <c r="F327" i="1" s="1"/>
  <c r="F306" i="1"/>
  <c r="F310" i="1"/>
  <c r="D307" i="1"/>
  <c r="F307" i="1" s="1"/>
  <c r="F278" i="1"/>
  <c r="F282" i="1"/>
  <c r="D279" i="1"/>
  <c r="F279" i="1" s="1"/>
  <c r="F234" i="1"/>
  <c r="F238" i="1"/>
  <c r="D235" i="1"/>
  <c r="F235" i="1" s="1"/>
  <c r="E241" i="1"/>
  <c r="G241" i="1" s="1"/>
  <c r="D113" i="1"/>
  <c r="F113" i="1" s="1"/>
  <c r="F116" i="1"/>
  <c r="F112" i="1"/>
  <c r="G192" i="1"/>
  <c r="G4" i="1"/>
  <c r="E12" i="1" s="1"/>
  <c r="G12" i="1" s="1"/>
  <c r="E13" i="1" s="1"/>
  <c r="G13" i="1" s="1"/>
  <c r="E14" i="1" s="1"/>
  <c r="G14" i="1" s="1"/>
  <c r="F313" i="1"/>
  <c r="D315" i="1"/>
  <c r="D314" i="1"/>
  <c r="F314" i="1"/>
  <c r="D287" i="1"/>
  <c r="D291" i="1" s="1"/>
  <c r="D295" i="1" s="1"/>
  <c r="D299" i="1" s="1"/>
  <c r="F286" i="1"/>
  <c r="F290" i="1" s="1"/>
  <c r="F294" i="1" s="1"/>
  <c r="F298" i="1" s="1"/>
  <c r="D269" i="1"/>
  <c r="F268" i="1"/>
  <c r="A151" i="1"/>
  <c r="A155" i="1" s="1"/>
  <c r="A159" i="1" s="1"/>
  <c r="A163" i="1" s="1"/>
  <c r="A167" i="1" s="1"/>
  <c r="A171" i="1" s="1"/>
  <c r="A175" i="1" s="1"/>
  <c r="A179" i="1" s="1"/>
  <c r="A183" i="1" s="1"/>
  <c r="A148" i="1"/>
  <c r="A149" i="1"/>
  <c r="A150" i="1"/>
  <c r="F119" i="1"/>
  <c r="F123" i="1" s="1"/>
  <c r="F127" i="1" s="1"/>
  <c r="F131" i="1" s="1"/>
  <c r="F135" i="1" s="1"/>
  <c r="F139" i="1" s="1"/>
  <c r="F143" i="1" s="1"/>
  <c r="F147" i="1" s="1"/>
  <c r="F151" i="1" s="1"/>
  <c r="F155" i="1" s="1"/>
  <c r="F159" i="1" s="1"/>
  <c r="F163" i="1" s="1"/>
  <c r="F167" i="1" s="1"/>
  <c r="F171" i="1" s="1"/>
  <c r="F175" i="1" s="1"/>
  <c r="F179" i="1" s="1"/>
  <c r="F183" i="1" s="1"/>
  <c r="G114" i="11" l="1"/>
  <c r="A159" i="11"/>
  <c r="A158" i="11"/>
  <c r="A160" i="11"/>
  <c r="A157" i="11"/>
  <c r="G118" i="11"/>
  <c r="E119" i="11"/>
  <c r="G119" i="11" s="1"/>
  <c r="E122" i="11"/>
  <c r="G121" i="11"/>
  <c r="E128" i="11"/>
  <c r="E125" i="11"/>
  <c r="G124" i="11"/>
  <c r="G61" i="1"/>
  <c r="G81" i="11"/>
  <c r="E82" i="11"/>
  <c r="G82" i="11" s="1"/>
  <c r="E85" i="11"/>
  <c r="G84" i="11"/>
  <c r="G87" i="11"/>
  <c r="E88" i="11"/>
  <c r="E91" i="11"/>
  <c r="D215" i="11"/>
  <c r="F206" i="11"/>
  <c r="F215" i="11" s="1"/>
  <c r="D191" i="11"/>
  <c r="D199" i="11" s="1"/>
  <c r="F198" i="11"/>
  <c r="F194" i="11"/>
  <c r="E213" i="11"/>
  <c r="G212" i="11"/>
  <c r="F195" i="11"/>
  <c r="F199" i="11"/>
  <c r="E196" i="11"/>
  <c r="E193" i="11"/>
  <c r="G192" i="11"/>
  <c r="G189" i="11"/>
  <c r="E190" i="11"/>
  <c r="E71" i="9"/>
  <c r="G71" i="9" s="1"/>
  <c r="F287" i="1"/>
  <c r="F291" i="1" s="1"/>
  <c r="F295" i="1" s="1"/>
  <c r="F299" i="1" s="1"/>
  <c r="F315" i="1"/>
  <c r="D316" i="1"/>
  <c r="F269" i="1"/>
  <c r="D121" i="1"/>
  <c r="D125" i="1" s="1"/>
  <c r="D129" i="1" s="1"/>
  <c r="D133" i="1" s="1"/>
  <c r="D137" i="1" s="1"/>
  <c r="D141" i="1" s="1"/>
  <c r="D145" i="1" s="1"/>
  <c r="D149" i="1" s="1"/>
  <c r="D153" i="1" s="1"/>
  <c r="D157" i="1" s="1"/>
  <c r="D161" i="1" s="1"/>
  <c r="D165" i="1" s="1"/>
  <c r="D169" i="1" s="1"/>
  <c r="D173" i="1" s="1"/>
  <c r="D177" i="1" s="1"/>
  <c r="D181" i="1" s="1"/>
  <c r="D185" i="1" s="1"/>
  <c r="A185" i="1"/>
  <c r="A184" i="1"/>
  <c r="A186" i="1"/>
  <c r="A181" i="1"/>
  <c r="A180" i="1"/>
  <c r="A182" i="1"/>
  <c r="F120" i="1"/>
  <c r="F124" i="1" s="1"/>
  <c r="F128" i="1" s="1"/>
  <c r="F132" i="1" s="1"/>
  <c r="F136" i="1" s="1"/>
  <c r="F140" i="1" s="1"/>
  <c r="F144" i="1" s="1"/>
  <c r="F148" i="1" s="1"/>
  <c r="F152" i="1" s="1"/>
  <c r="F156" i="1" s="1"/>
  <c r="F160" i="1" s="1"/>
  <c r="F164" i="1" s="1"/>
  <c r="F168" i="1" s="1"/>
  <c r="F172" i="1" s="1"/>
  <c r="F176" i="1" s="1"/>
  <c r="F180" i="1" s="1"/>
  <c r="F184" i="1" s="1"/>
  <c r="A177" i="1"/>
  <c r="A178" i="1"/>
  <c r="A176" i="1"/>
  <c r="A172" i="1"/>
  <c r="A173" i="1"/>
  <c r="A174" i="1"/>
  <c r="A170" i="1"/>
  <c r="A169" i="1"/>
  <c r="A168" i="1"/>
  <c r="A165" i="1"/>
  <c r="A164" i="1"/>
  <c r="A166" i="1"/>
  <c r="A161" i="1"/>
  <c r="A160" i="1"/>
  <c r="A162" i="1"/>
  <c r="A157" i="1"/>
  <c r="A158" i="1"/>
  <c r="A156" i="1"/>
  <c r="A153" i="1"/>
  <c r="A152" i="1"/>
  <c r="A154" i="1"/>
  <c r="G128" i="11" l="1"/>
  <c r="E132" i="11"/>
  <c r="E129" i="11"/>
  <c r="G125" i="11"/>
  <c r="E126" i="11"/>
  <c r="G122" i="11"/>
  <c r="E123" i="11"/>
  <c r="G123" i="11" s="1"/>
  <c r="A161" i="11"/>
  <c r="A163" i="11"/>
  <c r="A162" i="11"/>
  <c r="A164" i="11"/>
  <c r="G58" i="1"/>
  <c r="E62" i="1" s="1"/>
  <c r="E63" i="1" s="1"/>
  <c r="G63" i="1" s="1"/>
  <c r="E64" i="1" s="1"/>
  <c r="G64" i="1" s="1"/>
  <c r="E65" i="1" s="1"/>
  <c r="G65" i="1" s="1"/>
  <c r="G62" i="1" s="1"/>
  <c r="E92" i="11"/>
  <c r="G91" i="11"/>
  <c r="E89" i="11"/>
  <c r="G88" i="11"/>
  <c r="G85" i="11"/>
  <c r="E86" i="11"/>
  <c r="G86" i="11" s="1"/>
  <c r="D195" i="11"/>
  <c r="E214" i="11"/>
  <c r="G213" i="11"/>
  <c r="E194" i="11"/>
  <c r="G193" i="11"/>
  <c r="G196" i="11"/>
  <c r="E197" i="11"/>
  <c r="E191" i="11"/>
  <c r="G191" i="11" s="1"/>
  <c r="G190" i="11"/>
  <c r="D288" i="1"/>
  <c r="D292" i="1" s="1"/>
  <c r="D296" i="1" s="1"/>
  <c r="D300" i="1" s="1"/>
  <c r="F316" i="1"/>
  <c r="F288" i="1"/>
  <c r="F292" i="1" s="1"/>
  <c r="F296" i="1" s="1"/>
  <c r="F300" i="1" s="1"/>
  <c r="D270" i="1"/>
  <c r="F270" i="1"/>
  <c r="D191" i="1"/>
  <c r="F121" i="1"/>
  <c r="F125" i="1" s="1"/>
  <c r="F129" i="1" s="1"/>
  <c r="F133" i="1" s="1"/>
  <c r="F137" i="1" s="1"/>
  <c r="F141" i="1" s="1"/>
  <c r="F145" i="1" s="1"/>
  <c r="F149" i="1" s="1"/>
  <c r="F153" i="1" s="1"/>
  <c r="F157" i="1" s="1"/>
  <c r="F161" i="1" s="1"/>
  <c r="F165" i="1" s="1"/>
  <c r="F169" i="1" s="1"/>
  <c r="F173" i="1" s="1"/>
  <c r="F177" i="1" s="1"/>
  <c r="F181" i="1" s="1"/>
  <c r="F185" i="1" s="1"/>
  <c r="A166" i="11" l="1"/>
  <c r="A168" i="11"/>
  <c r="A165" i="11"/>
  <c r="A167" i="11"/>
  <c r="E127" i="11"/>
  <c r="G127" i="11" s="1"/>
  <c r="G126" i="11"/>
  <c r="E130" i="11"/>
  <c r="G129" i="11"/>
  <c r="E136" i="11"/>
  <c r="E133" i="11"/>
  <c r="G132" i="11"/>
  <c r="G223" i="11"/>
  <c r="E227" i="11"/>
  <c r="G227" i="11" s="1"/>
  <c r="E93" i="11"/>
  <c r="G92" i="11"/>
  <c r="G89" i="11"/>
  <c r="E90" i="11"/>
  <c r="G90" i="11" s="1"/>
  <c r="E215" i="11"/>
  <c r="G215" i="11" s="1"/>
  <c r="G202" i="11" s="1"/>
  <c r="G214" i="11"/>
  <c r="G197" i="11"/>
  <c r="E198" i="11"/>
  <c r="E195" i="11"/>
  <c r="G195" i="11" s="1"/>
  <c r="G194" i="11"/>
  <c r="D122" i="1"/>
  <c r="D126" i="1" s="1"/>
  <c r="D130" i="1" s="1"/>
  <c r="D134" i="1" s="1"/>
  <c r="D138" i="1" s="1"/>
  <c r="D142" i="1" s="1"/>
  <c r="D146" i="1" s="1"/>
  <c r="D150" i="1" s="1"/>
  <c r="D154" i="1" s="1"/>
  <c r="D158" i="1" s="1"/>
  <c r="D162" i="1" s="1"/>
  <c r="D166" i="1" s="1"/>
  <c r="D170" i="1" s="1"/>
  <c r="D174" i="1" s="1"/>
  <c r="D178" i="1" s="1"/>
  <c r="D182" i="1" s="1"/>
  <c r="D186" i="1" s="1"/>
  <c r="G224" i="11" l="1"/>
  <c r="G225" i="11" s="1"/>
  <c r="A171" i="11"/>
  <c r="A170" i="11"/>
  <c r="A172" i="11"/>
  <c r="A169" i="11"/>
  <c r="E134" i="11"/>
  <c r="G133" i="11"/>
  <c r="G136" i="11"/>
  <c r="E140" i="11"/>
  <c r="E137" i="11"/>
  <c r="E131" i="11"/>
  <c r="G131" i="11" s="1"/>
  <c r="G130" i="11"/>
  <c r="E94" i="11"/>
  <c r="G94" i="11" s="1"/>
  <c r="G65" i="11" s="1"/>
  <c r="G93" i="11"/>
  <c r="E199" i="11"/>
  <c r="G199" i="11" s="1"/>
  <c r="G178" i="11" s="1"/>
  <c r="G198" i="11"/>
  <c r="G207" i="11"/>
  <c r="G208" i="11" s="1"/>
  <c r="G209" i="11" s="1"/>
  <c r="E211" i="11"/>
  <c r="G211" i="11" s="1"/>
  <c r="F122" i="1"/>
  <c r="F126" i="1" s="1"/>
  <c r="F130" i="1" s="1"/>
  <c r="F134" i="1" s="1"/>
  <c r="F138" i="1" s="1"/>
  <c r="F142" i="1" s="1"/>
  <c r="F146" i="1" s="1"/>
  <c r="F150" i="1" s="1"/>
  <c r="F154" i="1" s="1"/>
  <c r="F158" i="1" s="1"/>
  <c r="F162" i="1" s="1"/>
  <c r="F166" i="1" s="1"/>
  <c r="F170" i="1" s="1"/>
  <c r="F174" i="1" s="1"/>
  <c r="F178" i="1" s="1"/>
  <c r="F182" i="1" s="1"/>
  <c r="F186" i="1" s="1"/>
  <c r="E144" i="11" l="1"/>
  <c r="E141" i="11"/>
  <c r="G140" i="11"/>
  <c r="E138" i="11"/>
  <c r="G137" i="11"/>
  <c r="A173" i="11"/>
  <c r="A175" i="11"/>
  <c r="A174" i="11"/>
  <c r="G134" i="11"/>
  <c r="E135" i="11"/>
  <c r="G135" i="11" s="1"/>
  <c r="E74" i="11"/>
  <c r="G74" i="11" s="1"/>
  <c r="G70" i="11"/>
  <c r="G71" i="11" s="1"/>
  <c r="G72" i="11" s="1"/>
  <c r="G183" i="11"/>
  <c r="G184" i="11" s="1"/>
  <c r="G185" i="11" s="1"/>
  <c r="E187" i="11"/>
  <c r="G187" i="11" s="1"/>
  <c r="G106" i="1"/>
  <c r="G56" i="1"/>
  <c r="E139" i="11" l="1"/>
  <c r="G139" i="11" s="1"/>
  <c r="G138" i="11"/>
  <c r="G141" i="11"/>
  <c r="E142" i="11"/>
  <c r="E148" i="11"/>
  <c r="E145" i="11"/>
  <c r="G144" i="11"/>
  <c r="E57" i="1"/>
  <c r="G57" i="1" s="1"/>
  <c r="D80" i="1"/>
  <c r="F80" i="1" s="1"/>
  <c r="D79" i="1"/>
  <c r="F86" i="1"/>
  <c r="E30" i="1"/>
  <c r="G30" i="1" s="1"/>
  <c r="G35" i="1"/>
  <c r="D37" i="1"/>
  <c r="E17" i="1"/>
  <c r="E16" i="1" s="1"/>
  <c r="G16" i="1" s="1"/>
  <c r="G18" i="1"/>
  <c r="E146" i="11" l="1"/>
  <c r="G145" i="11"/>
  <c r="E149" i="11"/>
  <c r="G148" i="11"/>
  <c r="E152" i="11"/>
  <c r="E143" i="11"/>
  <c r="G143" i="11" s="1"/>
  <c r="G142" i="11"/>
  <c r="G189" i="1"/>
  <c r="G190" i="1" s="1"/>
  <c r="D89" i="1"/>
  <c r="D38" i="1"/>
  <c r="D39" i="1"/>
  <c r="D40" i="1"/>
  <c r="D41" i="1"/>
  <c r="D42" i="1"/>
  <c r="D43" i="1"/>
  <c r="D44" i="1"/>
  <c r="E156" i="11" l="1"/>
  <c r="E153" i="11"/>
  <c r="G152" i="11"/>
  <c r="E150" i="11"/>
  <c r="G149" i="11"/>
  <c r="G146" i="11"/>
  <c r="E147" i="11"/>
  <c r="G147" i="11" s="1"/>
  <c r="G24" i="1"/>
  <c r="E25" i="1" s="1"/>
  <c r="F89" i="1"/>
  <c r="E34" i="1"/>
  <c r="G34" i="1" s="1"/>
  <c r="F323" i="1"/>
  <c r="F324" i="1" s="1"/>
  <c r="F328" i="1" s="1"/>
  <c r="G7" i="1"/>
  <c r="E151" i="11" l="1"/>
  <c r="G151" i="11" s="1"/>
  <c r="G150" i="11"/>
  <c r="G153" i="11"/>
  <c r="E154" i="11"/>
  <c r="E160" i="11"/>
  <c r="E157" i="11"/>
  <c r="G156" i="11"/>
  <c r="G230" i="1"/>
  <c r="E158" i="11" l="1"/>
  <c r="G157" i="11"/>
  <c r="E161" i="11"/>
  <c r="G160" i="11"/>
  <c r="E164" i="11"/>
  <c r="E155" i="11"/>
  <c r="G155" i="11" s="1"/>
  <c r="G154" i="11"/>
  <c r="F81" i="1"/>
  <c r="E168" i="11" l="1"/>
  <c r="E165" i="11"/>
  <c r="G164" i="11"/>
  <c r="E162" i="11"/>
  <c r="G161" i="11"/>
  <c r="G158" i="11"/>
  <c r="E159" i="11"/>
  <c r="G159" i="11" s="1"/>
  <c r="F245" i="1"/>
  <c r="F249" i="1" s="1"/>
  <c r="D242" i="1"/>
  <c r="E163" i="11" l="1"/>
  <c r="G163" i="11" s="1"/>
  <c r="G162" i="11"/>
  <c r="G165" i="11"/>
  <c r="E166" i="11"/>
  <c r="E172" i="11"/>
  <c r="E169" i="11"/>
  <c r="G168" i="11"/>
  <c r="D250" i="1"/>
  <c r="D246" i="1"/>
  <c r="D243" i="1"/>
  <c r="F242" i="1"/>
  <c r="G194" i="1"/>
  <c r="E167" i="11" l="1"/>
  <c r="G167" i="11" s="1"/>
  <c r="G166" i="11"/>
  <c r="E170" i="11"/>
  <c r="G169" i="11"/>
  <c r="E173" i="11"/>
  <c r="G172" i="11"/>
  <c r="F250" i="1"/>
  <c r="F246" i="1"/>
  <c r="D251" i="1"/>
  <c r="D247" i="1"/>
  <c r="F243" i="1"/>
  <c r="G196" i="1"/>
  <c r="E197" i="1" s="1"/>
  <c r="E174" i="11" l="1"/>
  <c r="G173" i="11"/>
  <c r="G170" i="11"/>
  <c r="E171" i="11"/>
  <c r="G171" i="11" s="1"/>
  <c r="F251" i="1"/>
  <c r="F247" i="1"/>
  <c r="D244" i="1"/>
  <c r="F244" i="1"/>
  <c r="E175" i="11" l="1"/>
  <c r="G175" i="11" s="1"/>
  <c r="G98" i="11" s="1"/>
  <c r="G174" i="11"/>
  <c r="G197" i="1"/>
  <c r="F252" i="1"/>
  <c r="F248" i="1"/>
  <c r="D252" i="1"/>
  <c r="D248" i="1"/>
  <c r="D90" i="1"/>
  <c r="D94" i="1" s="1"/>
  <c r="D98" i="1" s="1"/>
  <c r="D102" i="1" s="1"/>
  <c r="F90" i="1"/>
  <c r="F94" i="1" s="1"/>
  <c r="F98" i="1" s="1"/>
  <c r="F102" i="1" s="1"/>
  <c r="G103" i="11" l="1"/>
  <c r="G104" i="11" s="1"/>
  <c r="G105" i="11" s="1"/>
  <c r="E107" i="11"/>
  <c r="G107" i="11" s="1"/>
  <c r="D87" i="1"/>
  <c r="D91" i="1" s="1"/>
  <c r="D95" i="1" s="1"/>
  <c r="D99" i="1" s="1"/>
  <c r="D103" i="1" s="1"/>
  <c r="G74" i="1" l="1"/>
  <c r="F82" i="1"/>
  <c r="E75" i="1" l="1"/>
  <c r="G75" i="1" s="1"/>
  <c r="F78" i="1"/>
  <c r="F87" i="1" s="1"/>
  <c r="F91" i="1" s="1"/>
  <c r="F95" i="1" s="1"/>
  <c r="F99" i="1" s="1"/>
  <c r="F103" i="1" s="1"/>
  <c r="D88" i="1"/>
  <c r="D92" i="1" s="1"/>
  <c r="D96" i="1" s="1"/>
  <c r="D100" i="1" s="1"/>
  <c r="D104" i="1" s="1"/>
  <c r="F79" i="1"/>
  <c r="F88" i="1" s="1"/>
  <c r="F92" i="1" s="1"/>
  <c r="F96" i="1" s="1"/>
  <c r="F100" i="1" s="1"/>
  <c r="F104" i="1" s="1"/>
  <c r="F83" i="1" l="1"/>
  <c r="D93" i="1" l="1"/>
  <c r="D97" i="1" s="1"/>
  <c r="D101" i="1" s="1"/>
  <c r="D105" i="1" s="1"/>
  <c r="F93" i="1" l="1"/>
  <c r="F97" i="1" l="1"/>
  <c r="F101" i="1" l="1"/>
  <c r="F105" i="1" l="1"/>
  <c r="E245" i="1" l="1"/>
  <c r="E249" i="1" s="1"/>
  <c r="E242" i="1" l="1"/>
  <c r="E243" i="1" l="1"/>
  <c r="G242" i="1"/>
  <c r="E244" i="1" l="1"/>
  <c r="G243" i="1"/>
  <c r="G244" i="1" l="1"/>
  <c r="G245" i="1" l="1"/>
  <c r="E246" i="1"/>
  <c r="E247" i="1" l="1"/>
  <c r="G246" i="1"/>
  <c r="E248" i="1" l="1"/>
  <c r="G247" i="1"/>
  <c r="G248" i="1" l="1"/>
  <c r="G108" i="1"/>
  <c r="G249" i="1" l="1"/>
  <c r="E250" i="1"/>
  <c r="G250" i="1" l="1"/>
  <c r="E251" i="1"/>
  <c r="G84" i="1"/>
  <c r="G78" i="1"/>
  <c r="G79" i="1" s="1"/>
  <c r="G80" i="1" s="1"/>
  <c r="E79" i="1"/>
  <c r="E252" i="1" l="1"/>
  <c r="G252" i="1" s="1"/>
  <c r="G231" i="1" s="1"/>
  <c r="G251" i="1"/>
  <c r="E86" i="1"/>
  <c r="E90" i="1" s="1"/>
  <c r="E94" i="1" s="1"/>
  <c r="E98" i="1" s="1"/>
  <c r="E102" i="1" s="1"/>
  <c r="E80" i="1"/>
  <c r="G90" i="1" l="1"/>
  <c r="G86" i="1"/>
  <c r="E87" i="1"/>
  <c r="E88" i="1" s="1"/>
  <c r="E89" i="1" s="1"/>
  <c r="E91" i="1"/>
  <c r="E82" i="1"/>
  <c r="E83" i="1" s="1"/>
  <c r="G94" i="1"/>
  <c r="E95" i="1" l="1"/>
  <c r="G98" i="1"/>
  <c r="G87" i="1"/>
  <c r="E99" i="1" l="1"/>
  <c r="G91" i="1"/>
  <c r="E92" i="1"/>
  <c r="G89" i="1"/>
  <c r="G88" i="1"/>
  <c r="G102" i="1"/>
  <c r="E103" i="1" l="1"/>
  <c r="E96" i="1"/>
  <c r="G95" i="1"/>
  <c r="G92" i="1"/>
  <c r="E93" i="1"/>
  <c r="G93" i="1" l="1"/>
  <c r="E100" i="1"/>
  <c r="G99" i="1"/>
  <c r="G96" i="1"/>
  <c r="E97" i="1"/>
  <c r="G97" i="1" l="1"/>
  <c r="G103" i="1"/>
  <c r="E104" i="1"/>
  <c r="G100" i="1"/>
  <c r="E101" i="1"/>
  <c r="G101" i="1" l="1"/>
  <c r="G104" i="1"/>
  <c r="E105" i="1"/>
  <c r="G105" i="1" l="1"/>
  <c r="G76" i="1" s="1"/>
  <c r="G81" i="1" l="1"/>
  <c r="G82" i="1" s="1"/>
  <c r="G83" i="1" s="1"/>
  <c r="E85" i="1"/>
  <c r="G85" i="1" s="1"/>
  <c r="G110" i="1" l="1"/>
  <c r="E114" i="1" l="1"/>
  <c r="E115" i="1" s="1"/>
  <c r="E116" i="1" s="1"/>
  <c r="E111" i="1"/>
  <c r="E117" i="1" s="1"/>
  <c r="E112" i="1" l="1"/>
  <c r="E113" i="1" s="1"/>
  <c r="G111" i="1"/>
  <c r="G112" i="1" s="1"/>
  <c r="G113" i="1" s="1"/>
  <c r="G117" i="1" l="1"/>
  <c r="E119" i="1"/>
  <c r="E123" i="1" s="1"/>
  <c r="E127" i="1" s="1"/>
  <c r="E131" i="1" s="1"/>
  <c r="E135" i="1" s="1"/>
  <c r="E139" i="1" s="1"/>
  <c r="E143" i="1" s="1"/>
  <c r="E147" i="1" s="1"/>
  <c r="E151" i="1" s="1"/>
  <c r="E155" i="1" s="1"/>
  <c r="E159" i="1" s="1"/>
  <c r="E163" i="1" s="1"/>
  <c r="E167" i="1" s="1"/>
  <c r="E171" i="1" s="1"/>
  <c r="E175" i="1" s="1"/>
  <c r="E179" i="1" s="1"/>
  <c r="E183" i="1" s="1"/>
  <c r="E120" i="1" l="1"/>
  <c r="G119" i="1"/>
  <c r="E121" i="1" l="1"/>
  <c r="G120" i="1"/>
  <c r="G123" i="1"/>
  <c r="E124" i="1"/>
  <c r="E128" i="1" l="1"/>
  <c r="G127" i="1"/>
  <c r="G121" i="1"/>
  <c r="E122" i="1"/>
  <c r="G122" i="1" s="1"/>
  <c r="G124" i="1"/>
  <c r="E125" i="1"/>
  <c r="E126" i="1" l="1"/>
  <c r="G126" i="1" s="1"/>
  <c r="G125" i="1"/>
  <c r="E132" i="1"/>
  <c r="G131" i="1"/>
  <c r="G128" i="1"/>
  <c r="E129" i="1"/>
  <c r="G129" i="1" l="1"/>
  <c r="E130" i="1"/>
  <c r="G130" i="1" s="1"/>
  <c r="E133" i="1"/>
  <c r="G132" i="1"/>
  <c r="G135" i="1"/>
  <c r="E136" i="1"/>
  <c r="E137" i="1" l="1"/>
  <c r="G136" i="1"/>
  <c r="E140" i="1"/>
  <c r="G139" i="1"/>
  <c r="G133" i="1"/>
  <c r="E134" i="1"/>
  <c r="G134" i="1" s="1"/>
  <c r="E144" i="1" l="1"/>
  <c r="G143" i="1"/>
  <c r="E141" i="1"/>
  <c r="G140" i="1"/>
  <c r="E138" i="1"/>
  <c r="G138" i="1" s="1"/>
  <c r="G137" i="1"/>
  <c r="G141" i="1" l="1"/>
  <c r="E142" i="1"/>
  <c r="G142" i="1" s="1"/>
  <c r="G147" i="1"/>
  <c r="E148" i="1"/>
  <c r="E145" i="1"/>
  <c r="G144" i="1"/>
  <c r="E146" i="1" l="1"/>
  <c r="G146" i="1" s="1"/>
  <c r="G145" i="1"/>
  <c r="E149" i="1"/>
  <c r="G148" i="1"/>
  <c r="G151" i="1"/>
  <c r="E152" i="1"/>
  <c r="E156" i="1" l="1"/>
  <c r="G155" i="1"/>
  <c r="G152" i="1"/>
  <c r="E153" i="1"/>
  <c r="G149" i="1"/>
  <c r="E150" i="1"/>
  <c r="G150" i="1" s="1"/>
  <c r="E157" i="1" l="1"/>
  <c r="G156" i="1"/>
  <c r="G153" i="1"/>
  <c r="E154" i="1"/>
  <c r="G154" i="1" s="1"/>
  <c r="E160" i="1"/>
  <c r="G159" i="1"/>
  <c r="E161" i="1" l="1"/>
  <c r="G160" i="1"/>
  <c r="G163" i="1"/>
  <c r="E164" i="1"/>
  <c r="G157" i="1"/>
  <c r="E158" i="1"/>
  <c r="G158" i="1" s="1"/>
  <c r="G164" i="1" l="1"/>
  <c r="E165" i="1"/>
  <c r="G167" i="1"/>
  <c r="E168" i="1"/>
  <c r="G161" i="1"/>
  <c r="E162" i="1"/>
  <c r="G162" i="1" s="1"/>
  <c r="G171" i="1" l="1"/>
  <c r="E172" i="1"/>
  <c r="G168" i="1"/>
  <c r="E169" i="1"/>
  <c r="G165" i="1"/>
  <c r="E166" i="1"/>
  <c r="G166" i="1" s="1"/>
  <c r="G175" i="1" l="1"/>
  <c r="E176" i="1"/>
  <c r="E170" i="1"/>
  <c r="G170" i="1" s="1"/>
  <c r="G169" i="1"/>
  <c r="E173" i="1"/>
  <c r="G172" i="1"/>
  <c r="G176" i="1" l="1"/>
  <c r="E177" i="1"/>
  <c r="E174" i="1"/>
  <c r="G174" i="1" s="1"/>
  <c r="G173" i="1"/>
  <c r="G179" i="1"/>
  <c r="E180" i="1"/>
  <c r="G183" i="1" l="1"/>
  <c r="E184" i="1"/>
  <c r="E181" i="1"/>
  <c r="G180" i="1"/>
  <c r="G177" i="1"/>
  <c r="E178" i="1"/>
  <c r="G178" i="1" s="1"/>
  <c r="G181" i="1" l="1"/>
  <c r="E182" i="1"/>
  <c r="G182" i="1" s="1"/>
  <c r="E185" i="1"/>
  <c r="G184" i="1"/>
  <c r="E285" i="1"/>
  <c r="E289" i="1" s="1"/>
  <c r="E293" i="1" s="1"/>
  <c r="E297" i="1" s="1"/>
  <c r="G185" i="1" l="1"/>
  <c r="E186" i="1"/>
  <c r="G186" i="1" s="1"/>
  <c r="G109" i="1" s="1"/>
  <c r="E286" i="1"/>
  <c r="G285" i="1"/>
  <c r="E118" i="1" l="1"/>
  <c r="G118" i="1" s="1"/>
  <c r="G114" i="1"/>
  <c r="G115" i="1" s="1"/>
  <c r="G116" i="1" s="1"/>
  <c r="G289" i="1"/>
  <c r="E290" i="1"/>
  <c r="E287" i="1"/>
  <c r="G286" i="1"/>
  <c r="E288" i="1" l="1"/>
  <c r="G288" i="1" s="1"/>
  <c r="G287" i="1"/>
  <c r="E291" i="1"/>
  <c r="G290" i="1"/>
  <c r="E294" i="1"/>
  <c r="G293" i="1"/>
  <c r="G297" i="1" l="1"/>
  <c r="E298" i="1"/>
  <c r="G294" i="1"/>
  <c r="E295" i="1"/>
  <c r="G291" i="1"/>
  <c r="E292" i="1"/>
  <c r="G292" i="1" s="1"/>
  <c r="E296" i="1" l="1"/>
  <c r="G296" i="1" s="1"/>
  <c r="G295" i="1"/>
  <c r="G298" i="1"/>
  <c r="E299" i="1"/>
  <c r="G299" i="1" l="1"/>
  <c r="E300" i="1"/>
  <c r="G300" i="1" s="1"/>
  <c r="G275" i="1" s="1"/>
  <c r="E284" i="1" s="1"/>
  <c r="G284" i="1" s="1"/>
  <c r="G280" i="1" l="1"/>
  <c r="G281" i="1" s="1"/>
  <c r="G282" i="1" s="1"/>
  <c r="E313" i="1" l="1"/>
  <c r="E314" i="1" l="1"/>
  <c r="G313" i="1"/>
  <c r="E315" i="1" l="1"/>
  <c r="G314" i="1"/>
  <c r="E316" i="1" l="1"/>
  <c r="G316" i="1" s="1"/>
  <c r="G303" i="1" s="1"/>
  <c r="E312" i="1" s="1"/>
  <c r="G312" i="1" s="1"/>
  <c r="G315" i="1"/>
  <c r="G25" i="1" l="1"/>
  <c r="E26" i="1" s="1"/>
  <c r="G191" i="1"/>
  <c r="E240" i="1"/>
  <c r="G240" i="1" s="1"/>
  <c r="G255" i="1"/>
  <c r="E256" i="1" s="1"/>
  <c r="G236" i="1"/>
  <c r="G237" i="1" s="1"/>
  <c r="G238" i="1" s="1"/>
  <c r="G26" i="1" l="1"/>
  <c r="G256" i="1"/>
  <c r="E267" i="1" l="1"/>
  <c r="E268" i="1" l="1"/>
  <c r="G267" i="1"/>
  <c r="G268" i="1" l="1"/>
  <c r="E269" i="1"/>
  <c r="G269" i="1" l="1"/>
  <c r="E270" i="1"/>
  <c r="G270" i="1" s="1"/>
  <c r="G257" i="1" s="1"/>
  <c r="E266" i="1" l="1"/>
  <c r="G266" i="1" s="1"/>
  <c r="G262" i="1"/>
  <c r="G263" i="1" s="1"/>
  <c r="G264" i="1" s="1"/>
  <c r="G308" i="1"/>
  <c r="G309" i="1" s="1"/>
  <c r="G310" i="1" s="1"/>
  <c r="G322" i="1" l="1"/>
  <c r="E323" i="1" s="1"/>
  <c r="G323" i="1" s="1"/>
  <c r="E324" i="1" l="1"/>
  <c r="G324" i="1" s="1"/>
  <c r="E325" i="1" s="1"/>
  <c r="G325" i="1" l="1"/>
  <c r="E328" i="1" s="1"/>
  <c r="G328" i="1" s="1"/>
  <c r="E329" i="1" s="1"/>
  <c r="G329" i="1" s="1"/>
  <c r="E326" i="1"/>
  <c r="E327" i="1" s="1"/>
  <c r="G327" i="1" s="1"/>
  <c r="G326" i="1" l="1"/>
  <c r="G47" i="1" l="1"/>
  <c r="G36" i="1"/>
  <c r="G37" i="1" l="1"/>
  <c r="E38" i="1" s="1"/>
  <c r="G38" i="1" s="1"/>
  <c r="G39" i="1" l="1"/>
  <c r="E40" i="1" s="1"/>
  <c r="G40" i="1" l="1"/>
  <c r="E41" i="1" l="1"/>
  <c r="G41" i="1" s="1"/>
  <c r="E42" i="1" s="1"/>
  <c r="G42" i="1" s="1"/>
  <c r="E43" i="1" s="1"/>
  <c r="G53" i="1"/>
  <c r="G54" i="1"/>
  <c r="G55" i="1"/>
  <c r="G56" i="9"/>
  <c r="G55" i="9"/>
  <c r="G51" i="1"/>
  <c r="G52" i="1"/>
  <c r="F46" i="11"/>
  <c r="D46" i="11"/>
  <c r="G43" i="1" l="1"/>
  <c r="E44" i="1" s="1"/>
  <c r="G44" i="1" s="1"/>
</calcChain>
</file>

<file path=xl/sharedStrings.xml><?xml version="1.0" encoding="utf-8"?>
<sst xmlns="http://schemas.openxmlformats.org/spreadsheetml/2006/main" count="10114" uniqueCount="5227">
  <si>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</si>
  <si>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</si>
  <si>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</si>
  <si>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</si>
  <si>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</si>
  <si>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</si>
  <si>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</si>
  <si>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</si>
  <si>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</si>
  <si>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</si>
  <si>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</si>
  <si>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</si>
  <si>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</si>
  <si>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</si>
  <si>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</si>
  <si>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</si>
  <si>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</si>
  <si>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</si>
  <si>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</si>
  <si>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</si>
  <si>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</si>
  <si>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</si>
  <si>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</si>
  <si>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</si>
  <si>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</si>
  <si>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</si>
  <si>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</si>
  <si>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</si>
  <si>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</si>
  <si>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</si>
  <si>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</si>
  <si>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</si>
  <si>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</si>
  <si>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</si>
  <si>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</si>
  <si>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</si>
  <si>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</si>
  <si>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</si>
  <si>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</si>
  <si>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</si>
  <si>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</si>
  <si>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</si>
  <si>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</si>
  <si>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</si>
  <si>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</si>
  <si>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</si>
  <si>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</si>
  <si>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</si>
  <si>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</si>
  <si>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</si>
  <si>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</si>
  <si>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</si>
  <si>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</si>
  <si>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</si>
  <si>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</si>
  <si>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</si>
  <si>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</si>
  <si>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</si>
  <si>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</si>
  <si>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</si>
  <si>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</si>
  <si>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</si>
  <si>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</si>
  <si>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</si>
  <si>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</si>
  <si>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</si>
  <si>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</si>
  <si>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</si>
  <si>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</si>
  <si>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</si>
  <si>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</si>
  <si>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</si>
  <si>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</si>
  <si>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</si>
  <si>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</si>
  <si>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</si>
  <si>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</si>
  <si>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</si>
  <si>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</si>
  <si>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</si>
  <si>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</si>
  <si>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</si>
  <si>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</si>
  <si>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</si>
  <si>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</si>
  <si>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</si>
  <si>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</si>
  <si>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</si>
  <si>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</si>
  <si>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</si>
  <si>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</si>
  <si>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</si>
  <si>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</si>
  <si>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</si>
  <si>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</si>
  <si>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</si>
  <si>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</si>
  <si>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</si>
  <si>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</si>
  <si>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</si>
  <si>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</si>
  <si>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</si>
  <si>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</si>
  <si>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</si>
  <si>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</si>
  <si>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</si>
  <si>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</si>
  <si>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</si>
  <si>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</si>
  <si>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</si>
  <si>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</si>
  <si>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</si>
  <si>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</si>
  <si>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</si>
  <si>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</si>
  <si>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</si>
  <si>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</si>
  <si>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</si>
  <si>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</si>
  <si>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</si>
  <si>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</si>
  <si>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</si>
  <si>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</si>
  <si>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</si>
  <si>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</si>
  <si>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</si>
  <si>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</si>
  <si>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</si>
  <si>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</si>
  <si>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</si>
  <si>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</si>
  <si>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</si>
  <si>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</si>
  <si>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</si>
  <si>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</si>
  <si>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</si>
  <si>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</si>
  <si>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</si>
  <si>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</si>
  <si>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</si>
  <si>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</si>
  <si>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</si>
  <si>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</si>
  <si>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</si>
  <si>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</si>
  <si>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</si>
  <si>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</si>
  <si>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</si>
  <si>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</si>
  <si>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</si>
  <si>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</si>
  <si>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</si>
  <si>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</si>
  <si>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</si>
  <si>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</si>
  <si>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</si>
  <si>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</si>
  <si>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</si>
  <si>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</si>
  <si>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</si>
  <si>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</si>
  <si>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</si>
  <si>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</si>
  <si>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</si>
  <si>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</si>
  <si>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</si>
  <si>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</si>
  <si>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</si>
  <si>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</si>
  <si>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</si>
  <si>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</si>
  <si>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</si>
  <si>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</si>
  <si>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</si>
  <si>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</si>
  <si>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</si>
  <si>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</si>
  <si>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</si>
  <si>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</si>
  <si>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</si>
  <si>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</si>
  <si>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</si>
  <si>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</si>
  <si>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</si>
  <si>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</si>
  <si>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</si>
  <si>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</si>
  <si>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</si>
  <si>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</si>
  <si>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</si>
  <si>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</si>
  <si>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</si>
  <si>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</si>
  <si>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</si>
  <si>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</si>
  <si>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</si>
  <si>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</si>
  <si>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</si>
  <si>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</si>
  <si>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</si>
  <si>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</si>
  <si>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</si>
  <si>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</si>
  <si>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</si>
  <si>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</si>
  <si>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</si>
  <si>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</si>
  <si>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</si>
  <si>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</si>
  <si>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</si>
  <si>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</si>
  <si>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</si>
  <si>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</si>
  <si>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</si>
  <si>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</si>
  <si>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</si>
  <si>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</si>
  <si>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</si>
  <si>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</si>
  <si>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</si>
  <si>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</si>
  <si>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</si>
  <si>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</si>
  <si>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</si>
  <si>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</si>
  <si>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</si>
  <si>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</si>
  <si>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</si>
  <si>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</si>
  <si>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</si>
  <si>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</si>
  <si>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</si>
  <si>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</si>
  <si>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</si>
  <si>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</si>
  <si>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</si>
  <si>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</si>
  <si>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</si>
  <si>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</si>
  <si>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</si>
  <si>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</si>
  <si>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</si>
  <si>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</si>
  <si>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</si>
  <si>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</si>
  <si>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</si>
  <si>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</si>
  <si>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</si>
  <si>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</si>
  <si>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</si>
  <si>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</si>
  <si>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</si>
  <si>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</si>
  <si>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</si>
  <si>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</si>
  <si>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</si>
  <si>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</si>
  <si>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</si>
  <si>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</si>
  <si>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</si>
  <si>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</si>
  <si>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</si>
  <si>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</si>
  <si>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</si>
  <si>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</si>
  <si>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</si>
  <si>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</si>
  <si>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</si>
  <si>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</si>
  <si>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</si>
  <si>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</si>
  <si>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</si>
  <si>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</si>
  <si>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</si>
  <si>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</si>
  <si>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</si>
  <si>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</si>
  <si>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</si>
  <si>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</si>
  <si>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</si>
  <si>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</si>
  <si>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</si>
  <si>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</si>
  <si>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</si>
  <si>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</si>
  <si>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</si>
  <si>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</si>
  <si>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</si>
  <si>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</si>
  <si>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</si>
  <si>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</si>
  <si>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</si>
  <si>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</si>
  <si>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</si>
  <si>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</si>
  <si>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</si>
  <si>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</si>
  <si>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</si>
  <si>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</si>
  <si>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</si>
  <si>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</si>
  <si>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</si>
  <si>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</si>
  <si>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</si>
  <si>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</si>
  <si>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</si>
  <si>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</si>
  <si>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</si>
  <si>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</si>
  <si>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</si>
  <si>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</si>
  <si>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</si>
  <si>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</si>
  <si>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</si>
  <si>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</si>
  <si>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</si>
  <si>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</si>
  <si>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</si>
  <si>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</si>
  <si>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</si>
  <si>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</si>
  <si>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</si>
  <si>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</si>
  <si>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</si>
  <si>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</si>
  <si>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</si>
  <si>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</si>
  <si>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</si>
  <si>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</si>
  <si>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</si>
  <si>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</si>
  <si>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</si>
  <si>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</si>
  <si>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</si>
  <si>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</si>
  <si>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</si>
  <si>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</si>
  <si>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</si>
  <si>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</si>
  <si>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</si>
  <si>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</si>
  <si>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</si>
  <si>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</si>
  <si>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</si>
  <si>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</si>
  <si>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</si>
  <si>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</si>
  <si>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</si>
  <si>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</si>
  <si>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</si>
  <si>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</si>
  <si>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</si>
  <si>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</si>
  <si>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</si>
  <si>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</si>
  <si>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</si>
  <si>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</si>
  <si>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</si>
  <si>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</si>
  <si>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</si>
  <si>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</si>
  <si>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</si>
  <si>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</si>
  <si>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</si>
  <si>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</si>
  <si>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</si>
  <si>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</si>
  <si>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</si>
  <si>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</si>
  <si>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</si>
  <si>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</si>
  <si>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</si>
  <si>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</si>
  <si>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</si>
  <si>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</si>
  <si>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</si>
  <si>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</si>
  <si>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</si>
  <si>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</si>
  <si>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</si>
  <si>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</si>
  <si>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</si>
  <si>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</si>
  <si>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</si>
  <si>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</si>
  <si>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</si>
  <si>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</si>
  <si>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</si>
  <si>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</si>
  <si>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</si>
  <si>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</si>
  <si>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</si>
  <si>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</si>
  <si>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</si>
  <si>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</si>
  <si>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</si>
  <si>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</si>
  <si>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</si>
  <si>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</si>
  <si>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</si>
  <si>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</si>
  <si>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</si>
  <si>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</si>
  <si>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</si>
  <si>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</si>
  <si>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</si>
  <si>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</si>
  <si>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</si>
  <si>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</si>
  <si>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</si>
  <si>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</si>
  <si>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</si>
  <si>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</si>
  <si>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</si>
  <si>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</si>
  <si>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</si>
  <si>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</si>
  <si>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</si>
  <si>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</si>
  <si>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</si>
  <si>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</si>
  <si>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</si>
  <si>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</si>
  <si>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</si>
  <si>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</si>
  <si>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</si>
  <si>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</si>
  <si>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</si>
  <si>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</si>
  <si>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</si>
  <si>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</si>
  <si>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</si>
  <si>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</si>
  <si>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</si>
  <si>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</si>
  <si>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</si>
  <si>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</si>
  <si>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</si>
  <si>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</si>
  <si>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</si>
  <si>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</si>
  <si>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</si>
  <si>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</si>
  <si>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</si>
  <si>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</si>
  <si>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</si>
  <si>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</si>
  <si>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</si>
  <si>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</si>
  <si>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</si>
  <si>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</si>
  <si>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</si>
  <si>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</si>
  <si>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</si>
  <si>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</si>
  <si>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</si>
  <si>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</si>
  <si>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</si>
  <si>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</si>
  <si>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</si>
  <si>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</si>
  <si>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</si>
  <si>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</si>
  <si>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</si>
  <si>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</si>
  <si>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</si>
  <si>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</si>
  <si>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</si>
  <si>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</si>
  <si>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</si>
  <si>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</si>
  <si>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</si>
  <si>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</si>
  <si>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</si>
  <si>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</si>
  <si>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</si>
  <si>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</si>
  <si>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</si>
  <si>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</si>
  <si>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</si>
  <si>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</si>
  <si>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</si>
  <si>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</si>
  <si>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</si>
  <si>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</si>
  <si>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</si>
  <si>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</si>
  <si>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</si>
  <si>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</si>
  <si>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</si>
  <si>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</si>
  <si>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</si>
  <si>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</si>
  <si>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</si>
  <si>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</si>
  <si>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</si>
  <si>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</si>
  <si>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</si>
  <si>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</si>
  <si>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</si>
  <si>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</si>
  <si>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</si>
  <si>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</si>
  <si>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</si>
  <si>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</si>
  <si>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</si>
  <si>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</si>
  <si>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</si>
  <si>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</si>
  <si>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</si>
  <si>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</si>
  <si>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</si>
  <si>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</si>
  <si>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</si>
  <si>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</si>
  <si>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</si>
  <si>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</si>
  <si>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</si>
  <si>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</si>
  <si>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</si>
  <si>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</si>
  <si>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</si>
  <si>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</si>
  <si>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</si>
  <si>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</si>
  <si>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</si>
  <si>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</si>
  <si>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</si>
  <si>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</si>
  <si>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</si>
  <si>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</si>
  <si>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</si>
  <si>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</si>
  <si>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</si>
  <si>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</si>
  <si>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</si>
  <si>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</si>
  <si>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</si>
  <si>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</si>
  <si>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</si>
  <si>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</si>
  <si>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</si>
  <si>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</si>
  <si>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</si>
  <si>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</si>
  <si>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</si>
  <si>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</si>
  <si>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</si>
  <si>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</si>
  <si>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</si>
  <si>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</si>
  <si>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</si>
  <si>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</si>
  <si>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</si>
  <si>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</si>
  <si>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</si>
  <si>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</si>
  <si>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</si>
  <si>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</si>
  <si>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</si>
  <si>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</si>
  <si>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</si>
  <si>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</si>
  <si>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</si>
  <si>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</si>
  <si>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</si>
  <si>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</si>
  <si>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</si>
  <si>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</si>
  <si>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</si>
  <si>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</si>
  <si>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</si>
  <si>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</si>
  <si>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</si>
  <si>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</si>
  <si>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</si>
  <si>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</si>
  <si>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</si>
  <si>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</si>
  <si>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</si>
  <si>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</si>
  <si>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</si>
  <si>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</si>
  <si>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</si>
  <si>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</si>
  <si>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</si>
  <si>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</si>
  <si>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</si>
  <si>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</si>
  <si>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</si>
  <si>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</si>
  <si>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</si>
  <si>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</si>
  <si>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</si>
  <si>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</si>
  <si>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</si>
  <si>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</si>
  <si>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</si>
  <si>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</si>
  <si>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</si>
  <si>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</si>
  <si>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</si>
  <si>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</si>
  <si>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</si>
  <si>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</si>
  <si>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</si>
  <si>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</si>
  <si>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</si>
  <si>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</si>
  <si>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</si>
  <si>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</si>
  <si>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</si>
  <si>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</si>
  <si>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</si>
  <si>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</si>
  <si>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</si>
  <si>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</si>
  <si>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</si>
  <si>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</si>
  <si>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</si>
  <si>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</si>
  <si>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</si>
  <si>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</si>
  <si>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</si>
  <si>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</si>
  <si>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</si>
  <si>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</si>
  <si>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</si>
  <si>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</si>
  <si>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</si>
  <si>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</si>
  <si>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</si>
  <si>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</si>
  <si>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</si>
  <si>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</si>
  <si>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</si>
  <si>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</si>
  <si>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</si>
  <si>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</si>
  <si>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</si>
  <si>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</si>
  <si>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</si>
  <si>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</si>
  <si>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</si>
  <si>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</si>
  <si>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</si>
  <si>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</si>
  <si>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</si>
  <si>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</si>
  <si>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</si>
  <si>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</si>
  <si>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</si>
  <si>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</si>
  <si>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</si>
  <si>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</si>
  <si>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</si>
  <si>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</si>
  <si>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</si>
  <si>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</si>
  <si>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</si>
  <si>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</si>
  <si>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</si>
  <si>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</si>
  <si>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</si>
  <si>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</si>
  <si>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</si>
  <si>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</si>
  <si>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</si>
  <si>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</si>
  <si>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</si>
  <si>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</si>
  <si>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</si>
  <si>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</si>
  <si>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</si>
  <si>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</si>
  <si>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</si>
  <si>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</si>
  <si>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</si>
  <si>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</si>
  <si>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</si>
  <si>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</si>
  <si>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</si>
  <si>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</si>
  <si>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</si>
  <si>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</si>
  <si>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</si>
  <si>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</si>
  <si>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</si>
  <si>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</si>
  <si>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</si>
  <si>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</si>
  <si>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</si>
  <si>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</si>
  <si>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</si>
  <si>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</si>
  <si>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</si>
  <si>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</si>
  <si>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</si>
  <si>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</si>
  <si>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</si>
  <si>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</si>
  <si>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</si>
  <si>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</si>
  <si>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</si>
  <si>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</si>
  <si>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</si>
  <si>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</si>
  <si>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</si>
  <si>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</si>
  <si>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</si>
  <si>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</si>
  <si>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</si>
  <si>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</si>
  <si>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</si>
  <si>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</si>
  <si>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</si>
  <si>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</si>
  <si>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</si>
  <si>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</si>
  <si>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</si>
  <si>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</si>
  <si>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</si>
  <si>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</si>
  <si>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</si>
  <si>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</si>
  <si>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</si>
  <si>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</si>
  <si>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</si>
  <si>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</si>
  <si>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</si>
  <si>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</si>
  <si>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</si>
  <si>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</si>
  <si>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</si>
  <si>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</si>
  <si>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</si>
  <si>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</si>
  <si>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</si>
  <si>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</si>
  <si>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</si>
  <si>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</si>
  <si>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</si>
  <si>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</si>
  <si>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</si>
  <si>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</si>
  <si>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</si>
  <si>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</si>
  <si>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</si>
  <si>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</si>
  <si>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</si>
  <si>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</si>
  <si>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</si>
  <si>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</si>
  <si>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</si>
  <si>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</si>
  <si>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</si>
  <si>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</si>
  <si>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</si>
  <si>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</si>
  <si>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</si>
  <si>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</si>
  <si>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</si>
  <si>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</si>
  <si>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</si>
  <si>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</si>
  <si>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</si>
  <si>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</si>
  <si>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</si>
  <si>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</si>
  <si>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</si>
  <si>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</si>
  <si>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</si>
  <si>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</si>
  <si>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</si>
  <si>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</si>
  <si>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</si>
  <si>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</si>
  <si>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</si>
  <si>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</si>
  <si>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</si>
  <si>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</si>
  <si>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</si>
  <si>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</si>
  <si>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</si>
  <si>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</si>
  <si>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</si>
  <si>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</si>
  <si>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</si>
  <si>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</si>
  <si>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</si>
  <si>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</si>
  <si>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</si>
  <si>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</si>
  <si>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</si>
  <si>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</si>
  <si>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</si>
  <si>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</si>
  <si>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</si>
  <si>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</si>
  <si>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</si>
  <si>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</si>
  <si>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</si>
  <si>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</si>
  <si>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</si>
  <si>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</si>
  <si>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</si>
  <si>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</si>
  <si>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</si>
  <si>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</si>
  <si>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</si>
  <si>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</si>
  <si>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</si>
  <si>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</si>
  <si>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</si>
  <si>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</si>
  <si>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</si>
  <si>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</si>
  <si>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</si>
  <si>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</si>
  <si>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</si>
  <si>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</si>
  <si>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</si>
  <si>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</si>
  <si>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</si>
  <si>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</si>
  <si>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</si>
  <si>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</si>
  <si>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</si>
  <si>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</si>
  <si>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</si>
  <si>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</si>
  <si>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</si>
  <si>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</si>
  <si>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</si>
  <si>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</si>
  <si>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</si>
  <si>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</si>
  <si>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</si>
  <si>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</si>
  <si>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</si>
  <si>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</si>
  <si>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</si>
  <si>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</si>
  <si>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</si>
  <si>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</si>
  <si>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</si>
  <si>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</si>
  <si>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</si>
  <si>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</si>
  <si>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</si>
  <si>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</si>
  <si>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</si>
  <si>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</si>
  <si>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</si>
  <si>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</si>
  <si>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</si>
  <si>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</si>
  <si>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</si>
  <si>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</si>
  <si>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</si>
  <si>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</si>
  <si>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</si>
  <si>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</si>
  <si>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</si>
  <si>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</si>
  <si>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</si>
  <si>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</si>
  <si>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</si>
  <si>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</si>
  <si>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</si>
  <si>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</si>
  <si>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</si>
  <si>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</si>
  <si>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</si>
  <si>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</si>
  <si>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</si>
  <si>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</si>
  <si>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</si>
  <si>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</si>
  <si>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</si>
  <si>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</si>
  <si>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</si>
  <si>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</si>
  <si>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</si>
  <si>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</si>
  <si>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</si>
  <si>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</si>
  <si>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</si>
  <si>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</si>
  <si>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</si>
  <si>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</si>
  <si>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</si>
  <si>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</si>
  <si>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</si>
  <si>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</si>
  <si>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</si>
  <si>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</si>
  <si>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</si>
  <si>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</si>
  <si>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</si>
  <si>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</si>
  <si>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</si>
  <si>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</si>
  <si>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</si>
  <si>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</si>
  <si>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</si>
  <si>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</si>
  <si>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</si>
  <si>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</si>
  <si>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</si>
  <si>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</si>
  <si>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</si>
  <si>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</si>
  <si>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</si>
  <si>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</si>
  <si>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</si>
  <si>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</si>
  <si>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</si>
  <si>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</si>
  <si>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</si>
  <si>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</si>
  <si>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</si>
  <si>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</si>
  <si>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</si>
  <si>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</si>
  <si>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</si>
  <si>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</si>
  <si>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</si>
  <si>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</si>
  <si>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</si>
  <si>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</si>
  <si>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</si>
  <si>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</si>
  <si>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</si>
  <si>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</si>
  <si>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</si>
  <si>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</si>
  <si>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</si>
  <si>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</si>
  <si>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</si>
  <si>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</si>
  <si>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</si>
  <si>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</si>
  <si>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</si>
  <si>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</si>
  <si>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</si>
  <si>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</si>
  <si>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</si>
  <si>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</si>
  <si>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</si>
  <si>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</si>
  <si>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</si>
  <si>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</si>
  <si>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</si>
  <si>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</si>
  <si>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</si>
  <si>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</si>
  <si>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</si>
  <si>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</si>
  <si>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</si>
  <si>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</si>
  <si>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</si>
  <si>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</si>
  <si>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</si>
  <si>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</si>
  <si>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</si>
  <si>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</si>
  <si>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</si>
  <si>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</si>
  <si>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</si>
  <si>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</si>
  <si>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</si>
  <si>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</si>
  <si>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</si>
  <si>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</si>
  <si>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</si>
  <si>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</si>
  <si>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</si>
  <si>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</si>
  <si>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</si>
  <si>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</si>
  <si>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</si>
  <si>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</si>
  <si>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</si>
  <si>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</si>
  <si>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</si>
  <si>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</si>
  <si>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</si>
  <si>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</si>
  <si>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</si>
  <si>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</si>
  <si>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</si>
  <si>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</si>
  <si>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</si>
  <si>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</si>
  <si>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</si>
  <si>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</si>
  <si>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</si>
  <si>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</si>
  <si>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</si>
  <si>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</si>
  <si>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</si>
  <si>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</si>
  <si>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</si>
  <si>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</si>
  <si>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</si>
  <si>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</si>
  <si>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</si>
  <si>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</si>
  <si>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</si>
  <si>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</si>
  <si>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</si>
  <si>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</si>
  <si>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</si>
  <si>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</si>
  <si>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</si>
  <si>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</si>
  <si>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</si>
  <si>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</si>
  <si>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</si>
  <si>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</si>
  <si>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</si>
  <si>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</si>
  <si>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</si>
  <si>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</si>
  <si>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</si>
  <si>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</si>
  <si>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</si>
  <si>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</si>
  <si>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</si>
  <si>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</si>
  <si>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</si>
  <si>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</si>
  <si>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</si>
  <si>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</si>
  <si>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</si>
  <si>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</si>
  <si>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</si>
  <si>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</si>
  <si>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</si>
  <si>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</si>
  <si>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</si>
  <si>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</si>
  <si>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</si>
  <si>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</si>
  <si>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</si>
  <si>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</si>
  <si>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</si>
  <si>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</si>
  <si>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</si>
  <si>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</si>
  <si>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</si>
  <si>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</si>
  <si>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</si>
  <si>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</si>
  <si>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</si>
  <si>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</si>
  <si>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</si>
  <si>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</si>
  <si>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</si>
  <si>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</si>
  <si>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</si>
  <si>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</si>
  <si>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</si>
  <si>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</si>
  <si>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</si>
  <si>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</si>
  <si>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</si>
  <si>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</si>
  <si>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</si>
  <si>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</si>
  <si>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</si>
  <si>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</si>
  <si>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</si>
  <si>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</si>
  <si>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</si>
  <si>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</si>
  <si>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</si>
  <si>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</si>
  <si>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</si>
  <si>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</si>
  <si>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</si>
  <si>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</si>
  <si>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</si>
  <si>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</si>
  <si>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</si>
  <si>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</si>
  <si>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</si>
  <si>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</si>
  <si>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</si>
  <si>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</si>
  <si>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</si>
  <si>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</si>
  <si>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</si>
  <si>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</si>
  <si>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</si>
  <si>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</si>
  <si>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</si>
  <si>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</si>
  <si>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</si>
  <si>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</si>
  <si>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</si>
  <si>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</si>
  <si>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</si>
  <si>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</si>
  <si>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</si>
  <si>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</si>
  <si>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</si>
  <si>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</si>
  <si>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</si>
  <si>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</si>
  <si>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</si>
  <si>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</si>
  <si>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</si>
  <si>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</si>
  <si>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</si>
  <si>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</si>
  <si>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</si>
  <si>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</si>
  <si>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</si>
  <si>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</si>
  <si>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</si>
  <si>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</si>
  <si>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</si>
  <si>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</si>
  <si>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</si>
  <si>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</si>
  <si>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</si>
  <si>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</si>
  <si>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</si>
  <si>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</si>
  <si>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</si>
  <si>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</si>
  <si>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</si>
  <si>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</si>
  <si>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</si>
  <si>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</si>
  <si>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</si>
  <si>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</si>
  <si>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</si>
  <si>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</si>
  <si>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</si>
  <si>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</si>
  <si>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</si>
  <si>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</si>
  <si>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</si>
  <si>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</si>
  <si>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</si>
  <si>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</si>
  <si>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</si>
  <si>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</si>
  <si>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</si>
  <si>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</si>
  <si>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</si>
  <si>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</si>
  <si>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</si>
  <si>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</si>
  <si>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</si>
  <si>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</si>
  <si>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</si>
  <si>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</si>
  <si>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</si>
  <si>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</si>
  <si>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</si>
  <si>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</si>
  <si>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</si>
  <si>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</si>
  <si>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</si>
  <si>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</si>
  <si>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</si>
  <si>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</si>
  <si>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</si>
  <si>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</si>
  <si>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</si>
  <si>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</si>
  <si>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</si>
  <si>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</si>
  <si>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</si>
  <si>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</si>
  <si>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</si>
  <si>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</si>
  <si>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</si>
  <si>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</si>
  <si>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</si>
  <si>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</si>
  <si>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</si>
  <si>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</si>
  <si>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</si>
  <si>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</si>
  <si>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</si>
  <si>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</si>
  <si>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</si>
  <si>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</si>
  <si>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</si>
  <si>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</si>
  <si>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</si>
  <si>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</si>
  <si>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</si>
  <si>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</si>
  <si>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</si>
  <si>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</si>
  <si>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</si>
  <si>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</si>
  <si>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</si>
  <si>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</si>
  <si>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</si>
  <si>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</si>
  <si>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</si>
  <si>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</si>
  <si>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</si>
  <si>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</si>
  <si>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</si>
  <si>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</si>
  <si>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</si>
  <si>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</si>
  <si>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</si>
  <si>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</si>
  <si>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</si>
  <si>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</si>
  <si>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</si>
  <si>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</si>
  <si>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</si>
  <si>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</si>
  <si>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</si>
  <si>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</si>
  <si>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</si>
  <si>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</si>
  <si>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</si>
  <si>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</si>
  <si>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</si>
  <si>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</si>
  <si>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</si>
  <si>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</si>
  <si>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</si>
  <si>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</si>
  <si>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</si>
  <si>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</si>
  <si>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</si>
  <si>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</si>
  <si>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</si>
  <si>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</si>
  <si>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</si>
  <si>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</si>
  <si>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</si>
  <si>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</si>
  <si>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</si>
  <si>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</si>
  <si>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</si>
  <si>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</si>
  <si>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</si>
  <si>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</si>
  <si>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</si>
  <si>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</si>
  <si>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</si>
  <si>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</si>
  <si>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</si>
  <si>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</si>
  <si>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</si>
  <si>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</si>
  <si>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</si>
  <si>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</si>
  <si>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</si>
  <si>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</si>
  <si>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</si>
  <si>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</si>
  <si>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</si>
  <si>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</si>
  <si>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</si>
  <si>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</si>
  <si>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</si>
  <si>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</si>
  <si>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</si>
  <si>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</si>
  <si>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</si>
  <si>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</si>
  <si>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</si>
  <si>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</si>
  <si>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</si>
  <si>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</si>
  <si>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</si>
  <si>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</si>
  <si>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</si>
  <si>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</si>
  <si>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</si>
  <si>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</si>
  <si>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</si>
  <si>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</si>
  <si>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</si>
  <si>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</si>
  <si>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</si>
  <si>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</si>
  <si>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</si>
  <si>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</si>
  <si>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</si>
  <si>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</si>
  <si>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</si>
  <si>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</si>
  <si>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</si>
  <si>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</si>
  <si>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</si>
  <si>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</si>
  <si>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</si>
  <si>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</si>
  <si>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</si>
  <si>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</si>
  <si>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</si>
  <si>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</si>
  <si>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</si>
  <si>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</si>
  <si>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</si>
  <si>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</si>
  <si>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</si>
  <si>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</si>
  <si>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</si>
  <si>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</si>
  <si>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</si>
  <si>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</si>
  <si>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</si>
  <si>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</si>
  <si>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</si>
  <si>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</si>
  <si>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</si>
  <si>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</si>
  <si>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</si>
  <si>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</si>
  <si>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</si>
  <si>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</si>
  <si>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</si>
  <si>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</si>
  <si>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</si>
  <si>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</si>
  <si>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</si>
  <si>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</si>
  <si>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</si>
  <si>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</si>
  <si>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</si>
  <si>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</si>
  <si>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</si>
  <si>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</si>
  <si>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</si>
  <si>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</si>
  <si>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</si>
  <si>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</si>
  <si>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</si>
  <si>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</si>
  <si>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</si>
  <si>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</si>
  <si>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</si>
  <si>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</si>
  <si>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</si>
  <si>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</si>
  <si>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</si>
  <si>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</si>
  <si>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</si>
  <si>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</si>
  <si>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</si>
  <si>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</si>
  <si>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</si>
  <si>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</si>
  <si>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</si>
  <si>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</si>
  <si>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</si>
  <si>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</si>
  <si>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</si>
  <si>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</si>
  <si>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</si>
  <si>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</si>
  <si>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</si>
  <si>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</si>
  <si>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</si>
  <si>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</si>
  <si>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</si>
  <si>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</si>
  <si>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</si>
  <si>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</si>
  <si>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</si>
  <si>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</si>
  <si>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</si>
  <si>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</si>
  <si>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</si>
  <si>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</si>
  <si>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</si>
  <si>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</si>
  <si>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</si>
  <si>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</si>
  <si>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</si>
  <si>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</si>
  <si>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</si>
  <si>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</si>
  <si>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</si>
  <si>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</si>
  <si>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</si>
  <si>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</si>
  <si>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</si>
  <si>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</si>
  <si>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</si>
  <si>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</si>
  <si>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</si>
  <si>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</si>
  <si>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</si>
  <si>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</si>
  <si>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</si>
  <si>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</si>
  <si>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</si>
  <si>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</si>
  <si>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</si>
  <si>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</si>
  <si>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</si>
  <si>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</si>
  <si>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</si>
  <si>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</si>
  <si>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</si>
  <si>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</si>
  <si>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</si>
  <si>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</si>
  <si>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</si>
  <si>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</si>
  <si>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</si>
  <si>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</si>
  <si>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</si>
  <si>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</si>
  <si>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</si>
  <si>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</si>
  <si>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</si>
  <si>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</si>
  <si>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</si>
  <si>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</si>
  <si>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</si>
  <si>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</si>
  <si>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</si>
  <si>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</si>
  <si>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</si>
  <si>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</si>
  <si>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</si>
  <si>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</si>
  <si>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</si>
  <si>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</si>
  <si>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</si>
  <si>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</si>
  <si>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</si>
  <si>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</si>
  <si>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</si>
  <si>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</si>
  <si>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</si>
  <si>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</si>
  <si>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</si>
  <si>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</si>
  <si>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</si>
  <si>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</si>
  <si>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</si>
  <si>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</si>
  <si>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</si>
  <si>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</si>
  <si>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</si>
  <si>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</si>
  <si>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</si>
  <si>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</si>
  <si>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</si>
  <si>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</si>
  <si>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</si>
  <si>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</si>
  <si>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</si>
  <si>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</si>
  <si>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</si>
  <si>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</si>
  <si>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</si>
  <si>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</si>
  <si>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</si>
  <si>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</si>
  <si>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</si>
  <si>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</si>
  <si>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</si>
  <si>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</si>
  <si>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</si>
  <si>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</si>
  <si>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</si>
  <si>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</si>
  <si>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</si>
  <si>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</si>
  <si>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</si>
  <si>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</si>
  <si>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</si>
  <si>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</si>
  <si>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</si>
  <si>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</si>
  <si>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</si>
  <si>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</si>
  <si>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</si>
  <si>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</si>
  <si>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</si>
  <si>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</si>
  <si>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</si>
  <si>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</si>
  <si>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</si>
  <si>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</si>
  <si>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</si>
  <si>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</si>
  <si>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</si>
  <si>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</si>
  <si>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</si>
  <si>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</si>
  <si>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</si>
  <si>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</si>
  <si>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</si>
  <si>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</si>
  <si>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</si>
  <si>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</si>
  <si>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</si>
  <si>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</si>
  <si>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</si>
  <si>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</si>
  <si>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</si>
  <si>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</si>
  <si>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</si>
  <si>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</si>
  <si>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</si>
  <si>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</si>
  <si>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</si>
  <si>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</si>
  <si>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</si>
  <si>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</si>
  <si>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</si>
  <si>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</si>
  <si>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</si>
  <si>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</si>
  <si>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</si>
  <si>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</si>
  <si>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</si>
  <si>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</si>
  <si>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</si>
  <si>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</si>
  <si>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</si>
  <si>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</si>
  <si>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</si>
  <si>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</si>
  <si>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</si>
  <si>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</si>
  <si>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</si>
  <si>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</si>
  <si>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</si>
  <si>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</si>
  <si>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</si>
  <si>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</si>
  <si>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</si>
  <si>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</si>
  <si>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</si>
  <si>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</si>
  <si>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</si>
  <si>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</si>
  <si>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</si>
  <si>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</si>
  <si>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</si>
  <si>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</si>
  <si>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</si>
  <si>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</si>
  <si>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</si>
  <si>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</si>
  <si>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</si>
  <si>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</si>
  <si>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</si>
  <si>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</si>
  <si>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</si>
  <si>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</si>
  <si>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</si>
  <si>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</si>
  <si>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</si>
  <si>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</si>
  <si>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</si>
  <si>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</si>
  <si>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</si>
  <si>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</si>
  <si>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</si>
  <si>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</si>
  <si>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</si>
  <si>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</si>
  <si>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</si>
  <si>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</si>
  <si>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</si>
  <si>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</si>
  <si>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</si>
  <si>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</si>
  <si>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</si>
  <si>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</si>
  <si>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</si>
  <si>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</si>
  <si>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</si>
  <si>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</si>
  <si>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</si>
  <si>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</si>
  <si>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</si>
  <si>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</si>
  <si>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</si>
  <si>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</si>
  <si>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</si>
  <si>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</si>
  <si>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</si>
  <si>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</si>
  <si>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</si>
  <si>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</si>
  <si>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</si>
  <si>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</si>
  <si>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</si>
  <si>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</si>
  <si>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</si>
  <si>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</si>
  <si>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</si>
  <si>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</si>
  <si>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</si>
  <si>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</si>
  <si>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</si>
  <si>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</si>
  <si>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</si>
  <si>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</si>
  <si>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</si>
  <si>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</si>
  <si>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</si>
  <si>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</si>
  <si>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</si>
  <si>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</si>
  <si>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</si>
  <si>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</si>
  <si>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</si>
  <si>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</si>
  <si>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</si>
  <si>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</si>
  <si>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</si>
  <si>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</si>
  <si>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</si>
  <si>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</si>
  <si>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</si>
  <si>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</si>
  <si>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</si>
  <si>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</si>
  <si>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</si>
  <si>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</si>
  <si>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</si>
  <si>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</si>
  <si>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</si>
  <si>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</si>
  <si>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</si>
  <si>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</si>
  <si>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</si>
  <si>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</si>
  <si>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</si>
  <si>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</si>
  <si>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</si>
  <si>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</si>
  <si>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</si>
  <si>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</si>
  <si>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</si>
  <si>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</si>
  <si>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</si>
  <si>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</si>
  <si>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</si>
  <si>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</si>
  <si>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</si>
  <si>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</si>
  <si>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</si>
  <si>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</si>
  <si>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</si>
  <si>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</si>
  <si>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</si>
  <si>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</si>
  <si>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</si>
  <si>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</si>
  <si>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</si>
  <si>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</si>
  <si>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</si>
  <si>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</si>
  <si>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</si>
  <si>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</si>
  <si>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</si>
  <si>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</si>
  <si>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</si>
  <si>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</si>
  <si>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</si>
  <si>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</si>
  <si>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</si>
  <si>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</si>
  <si>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</si>
  <si>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</si>
  <si>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</si>
  <si>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</si>
  <si>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</si>
  <si>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</si>
  <si>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</si>
  <si>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</si>
  <si>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</si>
  <si>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</si>
  <si>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</si>
  <si>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</si>
  <si>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</si>
  <si>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</si>
  <si>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</si>
  <si>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</si>
  <si>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</si>
  <si>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</si>
  <si>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</si>
  <si>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</si>
  <si>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</si>
  <si>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</si>
  <si>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</si>
  <si>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</si>
  <si>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</si>
  <si>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</si>
  <si>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</si>
  <si>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</si>
  <si>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</si>
  <si>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</si>
  <si>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</si>
  <si>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</si>
  <si>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</si>
  <si>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</si>
  <si>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</si>
  <si>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</si>
  <si>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</si>
  <si>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</si>
  <si>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</si>
  <si>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</si>
  <si>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</si>
  <si>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</si>
  <si>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</si>
  <si>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</si>
  <si>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</si>
  <si>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</si>
  <si>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</si>
  <si>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</si>
  <si>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</si>
  <si>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</si>
  <si>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</si>
  <si>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</si>
  <si>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</si>
  <si>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</si>
  <si>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</si>
  <si>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</si>
  <si>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</si>
  <si>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</si>
  <si>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</si>
  <si>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</si>
  <si>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</si>
  <si>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</si>
  <si>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</si>
  <si>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</si>
  <si>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</si>
  <si>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</si>
  <si>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</si>
  <si>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</si>
  <si>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</si>
  <si>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</si>
  <si>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</si>
  <si>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</si>
  <si>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</si>
  <si>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</si>
  <si>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</si>
  <si>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</si>
  <si>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</si>
  <si>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</si>
  <si>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</si>
  <si>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</si>
  <si>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</si>
  <si>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</si>
  <si>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</si>
  <si>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</si>
  <si>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</si>
  <si>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</si>
  <si>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</si>
  <si>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</si>
  <si>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</si>
  <si>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</si>
  <si>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</si>
  <si>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</si>
  <si>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</si>
  <si>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</si>
  <si>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</si>
  <si>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</si>
  <si>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</si>
  <si>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</si>
  <si>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</si>
  <si>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</si>
  <si>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</si>
  <si>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</si>
  <si>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</si>
  <si>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</si>
  <si>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</si>
  <si>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</si>
  <si>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</si>
  <si>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</si>
  <si>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</si>
  <si>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</si>
  <si>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</si>
  <si>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</si>
  <si>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</si>
  <si>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</si>
  <si>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</si>
  <si>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</si>
  <si>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</si>
  <si>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</si>
  <si>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</si>
  <si>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</si>
  <si>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</si>
  <si>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</si>
  <si>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</si>
  <si>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</si>
  <si>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</si>
  <si>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</si>
  <si>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</si>
  <si>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</si>
  <si>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</si>
  <si>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</si>
  <si>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</si>
  <si>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</si>
  <si>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</si>
  <si>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</si>
  <si>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</si>
  <si>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</si>
  <si>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</si>
  <si>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</si>
  <si>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</si>
  <si>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</si>
  <si>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</si>
  <si>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</si>
  <si>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</si>
  <si>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</si>
  <si>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</si>
  <si>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</si>
  <si>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</si>
  <si>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</si>
  <si>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</si>
  <si>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</si>
  <si>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</si>
  <si>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</si>
  <si>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</si>
  <si>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</si>
  <si>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</si>
  <si>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</si>
  <si>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</si>
  <si>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</si>
  <si>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</si>
  <si>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</si>
  <si>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</si>
  <si>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</si>
  <si>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</si>
  <si>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</si>
  <si>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</si>
  <si>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</si>
  <si>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</si>
  <si>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</si>
  <si>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</si>
  <si>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</si>
  <si>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</si>
  <si>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</si>
  <si>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</si>
  <si>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</si>
  <si>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</si>
  <si>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</si>
  <si>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</si>
  <si>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</si>
  <si>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</si>
  <si>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</si>
  <si>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</si>
  <si>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</si>
  <si>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</si>
  <si>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</si>
  <si>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</si>
  <si>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</si>
  <si>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</si>
  <si>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</si>
  <si>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</si>
  <si>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</si>
  <si>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</si>
  <si>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</si>
  <si>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</si>
  <si>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</si>
  <si>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</si>
  <si>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</si>
  <si>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</si>
  <si>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</si>
  <si>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</si>
  <si>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</si>
  <si>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</si>
  <si>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</si>
  <si>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</si>
  <si>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</si>
  <si>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</si>
  <si>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</si>
  <si>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</si>
  <si>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</si>
  <si>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</si>
  <si>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</si>
  <si>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</si>
  <si>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</si>
  <si>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</si>
  <si>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</si>
  <si>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</si>
  <si>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</si>
  <si>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</si>
  <si>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</si>
  <si>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</si>
  <si>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</si>
  <si>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</si>
  <si>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</si>
  <si>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</si>
  <si>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</si>
  <si>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</si>
  <si>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</si>
  <si>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</si>
  <si>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</si>
  <si>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</si>
  <si>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</si>
  <si>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</si>
  <si>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</si>
  <si>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</si>
  <si>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</si>
  <si>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</si>
  <si>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</si>
  <si>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</si>
  <si>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</si>
  <si>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</si>
  <si>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</si>
  <si>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</si>
  <si>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</si>
  <si>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</si>
  <si>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</si>
  <si>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</si>
  <si>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</si>
  <si>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</si>
  <si>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</si>
  <si>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</si>
  <si>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</si>
  <si>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</si>
  <si>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</si>
  <si>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</si>
  <si>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</si>
  <si>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</si>
  <si>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</si>
  <si>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</si>
  <si>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</si>
  <si>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</si>
  <si>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</si>
  <si>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</si>
  <si>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</si>
  <si>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</si>
  <si>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</si>
  <si>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</si>
  <si>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</si>
  <si>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</si>
  <si>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</si>
  <si>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</si>
  <si>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</si>
  <si>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</si>
  <si>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</si>
  <si>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</si>
  <si>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</si>
  <si>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</si>
  <si>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</si>
  <si>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</si>
  <si>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</si>
  <si>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</si>
  <si>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</si>
  <si>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</si>
  <si>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</si>
  <si>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</si>
  <si>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</si>
  <si>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</si>
  <si>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</si>
  <si>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</si>
  <si>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</si>
  <si>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</si>
  <si>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</si>
  <si>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</si>
  <si>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</si>
  <si>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</si>
  <si>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</si>
  <si>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</si>
  <si>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</si>
  <si>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</si>
  <si>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</si>
  <si>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</si>
  <si>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</si>
  <si>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</si>
  <si>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</si>
  <si>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</si>
  <si>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</si>
  <si>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</si>
  <si>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</si>
  <si>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</si>
  <si>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</si>
  <si>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</si>
  <si>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</si>
  <si>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</si>
  <si>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</si>
  <si>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</si>
  <si>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</si>
  <si>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</si>
  <si>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</si>
  <si>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</si>
  <si>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</si>
  <si>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</si>
  <si>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</si>
  <si>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</si>
  <si>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</si>
  <si>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</si>
  <si>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</si>
  <si>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</si>
  <si>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</si>
  <si>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</si>
  <si>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</si>
  <si>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</si>
  <si>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</si>
  <si>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</si>
  <si>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</si>
  <si>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</si>
  <si>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</si>
  <si>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</si>
  <si>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</si>
  <si>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</si>
  <si>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</si>
  <si>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</si>
  <si>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</si>
  <si>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</si>
  <si>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</si>
  <si>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</si>
  <si>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</si>
  <si>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</si>
  <si>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</si>
  <si>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</si>
  <si>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</si>
  <si>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</si>
  <si>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</si>
  <si>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</si>
  <si>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</si>
  <si>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</si>
  <si>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</si>
  <si>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</si>
  <si>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</si>
  <si>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</si>
  <si>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</si>
  <si>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</si>
  <si>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</si>
  <si>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</si>
  <si>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</si>
  <si>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</si>
  <si>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</si>
  <si>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</si>
  <si>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</si>
  <si>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</si>
  <si>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</si>
  <si>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</si>
  <si>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</si>
  <si>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</si>
  <si>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</si>
  <si>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</si>
  <si>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</si>
  <si>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</si>
  <si>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</si>
  <si>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</si>
  <si>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</si>
  <si>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</si>
  <si>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</si>
  <si>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</si>
  <si>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</si>
  <si>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</si>
  <si>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</si>
  <si>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</si>
  <si>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</si>
  <si>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</si>
  <si>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</si>
  <si>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</si>
  <si>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</si>
  <si>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</si>
  <si>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</si>
  <si>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</si>
  <si>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</si>
  <si>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</si>
  <si>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</si>
  <si>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</si>
  <si>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</si>
  <si>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</si>
  <si>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</si>
  <si>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</si>
  <si>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</si>
  <si>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</si>
  <si>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</si>
  <si>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</si>
  <si>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</si>
  <si>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</si>
  <si>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</si>
  <si>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</si>
  <si>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</si>
  <si>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</si>
  <si>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</si>
  <si>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</si>
  <si>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</si>
  <si>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</si>
  <si>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</si>
  <si>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</si>
  <si>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</si>
  <si>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</si>
  <si>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</si>
  <si>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</si>
  <si>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</si>
  <si>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</si>
  <si>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</si>
  <si>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</si>
  <si>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</si>
  <si>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</si>
  <si>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</si>
  <si>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</si>
  <si>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</si>
  <si>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</si>
  <si>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</si>
  <si>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</si>
  <si>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</si>
  <si>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</si>
  <si>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</si>
  <si>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</si>
  <si>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</si>
  <si>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</si>
  <si>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</si>
  <si>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</si>
  <si>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</si>
  <si>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</si>
  <si>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</si>
  <si>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</si>
  <si>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</si>
  <si>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</si>
  <si>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</si>
  <si>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</si>
  <si>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</si>
  <si>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</si>
  <si>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</si>
  <si>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</si>
  <si>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</si>
  <si>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</si>
  <si>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</si>
  <si>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</si>
  <si>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</si>
  <si>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</si>
  <si>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</si>
  <si>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</si>
  <si>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</si>
  <si>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</si>
  <si>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</si>
  <si>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</si>
  <si>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</si>
  <si>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</si>
  <si>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</si>
  <si>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</si>
  <si>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</si>
  <si>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</si>
  <si>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</si>
  <si>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</si>
  <si>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</si>
  <si>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</si>
  <si>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</si>
  <si>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</si>
  <si>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</si>
  <si>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</si>
  <si>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</si>
  <si>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</si>
  <si>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</si>
  <si>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</si>
  <si>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</si>
  <si>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</si>
  <si>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</si>
  <si>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</si>
  <si>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</si>
  <si>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</si>
  <si>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</si>
  <si>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</si>
  <si>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</si>
  <si>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</si>
  <si>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</si>
  <si>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</si>
  <si>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</si>
  <si>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</si>
  <si>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</si>
  <si>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</si>
  <si>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</si>
  <si>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</si>
  <si>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</si>
  <si>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</si>
  <si>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</si>
  <si>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</si>
  <si>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</si>
  <si>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</si>
  <si>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</si>
  <si>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</si>
  <si>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</si>
  <si>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</si>
  <si>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</si>
  <si>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</si>
  <si>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</si>
  <si>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</si>
  <si>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</si>
  <si>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</si>
  <si>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</si>
  <si>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</si>
  <si>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</si>
  <si>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</si>
  <si>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</si>
  <si>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</si>
  <si>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</si>
  <si>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</si>
  <si>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</si>
  <si>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</si>
  <si>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</si>
  <si>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</si>
  <si>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</si>
  <si>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</si>
  <si>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</si>
  <si>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</si>
  <si>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</si>
  <si>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</si>
  <si>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</si>
  <si>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</si>
  <si>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</si>
  <si>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</si>
  <si>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</si>
  <si>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</si>
  <si>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</si>
  <si>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</si>
  <si>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</si>
  <si>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</si>
  <si>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</si>
  <si>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</si>
  <si>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</si>
  <si>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</si>
  <si>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</si>
  <si>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</si>
  <si>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</si>
  <si>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</si>
  <si>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</si>
  <si>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</si>
  <si>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</si>
  <si>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</si>
  <si>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</si>
  <si>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</si>
  <si>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</si>
  <si>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</si>
  <si>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</si>
  <si>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</si>
  <si>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</si>
  <si>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</si>
  <si>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</si>
  <si>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</si>
  <si>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</si>
  <si>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</si>
  <si>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</si>
  <si>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</si>
  <si>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</si>
  <si>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</si>
  <si>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</si>
  <si>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</si>
  <si>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</si>
  <si>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</si>
  <si>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</si>
  <si>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</si>
  <si>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</si>
  <si>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</si>
  <si>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</si>
  <si>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</si>
  <si>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</si>
  <si>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</si>
  <si>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</si>
  <si>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</si>
  <si>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</si>
  <si>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</si>
  <si>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</si>
  <si>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</si>
  <si>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</si>
  <si>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</si>
  <si>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</si>
  <si>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</si>
  <si>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</si>
  <si>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</si>
  <si>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</si>
  <si>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</si>
  <si>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</si>
  <si>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</si>
  <si>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</si>
  <si>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</si>
  <si>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</si>
  <si>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</si>
  <si>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</si>
  <si>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</si>
  <si>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</si>
  <si>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</si>
  <si>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</si>
  <si>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</si>
  <si>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</si>
  <si>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</si>
  <si>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</si>
  <si>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</si>
  <si>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</si>
  <si>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</si>
  <si>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</si>
  <si>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</si>
  <si>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</si>
  <si>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</si>
  <si>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</si>
  <si>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</si>
  <si>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</si>
  <si>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</si>
  <si>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</si>
  <si>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</si>
  <si>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</si>
  <si>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</si>
  <si>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</si>
  <si>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</si>
  <si>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</si>
  <si>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</si>
  <si>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</si>
  <si>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</si>
  <si>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</si>
  <si>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</si>
  <si>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</si>
  <si>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</si>
  <si>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</si>
  <si>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</si>
  <si>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</si>
  <si>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</si>
  <si>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</si>
  <si>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</si>
  <si>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</si>
  <si>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</si>
  <si>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</si>
  <si>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</si>
  <si>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</si>
  <si>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</si>
  <si>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</si>
  <si>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</si>
  <si>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</si>
  <si>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</si>
  <si>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</si>
  <si>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</si>
  <si>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</si>
  <si>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</si>
  <si>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</si>
  <si>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</si>
  <si>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</si>
  <si>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</si>
  <si>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</si>
  <si>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</si>
  <si>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</si>
  <si>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</si>
  <si>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</si>
  <si>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</si>
  <si>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</si>
  <si>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</si>
  <si>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</si>
  <si>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</si>
  <si>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</si>
  <si>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</si>
  <si>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</si>
  <si>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</si>
  <si>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</si>
  <si>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</si>
  <si>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</si>
  <si>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</si>
  <si>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</si>
  <si>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</si>
  <si>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</si>
  <si>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</si>
  <si>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</si>
  <si>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</si>
  <si>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</si>
  <si>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</si>
  <si>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</si>
  <si>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</si>
  <si>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</si>
  <si>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</si>
  <si>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</si>
  <si>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</si>
  <si>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</si>
  <si>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</si>
  <si>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</si>
  <si>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</si>
  <si>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</si>
  <si>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</si>
  <si>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</si>
  <si>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</si>
  <si>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</si>
  <si>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</si>
  <si>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</si>
  <si>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</si>
  <si>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</si>
  <si>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</si>
  <si>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</si>
  <si>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</si>
  <si>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</si>
  <si>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</si>
  <si>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</si>
  <si>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</si>
  <si>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</si>
  <si>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</si>
  <si>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</si>
  <si>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</si>
  <si>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</si>
  <si>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</si>
  <si>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</si>
  <si>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</si>
  <si>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</si>
  <si>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</si>
  <si>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</si>
  <si>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</si>
  <si>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</si>
  <si>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</si>
  <si>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</si>
  <si>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</si>
  <si>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</si>
  <si>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</si>
  <si>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</si>
  <si>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</si>
  <si>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</si>
  <si>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</si>
  <si>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</si>
  <si>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</si>
  <si>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</si>
  <si>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</si>
  <si>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</si>
  <si>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</si>
  <si>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</si>
  <si>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</si>
  <si>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</si>
  <si>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</si>
  <si>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</si>
  <si>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</si>
  <si>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</si>
  <si>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</si>
  <si>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</si>
  <si>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</si>
  <si>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</si>
  <si>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</si>
  <si>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</si>
  <si>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</si>
  <si>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</si>
  <si>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</si>
  <si>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</si>
  <si>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</si>
  <si>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</si>
  <si>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</si>
  <si>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</si>
  <si>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</si>
  <si>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</si>
  <si>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</si>
  <si>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</si>
  <si>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</si>
  <si>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</si>
  <si>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</si>
  <si>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</si>
  <si>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</si>
  <si>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</si>
  <si>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</si>
  <si>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</si>
  <si>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</si>
  <si>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</si>
  <si>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</si>
  <si>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</si>
  <si>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</si>
  <si>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</si>
  <si>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</si>
  <si>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</si>
  <si>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</si>
  <si>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</si>
  <si>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</si>
  <si>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</si>
  <si>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</si>
  <si>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</si>
  <si>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</si>
  <si>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</si>
  <si>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</si>
  <si>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</si>
  <si>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</si>
  <si>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</si>
  <si>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</si>
  <si>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</si>
  <si>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</si>
  <si>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</si>
  <si>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</si>
  <si>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</si>
  <si>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</si>
  <si>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</si>
  <si>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</si>
  <si>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</si>
  <si>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</si>
  <si>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</si>
  <si>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</si>
  <si>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</si>
  <si>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</si>
  <si>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</si>
  <si>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</si>
  <si>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</si>
  <si>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</si>
  <si>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</si>
  <si>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</si>
  <si>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</si>
  <si>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</si>
  <si>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</si>
  <si>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</si>
  <si>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</si>
  <si>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</si>
  <si>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</si>
  <si>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</si>
  <si>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</si>
  <si>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</si>
  <si>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</si>
  <si>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</si>
  <si>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</si>
  <si>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</si>
  <si>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</si>
  <si>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</si>
  <si>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</si>
  <si>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</si>
  <si>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</si>
  <si>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</si>
  <si>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</si>
  <si>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</si>
  <si>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</si>
  <si>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</si>
  <si>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</si>
  <si>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</si>
  <si>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</si>
  <si>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</si>
  <si>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</si>
  <si>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</si>
  <si>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</si>
  <si>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</si>
  <si>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</si>
  <si>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</si>
  <si>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</si>
  <si>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</si>
  <si>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</si>
  <si>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</si>
  <si>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</si>
  <si>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</si>
  <si>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</si>
  <si>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</si>
  <si>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</si>
  <si>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</si>
  <si>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</si>
  <si>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</si>
  <si>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</si>
  <si>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</si>
  <si>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</si>
  <si>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</si>
  <si>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</si>
  <si>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</si>
  <si>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</si>
  <si>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</si>
  <si>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</si>
  <si>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</si>
  <si>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</si>
  <si>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</si>
  <si>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</si>
  <si>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</si>
  <si>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</si>
  <si>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</si>
  <si>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</si>
  <si>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</si>
  <si>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</si>
  <si>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</si>
  <si>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</si>
  <si>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</si>
  <si>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</si>
  <si>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</si>
  <si>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</si>
  <si>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</si>
  <si>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</si>
  <si>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</si>
  <si>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</si>
  <si>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</si>
  <si>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</si>
  <si>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</si>
  <si>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</si>
  <si>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</si>
  <si>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</si>
  <si>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</si>
  <si>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</si>
  <si>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</si>
  <si>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</si>
  <si>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</si>
  <si>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</si>
  <si>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</si>
  <si>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</si>
  <si>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</si>
  <si>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</si>
  <si>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</si>
  <si>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</si>
  <si>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</si>
  <si>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</si>
  <si>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</si>
  <si>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</si>
  <si>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</si>
  <si>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</si>
  <si>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</si>
  <si>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</si>
  <si>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</si>
  <si>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</si>
  <si>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</si>
  <si>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</si>
  <si>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</si>
  <si>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</si>
  <si>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</si>
  <si>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</si>
  <si>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</si>
  <si>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</si>
  <si>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</si>
  <si>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</si>
  <si>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</si>
  <si>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</si>
  <si>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</si>
  <si>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</si>
  <si>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</si>
  <si>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</si>
  <si>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</si>
  <si>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</si>
  <si>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</si>
  <si>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</si>
  <si>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</si>
  <si>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</si>
  <si>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</si>
  <si>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</si>
  <si>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</si>
  <si>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</si>
  <si>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</si>
  <si>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</si>
  <si>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</si>
  <si>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</si>
  <si>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</si>
  <si>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</si>
  <si>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</si>
  <si>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</si>
  <si>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</si>
  <si>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</si>
  <si>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</si>
  <si>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</si>
  <si>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</si>
  <si>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</si>
  <si>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</si>
  <si>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</si>
  <si>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</si>
  <si>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</si>
  <si>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</si>
  <si>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</si>
  <si>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</si>
  <si>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</si>
  <si>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</si>
  <si>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</si>
  <si>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</si>
  <si>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</si>
  <si>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</si>
  <si>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</si>
  <si>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</si>
  <si>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</si>
  <si>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</si>
  <si>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</si>
  <si>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</si>
  <si>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</si>
  <si>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</si>
  <si>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</si>
  <si>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</si>
  <si>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</si>
  <si>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</si>
  <si>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</si>
  <si>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</si>
  <si>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</si>
  <si>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</si>
  <si>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</si>
  <si>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</si>
  <si>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</si>
  <si>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</si>
  <si>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</si>
  <si>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</si>
  <si>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</si>
  <si>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</si>
  <si>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</si>
  <si>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</si>
  <si>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</si>
  <si>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</si>
  <si>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</si>
  <si>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</si>
  <si>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</si>
  <si>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</si>
  <si>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</si>
  <si>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</si>
  <si>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</si>
  <si>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</si>
  <si>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</si>
  <si>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</si>
  <si>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</si>
  <si>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</si>
  <si>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</si>
  <si>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</si>
  <si>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</si>
  <si>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</si>
  <si>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</si>
  <si>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</si>
  <si>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</si>
  <si>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</si>
  <si>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</si>
  <si>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</si>
  <si>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</si>
  <si>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</si>
  <si>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</si>
  <si>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</si>
  <si>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</si>
  <si>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</si>
  <si>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</si>
  <si>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</si>
  <si>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</si>
  <si>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</si>
  <si>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</si>
  <si>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</si>
  <si>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</si>
  <si>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</si>
  <si>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</si>
  <si>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</si>
  <si>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</si>
  <si>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</si>
  <si>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</si>
  <si>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</si>
  <si>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</si>
  <si>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</si>
  <si>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</si>
  <si>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</si>
  <si>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</si>
  <si>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</si>
  <si>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</si>
  <si>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</si>
  <si>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</si>
  <si>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</si>
  <si>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</si>
  <si>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</si>
  <si>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</si>
  <si>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</si>
  <si>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</si>
  <si>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</si>
  <si>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</si>
  <si>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</si>
  <si>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</si>
  <si>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</si>
  <si>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</si>
  <si>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</si>
  <si>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</si>
  <si>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</si>
  <si>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</si>
  <si>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</si>
  <si>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</si>
  <si>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</si>
  <si>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</si>
  <si>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</si>
  <si>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</si>
  <si>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</si>
  <si>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</si>
  <si>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</si>
  <si>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</si>
  <si>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</si>
  <si>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</si>
  <si>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</si>
  <si>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</si>
  <si>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</si>
  <si>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</si>
  <si>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</si>
  <si>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</si>
  <si>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</si>
  <si>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</si>
  <si>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</si>
  <si>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</si>
  <si>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</si>
  <si>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</si>
  <si>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</si>
  <si>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</si>
  <si>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</si>
  <si>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</si>
  <si>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</si>
  <si>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</si>
  <si>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</si>
  <si>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</si>
  <si>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</si>
  <si>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</si>
  <si>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</si>
  <si>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</si>
  <si>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</si>
  <si>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</si>
  <si>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</si>
  <si>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</si>
  <si>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</si>
  <si>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</si>
  <si>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</si>
  <si>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</si>
  <si>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</si>
  <si>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</si>
  <si>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</si>
  <si>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</si>
  <si>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</si>
  <si>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</si>
  <si>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</si>
  <si>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</si>
  <si>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</si>
  <si>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</si>
  <si>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</si>
  <si>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</si>
  <si>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</si>
  <si>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</si>
  <si>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</si>
  <si>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</si>
  <si>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</si>
  <si>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</si>
  <si>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</si>
  <si>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</si>
  <si>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</si>
  <si>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</si>
  <si>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</si>
  <si>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</si>
  <si>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</si>
  <si>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</si>
  <si>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</si>
  <si>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</si>
  <si>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</si>
  <si>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</si>
  <si>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</si>
  <si>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</si>
  <si>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</si>
  <si>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</si>
  <si>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</si>
  <si>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</si>
  <si>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</si>
  <si>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</si>
  <si>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</si>
  <si>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</si>
  <si>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</si>
  <si>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</si>
  <si>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</si>
  <si>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</si>
  <si>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</si>
  <si>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</si>
  <si>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</si>
  <si>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</si>
  <si>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</si>
  <si>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</si>
  <si>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</si>
  <si>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</si>
  <si>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</si>
  <si>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</si>
  <si>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</si>
  <si>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</si>
  <si>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</si>
  <si>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</si>
  <si>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</si>
  <si>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</si>
  <si>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</si>
  <si>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</si>
  <si>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</si>
  <si>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</si>
  <si>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</si>
  <si>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</si>
  <si>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</si>
  <si>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</si>
  <si>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</si>
  <si>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</si>
  <si>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</si>
  <si>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</si>
  <si>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</si>
  <si>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</si>
  <si>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</si>
  <si>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</si>
  <si>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</si>
  <si>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</si>
  <si>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</si>
  <si>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</si>
  <si>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</si>
  <si>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</si>
  <si>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</si>
  <si>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</si>
  <si>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</si>
  <si>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</si>
  <si>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</si>
  <si>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</si>
  <si>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</si>
  <si>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</si>
  <si>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</si>
  <si>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</si>
  <si>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</si>
  <si>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</si>
  <si>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</si>
  <si>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</si>
  <si>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</si>
  <si>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</si>
  <si>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</si>
  <si>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</si>
  <si>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</si>
  <si>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</si>
  <si>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</si>
  <si>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</si>
  <si>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</si>
  <si>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</si>
  <si>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</si>
  <si>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</si>
  <si>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</si>
  <si>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</si>
  <si>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</si>
  <si>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</si>
  <si>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</si>
  <si>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</si>
  <si>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</si>
  <si>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</si>
  <si>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</si>
  <si>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</si>
  <si>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</si>
  <si>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</si>
  <si>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</si>
  <si>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</si>
  <si>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</si>
  <si>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</si>
  <si>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</si>
  <si>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</si>
  <si>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</si>
  <si>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</si>
  <si>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</si>
  <si>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</si>
  <si>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</si>
  <si>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</si>
  <si>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</si>
  <si>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</si>
  <si>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</si>
  <si>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</si>
  <si>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</si>
  <si>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</si>
  <si>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</si>
  <si>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</si>
  <si>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</si>
  <si>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</si>
  <si>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</si>
  <si>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</si>
  <si>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</si>
  <si>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</si>
  <si>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</si>
  <si>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</si>
  <si>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</si>
  <si>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</si>
  <si>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</si>
  <si>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</si>
  <si>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</si>
  <si>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</si>
  <si>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</si>
  <si>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</si>
  <si>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</si>
  <si>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</si>
  <si>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</si>
  <si>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</si>
  <si>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</si>
  <si>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</si>
  <si>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</si>
  <si>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</si>
  <si>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</si>
  <si>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</si>
  <si>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</si>
  <si>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</si>
  <si>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</si>
  <si>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</si>
  <si>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</si>
  <si>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</si>
  <si>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</si>
  <si>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</si>
  <si>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</si>
  <si>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</si>
  <si>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</si>
  <si>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</si>
  <si>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</si>
  <si>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</si>
  <si>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</si>
  <si>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</si>
  <si>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</si>
  <si>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</si>
  <si>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</si>
  <si>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</si>
  <si>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</si>
  <si>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</si>
  <si>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</si>
  <si>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</si>
  <si>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</si>
  <si>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</si>
  <si>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</si>
  <si>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</si>
  <si>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</si>
  <si>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</si>
  <si>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</si>
  <si>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</si>
  <si>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</si>
  <si>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</si>
  <si>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</si>
  <si>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</si>
  <si>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</si>
  <si>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</si>
  <si>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</si>
  <si>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</si>
  <si>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</si>
  <si>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</si>
  <si>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</si>
  <si>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</si>
  <si>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</si>
  <si>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</si>
  <si>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</si>
  <si>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</si>
  <si>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</si>
  <si>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</si>
  <si>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</si>
  <si>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</si>
  <si>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</si>
  <si>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</si>
  <si>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</si>
  <si>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</si>
  <si>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</si>
  <si>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</si>
  <si>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</si>
  <si>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</si>
  <si>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</si>
  <si>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</si>
  <si>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</si>
  <si>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</si>
  <si>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</si>
  <si>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</si>
  <si>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</si>
  <si>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</si>
  <si>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</si>
  <si>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</si>
  <si>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</si>
  <si>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</si>
  <si>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</si>
  <si>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</si>
  <si>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</si>
  <si>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</si>
  <si>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</si>
  <si>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</si>
  <si>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</si>
  <si>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</si>
  <si>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</si>
  <si>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</si>
  <si>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</si>
  <si>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</si>
  <si>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</si>
  <si>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</si>
  <si>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</si>
  <si>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</si>
  <si>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</si>
  <si>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</si>
  <si>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</si>
  <si>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</si>
  <si>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</si>
  <si>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</si>
  <si>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</si>
  <si>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</si>
  <si>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</si>
  <si>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</si>
  <si>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</si>
  <si>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</si>
  <si>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</si>
  <si>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</si>
  <si>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</si>
  <si>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</si>
  <si>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</si>
  <si>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</si>
  <si>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</si>
  <si>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</si>
  <si>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</si>
  <si>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</si>
  <si>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</si>
  <si>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</si>
  <si>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</si>
  <si>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</si>
  <si>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</si>
  <si>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</si>
  <si>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</si>
  <si>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</si>
  <si>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</si>
  <si>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</si>
  <si>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</si>
  <si>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</si>
  <si>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</si>
  <si>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</si>
  <si>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</si>
  <si>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</si>
  <si>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</si>
  <si>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</si>
  <si>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</si>
  <si>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</si>
  <si>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</si>
  <si>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</si>
  <si>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</si>
  <si>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</si>
  <si>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</si>
  <si>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</si>
  <si>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</si>
  <si>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</si>
  <si>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</si>
  <si>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</si>
  <si>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</si>
  <si>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</si>
  <si>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</si>
  <si>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</si>
  <si>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</si>
  <si>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</si>
  <si>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</si>
  <si>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</si>
  <si>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</si>
  <si>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</si>
  <si>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</si>
  <si>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</si>
  <si>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</si>
  <si>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</si>
  <si>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</si>
  <si>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</si>
  <si>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</si>
  <si>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</si>
  <si>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</si>
  <si>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</si>
  <si>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</si>
  <si>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</si>
  <si>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</si>
  <si>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</si>
  <si>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</si>
  <si>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</si>
  <si>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</si>
  <si>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</si>
  <si>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</si>
  <si>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</si>
  <si>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</si>
  <si>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</si>
  <si>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</si>
  <si>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</si>
  <si>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</si>
  <si>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</si>
  <si>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</si>
  <si>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</si>
  <si>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</si>
  <si>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</si>
  <si>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</si>
  <si>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</si>
  <si>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</si>
  <si>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</si>
  <si>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</si>
  <si>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</si>
  <si>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</si>
  <si>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</si>
  <si>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</si>
  <si>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</si>
  <si>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</si>
  <si>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</si>
  <si>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</si>
  <si>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</si>
  <si>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</si>
  <si>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</si>
  <si>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</si>
  <si>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</si>
  <si>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</si>
  <si>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</si>
  <si>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</si>
  <si>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</si>
  <si>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</si>
  <si>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</si>
  <si>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</si>
  <si>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</si>
  <si>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</si>
  <si>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</si>
  <si>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</si>
  <si>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</si>
  <si>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</si>
  <si>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</si>
  <si>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</si>
  <si>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</si>
  <si>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</si>
  <si>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</si>
  <si>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</si>
  <si>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</si>
  <si>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</si>
  <si>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</si>
  <si>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</si>
  <si>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</si>
  <si>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</si>
  <si>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</si>
  <si>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</si>
  <si>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</si>
  <si>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</si>
  <si>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</si>
  <si>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</si>
  <si>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</si>
  <si>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</si>
  <si>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</si>
  <si>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</si>
  <si>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</si>
  <si>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</si>
  <si>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</si>
  <si>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</si>
  <si>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</si>
  <si>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</si>
  <si>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</si>
  <si>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</si>
  <si>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</si>
  <si>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</si>
  <si>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</si>
  <si>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</si>
  <si>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</si>
  <si>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</si>
  <si>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</si>
  <si>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</si>
  <si>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</si>
  <si>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</si>
  <si>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</si>
  <si>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</si>
  <si>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</si>
  <si>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</si>
  <si>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</si>
  <si>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</si>
  <si>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</si>
  <si>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</si>
  <si>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</si>
  <si>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</si>
  <si>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</si>
  <si>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</si>
  <si>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</si>
  <si>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</si>
  <si>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</si>
  <si>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</si>
  <si>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</si>
  <si>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</si>
  <si>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</si>
  <si>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</si>
  <si>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</si>
  <si>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</si>
  <si>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</si>
  <si>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</si>
  <si>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</si>
  <si>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</si>
  <si>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</si>
  <si>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</si>
  <si>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</si>
  <si>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</si>
  <si>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</si>
  <si>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</si>
  <si>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</si>
  <si>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</si>
  <si>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</si>
  <si>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</si>
  <si>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</si>
  <si>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</si>
  <si>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</si>
  <si>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</si>
  <si>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</si>
  <si>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</si>
  <si>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</si>
  <si>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</si>
  <si>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</si>
  <si>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</si>
  <si>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</si>
  <si>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</si>
  <si>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</si>
  <si>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</si>
  <si>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</si>
  <si>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</si>
  <si>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</si>
  <si>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</si>
  <si>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</si>
  <si>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</si>
  <si>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</si>
  <si>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</si>
  <si>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</si>
  <si>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</si>
  <si>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</si>
  <si>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</si>
  <si>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</si>
  <si>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</si>
  <si>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</si>
  <si>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</si>
  <si>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</si>
  <si>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</si>
  <si>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</si>
  <si>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</si>
  <si>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</si>
  <si>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</si>
  <si>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</si>
  <si>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</si>
  <si>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</si>
  <si>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</si>
  <si>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</si>
  <si>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</si>
  <si>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</si>
  <si>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</si>
  <si>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</si>
  <si>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</si>
  <si>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</si>
  <si>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</si>
  <si>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</si>
  <si>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</si>
  <si>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</si>
  <si>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</si>
  <si>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</si>
  <si>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</si>
  <si>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</si>
  <si>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</si>
  <si>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</si>
  <si>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</si>
  <si>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</si>
  <si>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</si>
  <si>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</si>
  <si>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</si>
  <si>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</si>
  <si>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</si>
  <si>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</si>
  <si>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</si>
  <si>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</si>
  <si>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</si>
  <si>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</si>
  <si>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</si>
  <si>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</si>
  <si>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</si>
  <si>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</si>
  <si>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</si>
  <si>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</si>
  <si>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</si>
  <si>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</si>
  <si>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</si>
  <si>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</si>
  <si>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</si>
  <si>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</si>
  <si>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</si>
  <si>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</si>
  <si>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</si>
  <si>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</si>
  <si>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</si>
  <si>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</si>
  <si>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</si>
  <si>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</si>
  <si>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</si>
  <si>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</si>
  <si>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</si>
  <si>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</si>
  <si>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</si>
  <si>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</si>
  <si>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</si>
  <si>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</si>
  <si>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</si>
  <si>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</si>
  <si>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</si>
  <si>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</si>
  <si>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</si>
  <si>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</si>
  <si>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</si>
  <si>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</si>
  <si>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</si>
  <si>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</si>
  <si>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</si>
  <si>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</si>
  <si>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</si>
  <si>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</si>
  <si>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</si>
  <si>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</si>
  <si>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</si>
  <si>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</si>
  <si>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</si>
  <si>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</si>
  <si>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</si>
  <si>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</si>
  <si>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</si>
  <si>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</si>
  <si>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</si>
  <si>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</si>
  <si>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</si>
  <si>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</si>
  <si>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</si>
  <si>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</si>
  <si>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</si>
  <si>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</si>
  <si>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</si>
  <si>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</si>
  <si>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</si>
  <si>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</si>
  <si>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</si>
  <si>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</si>
  <si>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</si>
  <si>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</si>
  <si>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</si>
  <si>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</si>
  <si>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</si>
  <si>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</si>
  <si>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</si>
  <si>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</si>
  <si>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</si>
  <si>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</si>
  <si>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</si>
  <si>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</si>
  <si>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</si>
  <si>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</si>
  <si>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</si>
  <si>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</si>
  <si>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</si>
  <si>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</si>
  <si>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</si>
  <si>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</si>
  <si>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</si>
  <si>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</si>
  <si>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</si>
  <si>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</si>
  <si>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</si>
  <si>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</si>
  <si>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</si>
  <si>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</si>
  <si>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</si>
  <si>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</si>
  <si>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</si>
  <si>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</si>
  <si>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</si>
  <si>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</si>
  <si>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</si>
  <si>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</si>
  <si>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</si>
  <si>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</si>
  <si>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</si>
  <si>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</si>
  <si>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</si>
  <si>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</si>
  <si>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</si>
  <si>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</si>
  <si>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</si>
  <si>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</si>
  <si>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</si>
  <si>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</si>
  <si>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</si>
  <si>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</si>
  <si>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</si>
  <si>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</si>
  <si>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</si>
  <si>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</si>
  <si>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</si>
  <si>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</si>
  <si>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</si>
  <si>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</si>
  <si>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</si>
  <si>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</si>
  <si>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</si>
  <si>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</si>
  <si>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</si>
  <si>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</si>
  <si>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</si>
  <si>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</si>
  <si>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</si>
  <si>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</si>
  <si>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</si>
  <si>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</si>
  <si>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</si>
  <si>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</si>
  <si>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</si>
  <si>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</si>
  <si>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</si>
  <si>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</si>
  <si>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</si>
  <si>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</si>
  <si>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</si>
  <si>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</si>
  <si>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</si>
  <si>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</si>
  <si>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</si>
  <si>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</si>
  <si>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</si>
  <si>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</si>
  <si>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</si>
  <si>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</si>
  <si>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</si>
  <si>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</si>
  <si>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</si>
  <si>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</si>
  <si>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</si>
  <si>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</si>
  <si>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</si>
  <si>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</si>
  <si>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</si>
  <si>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</si>
  <si>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</si>
  <si>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</si>
  <si>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</si>
  <si>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</si>
  <si>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</si>
  <si>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</si>
  <si>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</si>
  <si>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</si>
  <si>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</si>
  <si>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</si>
  <si>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</si>
  <si>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</si>
  <si>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</si>
  <si>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</si>
  <si>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</si>
  <si>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</si>
  <si>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</si>
  <si>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</si>
  <si>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</si>
  <si>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</si>
  <si>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</si>
  <si>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</si>
  <si>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</si>
  <si>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</si>
  <si>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</si>
  <si>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</si>
  <si>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</si>
  <si>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</si>
  <si>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</si>
  <si>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</si>
  <si>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</si>
  <si>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</si>
  <si>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</si>
  <si>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</si>
  <si>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</si>
  <si>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</si>
  <si>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</si>
  <si>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</si>
  <si>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</si>
  <si>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</si>
  <si>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</si>
  <si>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</si>
  <si>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</si>
  <si>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</si>
  <si>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</si>
  <si>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</si>
  <si>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</si>
  <si>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</si>
  <si>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</si>
  <si>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</si>
  <si>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</si>
  <si>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</si>
  <si>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</si>
  <si>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</si>
  <si>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</si>
  <si>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</si>
  <si>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</si>
  <si>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</si>
  <si>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</si>
  <si>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</si>
  <si>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</si>
  <si>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</si>
  <si>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</si>
  <si>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</si>
  <si>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</si>
  <si>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</si>
  <si>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</si>
  <si>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</si>
  <si>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</si>
  <si>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</si>
  <si>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</si>
  <si>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</si>
  <si>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</si>
  <si>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</si>
  <si>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</si>
  <si>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</si>
  <si>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</si>
  <si>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</si>
  <si>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</si>
  <si>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</si>
  <si>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</si>
  <si>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</si>
  <si>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</si>
  <si>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</si>
  <si>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</si>
  <si>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</si>
  <si>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</si>
  <si>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</si>
  <si>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</si>
  <si>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</si>
  <si>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</si>
  <si>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</si>
  <si>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</si>
  <si>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</si>
  <si>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</si>
  <si>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</si>
  <si>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</si>
  <si>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</si>
  <si>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</si>
  <si>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</si>
  <si>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</si>
  <si>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</si>
  <si>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</si>
  <si>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</si>
  <si>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</si>
  <si>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</si>
  <si>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</si>
  <si>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</si>
  <si>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</si>
  <si>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</si>
  <si>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</si>
  <si>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</si>
  <si>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</si>
  <si>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</si>
  <si>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</si>
  <si>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</si>
  <si>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</si>
  <si>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</si>
  <si>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</si>
  <si>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</si>
  <si>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</si>
  <si>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</si>
  <si>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</si>
  <si>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</si>
  <si>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</si>
  <si>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</si>
  <si>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</si>
  <si>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</si>
  <si>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</si>
  <si>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</si>
  <si>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</si>
  <si>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</si>
  <si>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</si>
  <si>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</si>
  <si>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</si>
  <si>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</si>
  <si>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</si>
  <si>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</si>
  <si>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</si>
  <si>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</si>
  <si>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</si>
  <si>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</si>
  <si>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</si>
  <si>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</si>
  <si>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</si>
  <si>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</si>
  <si>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</si>
  <si>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</si>
  <si>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</si>
  <si>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</si>
  <si>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</si>
  <si>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</si>
  <si>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</si>
  <si>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</si>
  <si>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</si>
  <si>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</si>
  <si>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</si>
  <si>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</si>
  <si>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</si>
  <si>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</si>
  <si>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</si>
  <si>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</si>
  <si>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</si>
  <si>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</si>
  <si>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</si>
  <si>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</si>
  <si>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</si>
  <si>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</si>
  <si>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</si>
  <si>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</si>
  <si>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</si>
  <si>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</si>
  <si>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</si>
  <si>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</si>
  <si>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</si>
  <si>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</si>
  <si>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</si>
  <si>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</si>
  <si>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</si>
  <si>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</si>
  <si>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</si>
  <si>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</si>
  <si>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</si>
  <si>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</si>
  <si>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</si>
  <si>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</si>
  <si>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</si>
  <si>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</si>
  <si>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</si>
  <si>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</si>
  <si>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</si>
  <si>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</si>
  <si>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</si>
  <si>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</si>
  <si>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</si>
  <si>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</si>
  <si>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</si>
  <si>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</si>
  <si>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</si>
  <si>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</si>
  <si>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</si>
  <si>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</si>
  <si>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</si>
  <si>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</si>
  <si>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</si>
  <si>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</si>
  <si>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</si>
  <si>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</si>
  <si>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</si>
  <si>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</si>
  <si>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</si>
  <si>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</si>
  <si>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</si>
  <si>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</si>
  <si>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</si>
  <si>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</si>
  <si>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</si>
  <si>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</si>
  <si>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</si>
  <si>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</si>
  <si>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</si>
  <si>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</si>
  <si>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</si>
  <si>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</si>
  <si>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</si>
  <si>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</si>
  <si>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</si>
  <si>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</si>
  <si>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</si>
  <si>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</si>
  <si>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</si>
  <si>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</si>
  <si>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</si>
  <si>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</si>
  <si>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</si>
  <si>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</si>
  <si>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</si>
  <si>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</si>
  <si>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</si>
  <si>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</si>
  <si>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</si>
  <si>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</si>
  <si>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</si>
  <si>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</si>
  <si>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</si>
  <si>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</si>
  <si>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</si>
  <si>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</si>
  <si>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</si>
  <si>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</si>
  <si>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</si>
  <si>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</si>
  <si>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</si>
  <si>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</si>
  <si>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</si>
  <si>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</si>
  <si>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</si>
  <si>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</si>
  <si>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</si>
  <si>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</si>
  <si>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</si>
  <si>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</si>
  <si>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</si>
  <si>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</si>
  <si>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</si>
  <si>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</si>
  <si>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</si>
  <si>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</si>
  <si>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</si>
  <si>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</si>
  <si>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</si>
  <si>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</si>
  <si>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</si>
  <si>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</si>
  <si>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</si>
  <si>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</si>
  <si>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</si>
  <si>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</si>
  <si>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</si>
  <si>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</si>
  <si>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</si>
  <si>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</si>
  <si>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</si>
  <si>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</si>
  <si>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</si>
  <si>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</si>
  <si>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</si>
  <si>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</si>
  <si>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</si>
  <si>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</si>
  <si>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</si>
  <si>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</si>
  <si>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</si>
  <si>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</si>
  <si>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</si>
  <si>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</si>
  <si>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</si>
  <si>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</si>
  <si>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</si>
  <si>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</si>
  <si>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</si>
  <si>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</si>
  <si>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</si>
  <si>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</si>
  <si>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</si>
  <si>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</si>
  <si>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</si>
  <si>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</si>
  <si>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</si>
  <si>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</si>
  <si>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</si>
  <si>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</si>
  <si>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</si>
  <si>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</si>
  <si>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</si>
  <si>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</si>
  <si>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</si>
  <si>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</si>
  <si>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</si>
  <si>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</si>
  <si>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</si>
  <si>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</si>
  <si>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</si>
  <si>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</si>
  <si>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</si>
  <si>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</si>
  <si>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</si>
  <si>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</si>
  <si>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</si>
  <si>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</si>
  <si>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</si>
  <si>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</si>
  <si>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</si>
  <si>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</si>
  <si>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</si>
  <si>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</si>
  <si>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</si>
  <si>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</si>
  <si>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</si>
  <si>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</si>
  <si>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</si>
  <si>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</si>
  <si>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</si>
  <si>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</si>
  <si>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</si>
  <si>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</si>
  <si>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</si>
  <si>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</si>
  <si>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</si>
  <si>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</si>
  <si>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</si>
  <si>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</si>
  <si>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</si>
  <si>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</si>
  <si>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</si>
  <si>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</si>
  <si>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</si>
  <si>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</si>
  <si>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</si>
  <si>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</si>
  <si>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</si>
  <si>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</si>
  <si>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</si>
  <si>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</si>
  <si>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</si>
  <si>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</si>
  <si>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</si>
  <si>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</si>
  <si>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</si>
  <si>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</si>
  <si>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</si>
  <si>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</si>
  <si>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</si>
  <si>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</si>
  <si>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</si>
  <si>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</si>
  <si>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</si>
  <si>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</si>
  <si>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</si>
  <si>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</si>
  <si>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</si>
  <si>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</si>
  <si>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</si>
  <si>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</si>
  <si>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</si>
  <si>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</si>
  <si>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</si>
  <si>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</si>
  <si>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</si>
  <si>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</si>
  <si>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</si>
  <si>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</si>
  <si>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</si>
  <si>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</si>
  <si>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</si>
  <si>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</si>
  <si>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</si>
  <si>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</si>
  <si>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</si>
  <si>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</si>
  <si>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</si>
  <si>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</si>
  <si>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</si>
  <si>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</si>
  <si>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</si>
  <si>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</si>
  <si>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</si>
  <si>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</si>
  <si>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</si>
  <si>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</si>
  <si>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</si>
  <si>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</si>
  <si>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</si>
  <si>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</si>
  <si>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</si>
  <si>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</si>
  <si>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</si>
  <si>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</si>
  <si>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</si>
  <si>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</si>
  <si>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</si>
  <si>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</si>
  <si>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</si>
  <si>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</si>
  <si>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</si>
  <si>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</si>
  <si>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</si>
  <si>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</si>
  <si>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</si>
  <si>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</si>
  <si>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</si>
  <si>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</si>
  <si>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</si>
  <si>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</si>
  <si>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</si>
  <si>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</si>
  <si>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</si>
  <si>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</si>
  <si>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</si>
  <si>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</si>
  <si>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</si>
  <si>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</si>
  <si>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</si>
  <si>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</si>
  <si>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</si>
  <si>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</si>
  <si>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</si>
  <si>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</si>
  <si>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</si>
  <si>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</si>
  <si>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</si>
  <si>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</si>
  <si>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</si>
  <si>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</si>
  <si>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</si>
  <si>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</si>
  <si>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</si>
  <si>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</si>
  <si>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</si>
  <si>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</si>
  <si>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</si>
  <si>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</si>
  <si>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</si>
  <si>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</si>
  <si>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</si>
  <si>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</si>
  <si>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</si>
  <si>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</si>
  <si>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</si>
  <si>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</si>
  <si>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</si>
  <si>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</si>
  <si>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</si>
  <si>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</si>
  <si>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</si>
  <si>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</si>
  <si>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</si>
  <si>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</si>
  <si>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</si>
  <si>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</si>
  <si>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</si>
  <si>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</si>
  <si>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</si>
  <si>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</si>
  <si>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</si>
  <si>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</si>
  <si>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</si>
  <si>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</si>
  <si>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</si>
  <si>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</si>
  <si>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</si>
  <si>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</si>
  <si>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</si>
  <si>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</si>
  <si>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</si>
  <si>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</si>
  <si>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</si>
  <si>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</si>
  <si>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</si>
  <si>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</si>
  <si>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</si>
  <si>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</si>
  <si>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</si>
  <si>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</si>
  <si>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</si>
  <si>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</si>
  <si>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</si>
  <si>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</si>
  <si>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</si>
  <si>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</si>
  <si>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</si>
  <si>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</si>
  <si>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</si>
  <si>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</si>
  <si>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</si>
  <si>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</si>
  <si>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</si>
  <si>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</si>
  <si>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</si>
  <si>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</si>
  <si>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</si>
  <si>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</si>
  <si>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</si>
  <si>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</si>
  <si>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</si>
  <si>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</si>
  <si>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</si>
  <si>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</si>
  <si>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</si>
  <si>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</si>
  <si>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</si>
  <si>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</si>
  <si>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</si>
  <si>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</si>
  <si>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</si>
  <si>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</si>
  <si>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</si>
  <si>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</si>
  <si>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</si>
  <si>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</si>
  <si>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</si>
  <si>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</si>
  <si>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</si>
  <si>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</si>
  <si>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</si>
  <si>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</si>
  <si>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</si>
  <si>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</si>
  <si>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</si>
  <si>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</si>
  <si>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</si>
  <si>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</si>
  <si>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</si>
  <si>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</si>
  <si>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</si>
  <si>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</si>
  <si>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</si>
  <si>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</si>
  <si>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</si>
  <si>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</si>
  <si>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</si>
  <si>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</si>
  <si>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</si>
  <si>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</si>
  <si>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</si>
  <si>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</si>
  <si>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</si>
  <si>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</si>
  <si>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</si>
  <si>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</si>
  <si>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</si>
  <si>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</si>
  <si>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</si>
  <si>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</si>
  <si>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</si>
  <si>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</si>
  <si>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</si>
  <si>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</si>
  <si>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</si>
  <si>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</si>
  <si>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</si>
  <si>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</si>
  <si>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</si>
  <si>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</si>
  <si>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</si>
  <si>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</si>
  <si>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</si>
  <si>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</si>
  <si>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</si>
  <si>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</si>
  <si>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</si>
  <si>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</si>
  <si>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</si>
  <si>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</si>
  <si>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</si>
  <si>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</si>
  <si>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</si>
  <si>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</si>
  <si>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</si>
  <si>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</si>
  <si>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</si>
  <si>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</si>
  <si>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</si>
  <si>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</si>
  <si>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</si>
  <si>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</si>
  <si>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</si>
  <si>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</si>
  <si>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</si>
  <si>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</si>
  <si>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</si>
  <si>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</si>
  <si>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</si>
  <si>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</si>
  <si>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</si>
  <si>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</si>
  <si>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</si>
  <si>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</si>
  <si>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</si>
  <si>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</si>
  <si>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</si>
  <si>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</si>
  <si>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</si>
  <si>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</si>
  <si>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</si>
  <si>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</si>
  <si>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</si>
  <si>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</si>
  <si>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</si>
  <si>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</si>
  <si>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</si>
  <si>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</si>
  <si>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</si>
  <si>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</si>
  <si>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</si>
  <si>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</si>
  <si>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</si>
  <si>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</si>
  <si>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</si>
  <si>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</si>
  <si>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</si>
  <si>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</si>
  <si>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</si>
  <si>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</si>
  <si>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</si>
  <si>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</si>
  <si>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</si>
  <si>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</si>
  <si>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</si>
  <si>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</si>
  <si>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</si>
  <si>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</si>
  <si>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</si>
  <si>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</si>
  <si>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</si>
  <si>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</si>
  <si>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</si>
  <si>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</si>
  <si>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</si>
  <si>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</si>
  <si>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</si>
  <si>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</si>
  <si>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</si>
  <si>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</si>
  <si>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</si>
  <si>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</si>
  <si>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</si>
  <si>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</si>
  <si>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</si>
  <si>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</si>
  <si>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</si>
  <si>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</si>
  <si>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</si>
  <si>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</si>
  <si>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</si>
  <si>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</si>
  <si>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</si>
  <si>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</si>
  <si>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</si>
  <si>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</si>
  <si>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</si>
  <si>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</si>
  <si>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</si>
  <si>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</si>
  <si>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</si>
  <si>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</si>
  <si>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</si>
  <si>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</si>
  <si>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</si>
  <si>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</si>
  <si>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</si>
  <si>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</si>
  <si>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</si>
  <si>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</si>
  <si>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</si>
  <si>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</si>
  <si>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</si>
  <si>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</si>
  <si>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</si>
  <si>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</si>
  <si>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</si>
  <si>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</si>
  <si>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</si>
  <si>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</si>
  <si>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</si>
  <si>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</si>
  <si>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</si>
  <si>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</si>
  <si>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</si>
  <si>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</si>
  <si>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</si>
  <si>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</si>
  <si>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</si>
  <si>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</si>
  <si>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</si>
  <si>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</si>
  <si>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</si>
  <si>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</si>
  <si>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</si>
  <si>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</si>
  <si>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</si>
  <si>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</si>
  <si>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</si>
  <si>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</si>
  <si>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</si>
  <si>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</si>
  <si>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</si>
  <si>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</si>
  <si>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</si>
  <si>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</si>
  <si>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</si>
  <si>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</si>
  <si>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</si>
  <si>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</si>
  <si>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</si>
  <si>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</si>
  <si>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</si>
  <si>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</si>
  <si>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</si>
  <si>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</si>
  <si>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</si>
  <si>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</si>
  <si>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</si>
  <si>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</si>
  <si>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</si>
  <si>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</si>
  <si>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</si>
  <si>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</si>
  <si>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</si>
  <si>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</si>
  <si>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</si>
  <si>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</si>
  <si>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</si>
  <si>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</si>
  <si>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</si>
  <si>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</si>
  <si>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</si>
  <si>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</si>
  <si>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</si>
  <si>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</si>
  <si>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</si>
  <si>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</si>
  <si>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</si>
  <si>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</si>
  <si>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</si>
  <si>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</si>
  <si>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</si>
  <si>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</si>
  <si>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</si>
  <si>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</si>
  <si>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</si>
  <si>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</si>
  <si>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</si>
  <si>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</si>
  <si>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</si>
  <si>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</si>
  <si>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</si>
  <si>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</si>
  <si>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</si>
  <si>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</si>
  <si>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</si>
  <si>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</si>
  <si>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</si>
  <si>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</si>
  <si>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</si>
  <si>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</si>
  <si>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</si>
  <si>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</si>
  <si>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</si>
  <si>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</si>
  <si>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</si>
  <si>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</si>
  <si>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</si>
  <si>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</si>
  <si>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</si>
  <si>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</si>
  <si>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</si>
  <si>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</si>
  <si>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</si>
  <si>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</si>
  <si>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</si>
  <si>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</si>
  <si>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</si>
  <si>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</si>
  <si>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</si>
  <si>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</si>
  <si>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</si>
  <si>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</si>
  <si>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</si>
  <si>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</si>
  <si>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</si>
  <si>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</si>
  <si>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</si>
  <si>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</si>
  <si>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</si>
  <si>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</si>
  <si>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</si>
  <si>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</si>
  <si>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</si>
  <si>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</si>
  <si>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</si>
  <si>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</si>
  <si>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</si>
  <si>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</si>
  <si>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</si>
  <si>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</si>
  <si>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</si>
  <si>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</si>
  <si>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</si>
  <si>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</si>
  <si>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</si>
  <si>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</si>
  <si>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</si>
  <si>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</si>
  <si>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</si>
  <si>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</si>
  <si>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</si>
  <si>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</si>
  <si>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</si>
  <si>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</si>
  <si>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</si>
  <si>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</si>
  <si>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</si>
  <si>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</si>
  <si>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</si>
  <si>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</si>
  <si>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</si>
  <si>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</si>
  <si>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</si>
  <si>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</si>
  <si>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</si>
  <si>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</si>
  <si>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</si>
  <si>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</si>
  <si>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</si>
  <si>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</si>
  <si>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</si>
  <si>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</si>
  <si>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</si>
  <si>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</si>
  <si>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</si>
  <si>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</si>
  <si>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</si>
  <si>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</si>
  <si>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</si>
  <si>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</si>
  <si>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</si>
  <si>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</si>
  <si>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</si>
  <si>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</si>
  <si>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</si>
  <si>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</si>
  <si>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</si>
  <si>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</si>
  <si>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</si>
  <si>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</si>
  <si>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</si>
  <si>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</si>
  <si>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</si>
  <si>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</si>
  <si>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</si>
  <si>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</si>
  <si>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</si>
  <si>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</si>
  <si>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</si>
  <si>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</si>
  <si>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</si>
  <si>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</si>
  <si>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</si>
  <si>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</si>
  <si>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</si>
  <si>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</si>
  <si>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</si>
  <si>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</si>
  <si>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</si>
  <si>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</si>
  <si>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</si>
  <si>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</si>
  <si>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</si>
  <si>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</si>
  <si>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</si>
  <si>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</si>
  <si>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</si>
  <si>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</si>
  <si>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</si>
  <si>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</si>
  <si>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</si>
  <si>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</si>
  <si>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</si>
  <si>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</si>
  <si>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</si>
  <si>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</si>
  <si>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</si>
  <si>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</si>
  <si>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</si>
  <si>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</si>
  <si>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</si>
  <si>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</si>
  <si>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</si>
  <si>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</si>
  <si>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</si>
  <si>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</si>
  <si>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</si>
  <si>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</si>
  <si>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</si>
  <si>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</si>
  <si>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</si>
  <si>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</si>
  <si>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</si>
  <si>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</si>
  <si>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</si>
  <si>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</si>
  <si>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</si>
  <si>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</si>
  <si>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</si>
  <si>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</si>
  <si>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</si>
  <si>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</si>
  <si>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</si>
  <si>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</si>
  <si>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</si>
  <si>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</si>
  <si>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</si>
  <si>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</si>
  <si>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</si>
  <si>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</si>
  <si>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</si>
  <si>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</si>
  <si>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</si>
  <si>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</si>
  <si>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</si>
  <si>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</si>
  <si>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</si>
  <si>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</si>
  <si>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</si>
  <si>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</si>
  <si>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</si>
  <si>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</si>
  <si>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</si>
  <si>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</si>
  <si>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</si>
  <si>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</si>
  <si>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</si>
  <si>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</si>
  <si>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</si>
  <si>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</si>
  <si>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</si>
  <si>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</si>
  <si>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</si>
  <si>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</si>
  <si>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</si>
  <si>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</si>
  <si>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</si>
  <si>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</si>
  <si>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</si>
  <si>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</si>
  <si>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</si>
  <si>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</si>
  <si>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</si>
  <si>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</si>
  <si>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</si>
  <si>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</si>
  <si>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</si>
  <si>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</si>
  <si>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</si>
  <si>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</si>
  <si>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</si>
  <si>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</si>
  <si>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</si>
  <si>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</si>
  <si>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</si>
  <si>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</si>
  <si>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</si>
  <si>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</si>
  <si>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</si>
  <si>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</si>
  <si>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</si>
  <si>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</si>
  <si>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</si>
  <si>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</si>
  <si>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</si>
  <si>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</si>
  <si>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</si>
  <si>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</si>
  <si>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</si>
  <si>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</si>
  <si>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</si>
  <si>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</si>
  <si>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</si>
  <si>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</si>
  <si>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</si>
  <si>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</si>
  <si>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</si>
  <si>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</si>
  <si>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</si>
  <si>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</si>
  <si>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</si>
  <si>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</si>
  <si>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</si>
  <si>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</si>
  <si>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</si>
  <si>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</si>
  <si>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</si>
  <si>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</si>
  <si>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</si>
  <si>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</si>
  <si>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</si>
  <si>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</si>
  <si>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</si>
  <si>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</si>
  <si>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</si>
  <si>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</si>
  <si>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</si>
  <si>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</si>
  <si>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</si>
  <si>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</si>
  <si>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</si>
  <si>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</si>
  <si>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</si>
  <si>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</si>
  <si>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</si>
  <si>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</si>
  <si>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</si>
  <si>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</si>
  <si>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</si>
  <si>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</si>
  <si>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</si>
  <si>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</si>
  <si>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</si>
  <si>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</si>
  <si>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</si>
  <si>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</si>
  <si>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</si>
  <si>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</si>
  <si>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</si>
  <si>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</si>
  <si>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</si>
  <si>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</si>
  <si>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</si>
  <si>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</si>
  <si>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</si>
  <si>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</si>
  <si>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</si>
  <si>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</si>
  <si>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</si>
  <si>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</si>
  <si>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</si>
  <si>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</si>
  <si>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</si>
  <si>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</si>
  <si>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</si>
  <si>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</si>
  <si>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</si>
  <si>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</si>
  <si>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</si>
  <si>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</si>
  <si>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</si>
  <si>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</si>
  <si>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</si>
  <si>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</si>
  <si>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</si>
  <si>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</si>
  <si>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</si>
  <si>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</si>
  <si>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</si>
  <si>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</si>
  <si>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</si>
  <si>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</si>
  <si>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</si>
  <si>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</si>
  <si>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</si>
  <si>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</si>
  <si>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</si>
  <si>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</si>
  <si>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</si>
  <si>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</si>
  <si>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</si>
  <si>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</si>
  <si>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</si>
  <si>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</si>
  <si>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</si>
  <si>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</si>
  <si>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</si>
  <si>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</si>
  <si>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</si>
  <si>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</si>
  <si>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</si>
  <si>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</si>
  <si>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</si>
  <si>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</si>
  <si>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</si>
  <si>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</si>
  <si>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</si>
  <si>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</si>
  <si>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</si>
  <si>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</si>
  <si>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</si>
  <si>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</si>
  <si>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</si>
  <si>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</si>
  <si>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</si>
  <si>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</si>
  <si>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</si>
  <si>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</si>
  <si>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</si>
  <si>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</si>
  <si>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</si>
  <si>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</si>
  <si>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</si>
  <si>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</si>
  <si>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</si>
  <si>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</si>
  <si>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</si>
  <si>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</si>
  <si>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</si>
  <si>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</si>
  <si>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</si>
  <si>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</si>
  <si>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</si>
  <si>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</si>
  <si>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</si>
  <si>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</si>
  <si>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</si>
  <si>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</si>
  <si>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</si>
  <si>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</si>
  <si>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</si>
  <si>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</si>
  <si>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</si>
  <si>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</si>
  <si>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</si>
  <si>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</si>
  <si>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</si>
  <si>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</si>
  <si>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</si>
  <si>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</si>
  <si>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</si>
  <si>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</si>
  <si>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</si>
  <si>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</si>
  <si>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</si>
  <si>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</si>
  <si>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</si>
  <si>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</si>
  <si>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</si>
  <si>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</si>
  <si>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</si>
  <si>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</si>
  <si>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</si>
  <si>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</si>
  <si>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</si>
  <si>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</si>
  <si>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</si>
  <si>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</si>
  <si>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</si>
  <si>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</si>
  <si>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</si>
  <si>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</si>
  <si>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</si>
  <si>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</si>
  <si>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</si>
  <si>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</si>
  <si>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</si>
  <si>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</si>
  <si>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</si>
  <si>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</si>
  <si>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</si>
  <si>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</si>
  <si>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</si>
  <si>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</si>
  <si>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</si>
  <si>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</si>
  <si>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</si>
  <si>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</si>
  <si>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</si>
  <si>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</si>
  <si>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</si>
  <si>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</si>
  <si>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</si>
  <si>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</si>
  <si>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</si>
  <si>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</si>
  <si>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</si>
  <si>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</si>
  <si>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</si>
  <si>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</si>
  <si>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</si>
  <si>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</si>
  <si>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</si>
  <si>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</si>
  <si>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</si>
  <si>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</si>
  <si>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</si>
  <si>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</si>
  <si>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</si>
  <si>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</si>
  <si>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</si>
  <si>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</si>
  <si>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</si>
  <si>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</si>
  <si>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</si>
  <si>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</si>
  <si>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</si>
  <si>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</si>
  <si>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</si>
  <si>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</si>
  <si>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</si>
  <si>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</si>
  <si>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</si>
  <si>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</si>
  <si>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</si>
  <si>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</si>
  <si>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</si>
  <si>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</si>
  <si>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</si>
  <si>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</si>
  <si>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</si>
  <si>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</si>
  <si>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</si>
  <si>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</si>
  <si>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</si>
  <si>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</si>
  <si>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</si>
  <si>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</si>
  <si>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</si>
  <si>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</si>
  <si>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</si>
  <si>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</si>
  <si>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</si>
  <si>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</si>
  <si>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</si>
  <si>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</si>
  <si>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</si>
  <si>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</si>
  <si>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</si>
  <si>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</si>
  <si>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</si>
  <si>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</si>
  <si>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</si>
  <si>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</si>
  <si>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</si>
  <si>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</si>
  <si>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</si>
  <si>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</si>
  <si>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</si>
  <si>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</si>
  <si>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</si>
  <si>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</si>
  <si>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</si>
  <si>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</si>
  <si>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</si>
  <si>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</si>
  <si>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</si>
  <si>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</si>
  <si>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</si>
  <si>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</si>
  <si>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</si>
  <si>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</si>
  <si>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</si>
  <si>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</si>
  <si>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</si>
  <si>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</si>
  <si>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</si>
  <si>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</si>
  <si>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</si>
  <si>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</si>
  <si>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</si>
  <si>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</si>
  <si>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</si>
  <si>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</si>
  <si>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</si>
  <si>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</si>
  <si>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</si>
  <si>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</si>
  <si>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</si>
  <si>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</si>
  <si>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</si>
  <si>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</si>
  <si>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</si>
  <si>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</si>
  <si>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</si>
  <si>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</si>
  <si>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</si>
  <si>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</si>
  <si>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</si>
  <si>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</si>
  <si>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</si>
  <si>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</si>
  <si>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</si>
  <si>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</si>
  <si>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</si>
  <si>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</si>
  <si>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</si>
  <si>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</si>
  <si>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</si>
  <si>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</si>
  <si>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</si>
  <si>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</si>
  <si>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</si>
  <si>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</si>
  <si>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</si>
  <si>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</si>
  <si>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</si>
  <si>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</si>
  <si>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</si>
  <si>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</si>
  <si>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</si>
  <si>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</si>
  <si>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</si>
  <si>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</si>
  <si>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</si>
  <si>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</si>
  <si>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</si>
  <si>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</si>
  <si>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</si>
  <si>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</si>
  <si>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</si>
  <si>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</si>
  <si>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</si>
  <si>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</si>
  <si>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</si>
  <si>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</si>
  <si>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</si>
  <si>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</si>
  <si>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</si>
  <si>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</si>
  <si>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</si>
  <si>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</si>
  <si>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</si>
  <si>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</si>
  <si>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</si>
  <si>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</si>
  <si>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</si>
  <si>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</si>
  <si>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</si>
  <si>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</si>
  <si>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</si>
  <si>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</si>
  <si>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</si>
  <si>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</si>
  <si>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</si>
  <si>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</si>
  <si>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</si>
  <si>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</si>
  <si>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</si>
  <si>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</si>
  <si>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</si>
  <si>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</si>
  <si>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</si>
  <si>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</si>
  <si>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</si>
  <si>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</si>
  <si>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</si>
  <si>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</si>
  <si>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</si>
  <si>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</si>
  <si>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</si>
  <si>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</si>
  <si>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</si>
  <si>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</si>
  <si>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</si>
  <si>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</si>
  <si>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</si>
  <si>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</si>
  <si>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</si>
  <si>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</si>
  <si>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</si>
  <si>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</si>
  <si>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</si>
  <si>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</si>
  <si>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</si>
  <si>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</si>
  <si>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</si>
  <si>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</si>
  <si>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</si>
  <si>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</si>
  <si>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</si>
  <si>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</si>
  <si>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</si>
  <si>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</si>
  <si>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</si>
  <si>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</si>
  <si>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</si>
  <si>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</si>
  <si>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</si>
  <si>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</si>
  <si>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</si>
  <si>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</si>
  <si>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</si>
  <si>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</si>
  <si>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</si>
  <si>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</si>
  <si>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</si>
  <si>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</si>
  <si>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</si>
  <si>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</si>
  <si>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</si>
  <si>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</si>
  <si>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</si>
  <si>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</si>
  <si>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</si>
  <si>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</si>
  <si>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</si>
  <si>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</si>
  <si>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</si>
  <si>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</si>
  <si>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</si>
  <si>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</si>
  <si>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</si>
  <si>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</si>
  <si>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</si>
  <si>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</si>
  <si>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</si>
  <si>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</si>
  <si>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</si>
  <si>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</si>
  <si>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</si>
  <si>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</si>
  <si>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</si>
  <si>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</si>
  <si>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</si>
  <si>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</si>
  <si>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</si>
  <si>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</si>
  <si>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</si>
  <si>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</si>
  <si>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</si>
  <si>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</si>
  <si>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</si>
  <si>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</si>
  <si>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</si>
  <si>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</si>
  <si>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</si>
  <si>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</si>
  <si>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</si>
  <si>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</si>
  <si>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</si>
  <si>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</si>
  <si>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</si>
  <si>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</si>
  <si>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</si>
  <si>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</si>
  <si>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</si>
  <si>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</si>
  <si>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</si>
  <si>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</si>
  <si>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</si>
  <si>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</si>
  <si>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</si>
  <si>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</si>
  <si>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</si>
  <si>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</si>
  <si>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</si>
  <si>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</si>
  <si>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</si>
  <si>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</si>
  <si>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</si>
  <si>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</si>
  <si>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</si>
  <si>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</si>
  <si>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</si>
  <si>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</si>
  <si>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</si>
  <si>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</si>
  <si>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</si>
  <si>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</si>
  <si>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</si>
  <si>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</si>
  <si>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</si>
  <si>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</si>
  <si>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</si>
  <si>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</si>
  <si>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</si>
  <si>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</si>
  <si>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</si>
  <si>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</si>
  <si>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</si>
  <si>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</si>
  <si>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</si>
  <si>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</si>
  <si>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</si>
  <si>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</si>
  <si>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</si>
  <si>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</si>
  <si>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</si>
  <si>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</si>
  <si>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</si>
  <si>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</si>
  <si>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</si>
  <si>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</si>
  <si>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</si>
  <si>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</si>
  <si>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</si>
  <si>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</si>
  <si>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</si>
  <si>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</si>
  <si>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</si>
  <si>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</si>
  <si>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</si>
  <si>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</si>
  <si>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</si>
  <si>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</si>
  <si>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</si>
  <si>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</si>
  <si>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</si>
  <si>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</si>
  <si>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</si>
  <si>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</si>
  <si>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</si>
  <si>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</si>
  <si>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</si>
  <si>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</si>
  <si>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</si>
  <si>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</si>
  <si>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</si>
  <si>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</si>
  <si>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</si>
  <si>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</si>
  <si>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</si>
  <si>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</si>
  <si>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</si>
  <si>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</si>
  <si>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</si>
  <si>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</si>
  <si>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</si>
  <si>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</si>
  <si>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</si>
  <si>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</si>
  <si>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</si>
  <si>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</si>
  <si>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</si>
  <si>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</si>
  <si>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</si>
  <si>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</si>
  <si>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</si>
  <si>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</si>
  <si>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</si>
  <si>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</si>
  <si>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</si>
  <si>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</si>
  <si>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</si>
  <si>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</si>
  <si>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</si>
  <si>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</si>
  <si>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</si>
  <si>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</si>
  <si>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</si>
  <si>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</si>
  <si>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</si>
  <si>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</si>
  <si>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</si>
  <si>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</si>
  <si>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</si>
  <si>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</si>
  <si>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</si>
  <si>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</si>
  <si>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</si>
  <si>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</si>
  <si>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</si>
  <si>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</si>
  <si>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</si>
  <si>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</si>
  <si>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</si>
  <si>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</si>
  <si>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</si>
  <si>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</si>
  <si>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</si>
  <si>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</si>
  <si>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</si>
  <si>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</si>
  <si>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</si>
  <si>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</si>
  <si>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</si>
  <si>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</si>
  <si>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</si>
  <si>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</si>
  <si>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</si>
  <si>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</si>
  <si>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</si>
  <si>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</si>
  <si>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</si>
  <si>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</si>
  <si>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</si>
  <si>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</si>
  <si>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</si>
  <si>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</si>
  <si>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</si>
  <si>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</si>
  <si>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</si>
  <si>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</si>
  <si>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</si>
  <si>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</si>
  <si>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</si>
  <si>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</si>
  <si>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</si>
  <si>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</si>
  <si>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</si>
  <si>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</si>
  <si>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</si>
  <si>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</si>
  <si>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</si>
  <si>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</si>
  <si>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</si>
  <si>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</si>
  <si>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</si>
  <si>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</si>
  <si>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</si>
  <si>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</si>
  <si>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</si>
  <si>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</si>
  <si>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</si>
  <si>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</si>
  <si>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</si>
  <si>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</si>
  <si>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</si>
  <si>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</si>
  <si>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</si>
  <si>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</si>
  <si>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</si>
  <si>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</si>
  <si>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</si>
  <si>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</si>
  <si>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</si>
  <si>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</si>
  <si>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</si>
  <si>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</si>
  <si>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</si>
  <si>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</si>
  <si>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</si>
  <si>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</si>
  <si>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</si>
  <si>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</si>
  <si>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</si>
  <si>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</si>
  <si>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</si>
  <si>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</si>
  <si>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</si>
  <si>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</si>
  <si>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</si>
  <si>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</si>
  <si>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</si>
  <si>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</si>
  <si>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</si>
  <si>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</si>
  <si>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</si>
  <si>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</si>
  <si>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</si>
  <si>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</si>
  <si>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</si>
  <si>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</si>
  <si>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</si>
  <si>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</si>
  <si>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</si>
  <si>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</si>
  <si>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</si>
  <si>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</si>
  <si>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</si>
  <si>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</si>
  <si>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</si>
  <si>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</si>
  <si>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</si>
  <si>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</si>
  <si>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</si>
  <si>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</si>
  <si>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</si>
  <si>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</si>
  <si>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</si>
  <si>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</si>
  <si>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</si>
  <si>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</si>
  <si>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</si>
  <si>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</si>
  <si>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</si>
  <si>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</si>
  <si>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</si>
  <si>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</si>
  <si>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</si>
  <si>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</si>
  <si>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</si>
  <si>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</si>
  <si>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</si>
  <si>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</si>
  <si>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</si>
  <si>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</si>
  <si>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</si>
  <si>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</si>
  <si>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</si>
  <si>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</si>
  <si>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</si>
  <si>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</si>
  <si>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</si>
  <si>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Public open space policies</t>
  </si>
  <si>
    <t>Access to employment and services via public transport</t>
  </si>
  <si>
    <t>Public transport use</t>
  </si>
  <si>
    <t>Nature-based solutions policies</t>
  </si>
  <si>
    <t>Urban air quality policies</t>
  </si>
  <si>
    <t>Tree canopy and urban greening</t>
  </si>
  <si>
    <t>Adaptation and disaster risk reduction</t>
  </si>
  <si>
    <t>policy_checklist7_title</t>
  </si>
  <si>
    <t>policy_checklist7_text1</t>
  </si>
  <si>
    <t>policy_checklist7_text1_response1</t>
  </si>
  <si>
    <t>policy_checklist7_text1_response2</t>
  </si>
  <si>
    <t>policy_checklist7_text1_response3</t>
  </si>
  <si>
    <t>policy_checklist6_text2</t>
  </si>
  <si>
    <t>policy_checklist6_text2_response1</t>
  </si>
  <si>
    <t>policy_checklist6_text2_response2</t>
  </si>
  <si>
    <t>policy_checklist6_text2_response3</t>
  </si>
  <si>
    <t>policy_box_checklist7</t>
  </si>
  <si>
    <t>green_space_header</t>
  </si>
  <si>
    <t>Vegetation cover</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</si>
  <si>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</si>
  <si>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</si>
  <si>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overall_greenery_label</t>
  </si>
  <si>
    <t>{percent} of study region land area meets the vegetation
threshold of annual average NDVI ≥ 0.2</t>
  </si>
  <si>
    <t>lpugs_header</t>
  </si>
  <si>
    <t>Large public green space access</t>
  </si>
  <si>
    <t>green_space_accessibility_label</t>
  </si>
  <si>
    <t>{percent} of the population live within 500m of large public
green space of at least 1 hectare in size</t>
  </si>
  <si>
    <t>urban_heat_exposure_header</t>
  </si>
  <si>
    <t>Urban heat exposure</t>
  </si>
  <si>
    <t>land_surface_temperature_label</t>
  </si>
  <si>
    <t>Average land surface temperature for the hottest third of the year ({start_date} to {end_date})</t>
  </si>
  <si>
    <t>guhvi_header</t>
  </si>
  <si>
    <t>Urban heat vulnerability</t>
  </si>
  <si>
    <t>guhvi_description</t>
  </si>
  <si>
    <t>Inequities in heat vulnerability were evaluated as a function of heat exposure, sensitivity, and adaptive capacity (Turner et al, 2025; https://dx.doi.org/10.2139/ssrn.5251739).</t>
  </si>
  <si>
    <t>guhvi_caption</t>
  </si>
  <si>
    <t>Heat vulnerability</t>
  </si>
  <si>
    <t>global_urban_heat_vulnerability_index_label</t>
  </si>
  <si>
    <t>{percent} of the population live in areas most vulnerable to heat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</si>
</sst>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0">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activeCell="B1" sqref="B1"/>
      <selection pane="bottomLeft" activeCell="A2" sqref="A2"/>
      <selection pane="bottomRight" activeCell="A2" sqref="A2"/>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f>E2+8</f>
        <v>123</v>
      </c>
      <c r="H2" t="s">
        <v>102</v>
      </c>
      <c r="I2">
        <v>30</v>
      </c>
      <c r="J2">
        <v>1</v>
      </c>
      <c r="K2">
        <v>0</v>
      </c>
      <c r="L2">
        <v>0</v>
      </c>
      <c r="M2" t="s">
        <v>884</v>
      </c>
      <c r="N2" t="s">
        <v>21</v>
      </c>
      <c r="O2" t="s">
        <v>25</v>
      </c>
      <c r="Q2">
        <v>0</v>
      </c>
      <c r="R2" t="b">
        <v>1</v>
      </c>
      <c r="S2" t="s">
        <v>119</v>
      </c>
      <c r="T2">
        <v>0</v>
      </c>
    </row>
    <row r="3" spans="1:20" x14ac:dyDescent="0.25">
      <c r="A3" t="s">
        <v>886</v>
      </c>
      <c r="B3">
        <v>1</v>
      </c>
      <c r="C3" t="s">
        <v>19</v>
      </c>
      <c r="D3">
        <f>$D$2</f>
        <v>28</v>
      </c>
      <c r="E3">
        <f>G2+4</f>
        <v>127</v>
      </c>
      <c r="F3">
        <f>$F$2</f>
        <v>200</v>
      </c>
      <c r="G3">
        <f>E3+8</f>
        <v>135</v>
      </c>
      <c r="H3" t="s">
        <v>102</v>
      </c>
      <c r="I3">
        <v>30</v>
      </c>
      <c r="J3">
        <v>1</v>
      </c>
      <c r="K3">
        <v>0</v>
      </c>
      <c r="L3">
        <v>0</v>
      </c>
      <c r="M3" t="s">
        <v>884</v>
      </c>
      <c r="N3" t="s">
        <v>21</v>
      </c>
      <c r="O3" t="s">
        <v>25</v>
      </c>
      <c r="Q3">
        <v>0</v>
      </c>
      <c r="R3" t="b">
        <v>1</v>
      </c>
      <c r="S3" t="s">
        <v>119</v>
      </c>
      <c r="T3">
        <v>0</v>
      </c>
    </row>
    <row r="4" spans="1:20" x14ac:dyDescent="0.25">
      <c r="A4" t="s">
        <v>908</v>
      </c>
      <c r="B4">
        <v>1</v>
      </c>
      <c r="C4" t="s">
        <v>19</v>
      </c>
      <c r="D4">
        <f>$D$2</f>
        <v>28</v>
      </c>
      <c r="E4">
        <f>G3+4</f>
        <v>139</v>
      </c>
      <c r="F4">
        <f>$F$2</f>
        <v>200</v>
      </c>
      <c r="G4">
        <f>E4+8</f>
        <v>147</v>
      </c>
      <c r="H4" t="s">
        <v>102</v>
      </c>
      <c r="I4">
        <v>30</v>
      </c>
      <c r="J4">
        <v>1</v>
      </c>
      <c r="K4">
        <v>0</v>
      </c>
      <c r="L4">
        <v>0</v>
      </c>
      <c r="M4" t="s">
        <v>884</v>
      </c>
      <c r="N4" t="s">
        <v>21</v>
      </c>
      <c r="O4" t="s">
        <v>25</v>
      </c>
      <c r="Q4">
        <v>0</v>
      </c>
      <c r="R4" t="b">
        <v>1</v>
      </c>
      <c r="T4">
        <v>0</v>
      </c>
    </row>
    <row r="5" spans="1:20" x14ac:dyDescent="0.25">
      <c r="A5" t="s">
        <v>18</v>
      </c>
      <c r="B5">
        <v>3</v>
      </c>
      <c r="C5" t="s">
        <v>19</v>
      </c>
      <c r="D5">
        <v>0</v>
      </c>
      <c r="E5">
        <v>10</v>
      </c>
      <c r="F5">
        <f t="shared" ref="F5:F15" si="0">$F$2</f>
        <v>200</v>
      </c>
      <c r="G5">
        <f t="shared" ref="G5" si="1">E5+3</f>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f t="shared" si="0"/>
        <v>200</v>
      </c>
      <c r="G6">
        <f t="shared" ref="G6" si="2">E6+3</f>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f>$D$2</f>
        <v>28</v>
      </c>
      <c r="E12">
        <f>G4+8</f>
        <v>155</v>
      </c>
      <c r="F12">
        <f t="shared" si="0"/>
        <v>200</v>
      </c>
      <c r="G12">
        <f>E12+8</f>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f>$D$2</f>
        <v>28</v>
      </c>
      <c r="E13">
        <f>G12</f>
        <v>163</v>
      </c>
      <c r="F13">
        <f t="shared" si="0"/>
        <v>200</v>
      </c>
      <c r="G13">
        <f>E13+6</f>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f>$D$2</f>
        <v>28</v>
      </c>
      <c r="E14">
        <f>G13</f>
        <v>169</v>
      </c>
      <c r="F14">
        <f t="shared" si="0"/>
        <v>200</v>
      </c>
      <c r="G14">
        <f>E14+6</f>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f>$D$2</f>
        <v>28</v>
      </c>
      <c r="E15">
        <v>171</v>
      </c>
      <c r="F15">
        <f t="shared" si="0"/>
        <v>200</v>
      </c>
      <c r="G15">
        <f>E15+6</f>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f>$D$2</f>
        <v>28</v>
      </c>
      <c r="E16">
        <f>E17-5</f>
        <v>193</v>
      </c>
      <c r="F16">
        <v>205</v>
      </c>
      <c r="G16">
        <f>E16+5</f>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f t="shared" ref="G21:G26" si="3">E21+5</f>
        <v>25</v>
      </c>
      <c r="H21" t="s">
        <v>102</v>
      </c>
      <c r="I21">
        <v>12</v>
      </c>
      <c r="J21">
        <v>0</v>
      </c>
      <c r="K21">
        <v>0</v>
      </c>
      <c r="L21">
        <v>0</v>
      </c>
      <c r="M21" t="s">
        <v>903</v>
      </c>
      <c r="N21" t="s">
        <v>947</v>
      </c>
      <c r="O21" t="s">
        <v>25</v>
      </c>
      <c r="Q21">
        <v>3</v>
      </c>
      <c r="R21" t="b">
        <v>1</v>
      </c>
      <c r="S21" t="s">
        <v>119</v>
      </c>
      <c r="T21">
        <v>0</v>
      </c>
    </row>
    <row r="22" spans="1:20" x14ac:dyDescent="0.25">
      <c r="A22" t="s">
        <v>904</v>
      </c>
      <c r="B22">
        <v>2</v>
      </c>
      <c r="C22" t="s">
        <v>19</v>
      </c>
      <c r="D22">
        <f>$D$21</f>
        <v>10</v>
      </c>
      <c r="E22">
        <v>135</v>
      </c>
      <c r="F22">
        <f>$F$21</f>
        <v>196</v>
      </c>
      <c r="G22">
        <f t="shared" si="3"/>
        <v>140</v>
      </c>
      <c r="H22" t="s">
        <v>102</v>
      </c>
      <c r="I22">
        <v>12</v>
      </c>
      <c r="J22">
        <v>0</v>
      </c>
      <c r="K22">
        <v>0</v>
      </c>
      <c r="L22">
        <v>0</v>
      </c>
      <c r="M22" t="s">
        <v>903</v>
      </c>
      <c r="N22" t="s">
        <v>947</v>
      </c>
      <c r="O22" t="s">
        <v>25</v>
      </c>
      <c r="P22" s="1" t="s">
        <v>905</v>
      </c>
      <c r="Q22">
        <v>2</v>
      </c>
      <c r="R22" t="b">
        <v>1</v>
      </c>
      <c r="T22">
        <v>0</v>
      </c>
    </row>
    <row r="23" spans="1:20" x14ac:dyDescent="0.25">
      <c r="A23" t="s">
        <v>859</v>
      </c>
      <c r="B23">
        <v>2</v>
      </c>
      <c r="C23" t="s">
        <v>19</v>
      </c>
      <c r="D23">
        <f t="shared" ref="D23:D26" si="4">$D$21</f>
        <v>10</v>
      </c>
      <c r="E23">
        <f>G22+6</f>
        <v>146</v>
      </c>
      <c r="F23">
        <f t="shared" ref="F23:F26" si="5">$F$21</f>
        <v>196</v>
      </c>
      <c r="G23">
        <f t="shared" si="3"/>
        <v>151</v>
      </c>
      <c r="H23" t="s">
        <v>102</v>
      </c>
      <c r="I23">
        <v>12</v>
      </c>
      <c r="J23">
        <v>0</v>
      </c>
      <c r="K23">
        <v>0</v>
      </c>
      <c r="L23">
        <v>0</v>
      </c>
      <c r="M23" t="s">
        <v>903</v>
      </c>
      <c r="N23" t="s">
        <v>947</v>
      </c>
      <c r="O23" t="s">
        <v>25</v>
      </c>
      <c r="P23" s="1"/>
      <c r="Q23">
        <v>2</v>
      </c>
      <c r="R23" t="b">
        <v>1</v>
      </c>
      <c r="T23">
        <v>0</v>
      </c>
    </row>
    <row r="24" spans="1:20" x14ac:dyDescent="0.25">
      <c r="A24" t="s">
        <v>860</v>
      </c>
      <c r="B24">
        <v>2</v>
      </c>
      <c r="C24" t="s">
        <v>19</v>
      </c>
      <c r="D24">
        <f t="shared" si="4"/>
        <v>10</v>
      </c>
      <c r="E24">
        <f>G23+10</f>
        <v>161</v>
      </c>
      <c r="F24">
        <f t="shared" si="5"/>
        <v>196</v>
      </c>
      <c r="G24">
        <f t="shared" si="3"/>
        <v>166</v>
      </c>
      <c r="H24" t="s">
        <v>102</v>
      </c>
      <c r="I24">
        <v>12</v>
      </c>
      <c r="J24">
        <v>0</v>
      </c>
      <c r="K24">
        <v>0</v>
      </c>
      <c r="L24">
        <v>0</v>
      </c>
      <c r="N24" t="s">
        <v>947</v>
      </c>
      <c r="O24" t="s">
        <v>25</v>
      </c>
      <c r="P24" s="1"/>
      <c r="Q24">
        <v>2</v>
      </c>
      <c r="R24" t="b">
        <v>1</v>
      </c>
      <c r="T24">
        <v>0</v>
      </c>
    </row>
    <row r="25" spans="1:20" x14ac:dyDescent="0.25">
      <c r="A25" t="s">
        <v>385</v>
      </c>
      <c r="B25">
        <v>2</v>
      </c>
      <c r="C25" t="s">
        <v>19</v>
      </c>
      <c r="D25">
        <f t="shared" si="4"/>
        <v>10</v>
      </c>
      <c r="E25">
        <f>G24+10</f>
        <v>176</v>
      </c>
      <c r="F25">
        <f t="shared" si="5"/>
        <v>196</v>
      </c>
      <c r="G25">
        <f t="shared" si="3"/>
        <v>181</v>
      </c>
      <c r="H25" t="s">
        <v>102</v>
      </c>
      <c r="I25">
        <v>12</v>
      </c>
      <c r="J25">
        <v>0</v>
      </c>
      <c r="K25">
        <v>0</v>
      </c>
      <c r="L25">
        <v>0</v>
      </c>
      <c r="M25" t="s">
        <v>903</v>
      </c>
      <c r="N25" t="s">
        <v>947</v>
      </c>
      <c r="O25" t="s">
        <v>25</v>
      </c>
      <c r="P25" s="1"/>
      <c r="Q25">
        <v>2</v>
      </c>
      <c r="R25" t="b">
        <v>1</v>
      </c>
      <c r="T25">
        <v>0</v>
      </c>
    </row>
    <row r="26" spans="1:20" x14ac:dyDescent="0.25">
      <c r="A26" t="s">
        <v>620</v>
      </c>
      <c r="B26">
        <v>2</v>
      </c>
      <c r="C26" t="s">
        <v>19</v>
      </c>
      <c r="D26">
        <f t="shared" si="4"/>
        <v>10</v>
      </c>
      <c r="E26">
        <f>G25+20</f>
        <v>201</v>
      </c>
      <c r="F26">
        <f t="shared" si="5"/>
        <v>196</v>
      </c>
      <c r="G26">
        <f t="shared" si="3"/>
        <v>206</v>
      </c>
      <c r="H26" t="s">
        <v>102</v>
      </c>
      <c r="I26">
        <v>12</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f t="shared" ref="F28" si="6">$F$2</f>
        <v>200</v>
      </c>
      <c r="G28">
        <f>E28+8</f>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669</v>
      </c>
      <c r="B30">
        <v>3</v>
      </c>
      <c r="C30" t="s">
        <v>19</v>
      </c>
      <c r="D30">
        <f>$D$29</f>
        <v>14</v>
      </c>
      <c r="E30">
        <f>G29+8</f>
        <v>41</v>
      </c>
      <c r="F30">
        <f>$F$29</f>
        <v>196</v>
      </c>
      <c r="G30">
        <f>E30+5</f>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f>E32-5</f>
        <v>225</v>
      </c>
      <c r="F31">
        <v>196</v>
      </c>
      <c r="G31">
        <f>E31+5</f>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f>E32+100</f>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126</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127</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723</v>
      </c>
      <c r="B36">
        <v>-999</v>
      </c>
      <c r="C36" t="s">
        <v>26</v>
      </c>
      <c r="D36">
        <f>$D$29-1</f>
        <v>13</v>
      </c>
      <c r="E36">
        <v>98</v>
      </c>
      <c r="F36">
        <v>210</v>
      </c>
      <c r="G36">
        <f>E47-5</f>
        <v>50</v>
      </c>
      <c r="I36">
        <v>0</v>
      </c>
      <c r="J36">
        <v>1</v>
      </c>
      <c r="K36">
        <v>0</v>
      </c>
      <c r="L36">
        <v>0</v>
      </c>
      <c r="N36" t="s">
        <v>21</v>
      </c>
      <c r="O36" t="s">
        <v>25</v>
      </c>
      <c r="Q36">
        <v>0</v>
      </c>
      <c r="R36" t="b">
        <v>0</v>
      </c>
      <c r="S36" t="s">
        <v>119</v>
      </c>
      <c r="T36">
        <v>0</v>
      </c>
    </row>
    <row r="37" spans="1:20" x14ac:dyDescent="0.25">
      <c r="A37" t="s">
        <v>1020</v>
      </c>
      <c r="B37">
        <v>3</v>
      </c>
      <c r="C37" t="s">
        <v>19</v>
      </c>
      <c r="D37">
        <f>$D$36+1</f>
        <v>14</v>
      </c>
      <c r="E37">
        <v>92</v>
      </c>
      <c r="F37">
        <f t="shared" ref="F37:F44" si="7">$F$29</f>
        <v>196</v>
      </c>
      <c r="G37">
        <f t="shared" ref="G37:G46" si="8">E37+5</f>
        <v>97</v>
      </c>
      <c r="H37" t="s">
        <v>102</v>
      </c>
      <c r="I37">
        <v>14</v>
      </c>
      <c r="J37">
        <v>1</v>
      </c>
      <c r="K37">
        <v>0</v>
      </c>
      <c r="L37">
        <v>0</v>
      </c>
      <c r="N37" t="s">
        <v>21</v>
      </c>
      <c r="O37" t="s">
        <v>25</v>
      </c>
      <c r="Q37">
        <v>3</v>
      </c>
      <c r="R37" t="b">
        <v>1</v>
      </c>
      <c r="S37" t="s">
        <v>119</v>
      </c>
      <c r="T37">
        <v>0</v>
      </c>
    </row>
    <row r="38" spans="1:20" x14ac:dyDescent="0.25">
      <c r="A38" t="s">
        <v>1021</v>
      </c>
      <c r="B38">
        <v>3</v>
      </c>
      <c r="C38" t="s">
        <v>19</v>
      </c>
      <c r="D38">
        <f t="shared" ref="D38:D44" si="9">$D$37</f>
        <v>14</v>
      </c>
      <c r="E38">
        <f>G37+4</f>
        <v>101</v>
      </c>
      <c r="F38">
        <f t="shared" si="7"/>
        <v>196</v>
      </c>
      <c r="G38">
        <f t="shared" si="8"/>
        <v>106</v>
      </c>
      <c r="H38" t="s">
        <v>102</v>
      </c>
      <c r="I38">
        <v>12</v>
      </c>
      <c r="J38">
        <v>0</v>
      </c>
      <c r="K38">
        <v>0</v>
      </c>
      <c r="L38">
        <v>0</v>
      </c>
      <c r="N38" t="s">
        <v>21</v>
      </c>
      <c r="O38" t="s">
        <v>25</v>
      </c>
      <c r="Q38">
        <v>3</v>
      </c>
      <c r="R38" t="b">
        <v>1</v>
      </c>
      <c r="S38" t="s">
        <v>119</v>
      </c>
      <c r="T38">
        <v>0</v>
      </c>
    </row>
    <row r="39" spans="1:20" x14ac:dyDescent="0.25">
      <c r="A39" t="s">
        <v>976</v>
      </c>
      <c r="B39">
        <v>3</v>
      </c>
      <c r="C39" t="s">
        <v>19</v>
      </c>
      <c r="D39">
        <f t="shared" si="9"/>
        <v>14</v>
      </c>
      <c r="E39">
        <f>G38+26</f>
        <v>132</v>
      </c>
      <c r="F39">
        <f t="shared" si="7"/>
        <v>196</v>
      </c>
      <c r="G39">
        <f t="shared" si="8"/>
        <v>137</v>
      </c>
      <c r="H39" t="s">
        <v>102</v>
      </c>
      <c r="I39">
        <v>12</v>
      </c>
      <c r="J39">
        <v>1</v>
      </c>
      <c r="K39">
        <v>0</v>
      </c>
      <c r="L39">
        <v>0</v>
      </c>
      <c r="N39" t="s">
        <v>21</v>
      </c>
      <c r="O39" t="s">
        <v>25</v>
      </c>
      <c r="Q39">
        <v>3</v>
      </c>
      <c r="R39" t="b">
        <v>1</v>
      </c>
      <c r="S39" t="s">
        <v>119</v>
      </c>
      <c r="T39">
        <v>0</v>
      </c>
    </row>
    <row r="40" spans="1:20" x14ac:dyDescent="0.25">
      <c r="A40" t="s">
        <v>5021</v>
      </c>
      <c r="B40">
        <v>3</v>
      </c>
      <c r="C40" t="s">
        <v>19</v>
      </c>
      <c r="D40">
        <f t="shared" si="9"/>
        <v>14</v>
      </c>
      <c r="E40">
        <f>G39+4</f>
        <v>141</v>
      </c>
      <c r="F40">
        <f t="shared" si="7"/>
        <v>196</v>
      </c>
      <c r="G40">
        <f t="shared" si="8"/>
        <v>146</v>
      </c>
      <c r="H40" t="s">
        <v>102</v>
      </c>
      <c r="I40">
        <v>12</v>
      </c>
      <c r="J40">
        <v>0</v>
      </c>
      <c r="K40">
        <v>0</v>
      </c>
      <c r="L40">
        <v>0</v>
      </c>
      <c r="N40" t="s">
        <v>21</v>
      </c>
      <c r="O40" t="s">
        <v>25</v>
      </c>
      <c r="Q40">
        <v>3</v>
      </c>
      <c r="R40" t="b">
        <v>1</v>
      </c>
      <c r="S40" t="s">
        <v>119</v>
      </c>
      <c r="T40">
        <v>0</v>
      </c>
    </row>
    <row r="41" spans="1:20" x14ac:dyDescent="0.25">
      <c r="A41" t="s">
        <v>969</v>
      </c>
      <c r="B41">
        <v>3</v>
      </c>
      <c r="C41" t="s">
        <v>19</v>
      </c>
      <c r="D41">
        <f t="shared" si="9"/>
        <v>14</v>
      </c>
      <c r="E41">
        <f>G40+12</f>
        <v>158</v>
      </c>
      <c r="F41">
        <f t="shared" si="7"/>
        <v>196</v>
      </c>
      <c r="G41">
        <f t="shared" si="8"/>
        <v>163</v>
      </c>
      <c r="H41" t="s">
        <v>102</v>
      </c>
      <c r="I41">
        <v>12</v>
      </c>
      <c r="J41">
        <v>1</v>
      </c>
      <c r="K41">
        <v>0</v>
      </c>
      <c r="L41">
        <v>0</v>
      </c>
      <c r="N41" t="s">
        <v>21</v>
      </c>
      <c r="O41" t="s">
        <v>25</v>
      </c>
      <c r="Q41">
        <v>3</v>
      </c>
      <c r="R41" t="b">
        <v>1</v>
      </c>
      <c r="S41" t="s">
        <v>119</v>
      </c>
      <c r="T41">
        <v>0</v>
      </c>
    </row>
    <row r="42" spans="1:20" x14ac:dyDescent="0.25">
      <c r="A42" t="s">
        <v>1017</v>
      </c>
      <c r="B42">
        <v>3</v>
      </c>
      <c r="C42" t="s">
        <v>19</v>
      </c>
      <c r="D42">
        <f t="shared" si="9"/>
        <v>14</v>
      </c>
      <c r="E42">
        <f>G41+4</f>
        <v>167</v>
      </c>
      <c r="F42">
        <f t="shared" si="7"/>
        <v>196</v>
      </c>
      <c r="G42">
        <f t="shared" si="8"/>
        <v>172</v>
      </c>
      <c r="H42" t="s">
        <v>102</v>
      </c>
      <c r="I42">
        <v>12</v>
      </c>
      <c r="J42">
        <v>0</v>
      </c>
      <c r="K42">
        <v>0</v>
      </c>
      <c r="L42">
        <v>0</v>
      </c>
      <c r="N42" t="s">
        <v>21</v>
      </c>
      <c r="O42" t="s">
        <v>25</v>
      </c>
      <c r="Q42">
        <v>3</v>
      </c>
      <c r="R42" t="b">
        <v>1</v>
      </c>
      <c r="S42" t="s">
        <v>119</v>
      </c>
      <c r="T42">
        <v>0</v>
      </c>
    </row>
    <row r="43" spans="1:20" x14ac:dyDescent="0.25">
      <c r="A43" t="s">
        <v>970</v>
      </c>
      <c r="B43">
        <v>3</v>
      </c>
      <c r="C43" t="s">
        <v>19</v>
      </c>
      <c r="D43">
        <f t="shared" si="9"/>
        <v>14</v>
      </c>
      <c r="E43">
        <f>G42+28</f>
        <v>200</v>
      </c>
      <c r="F43">
        <f t="shared" si="7"/>
        <v>196</v>
      </c>
      <c r="G43">
        <f t="shared" si="8"/>
        <v>205</v>
      </c>
      <c r="H43" t="s">
        <v>102</v>
      </c>
      <c r="I43">
        <v>12</v>
      </c>
      <c r="J43">
        <v>1</v>
      </c>
      <c r="K43">
        <v>0</v>
      </c>
      <c r="L43">
        <v>0</v>
      </c>
      <c r="N43" t="s">
        <v>21</v>
      </c>
      <c r="O43" t="s">
        <v>25</v>
      </c>
      <c r="Q43">
        <v>3</v>
      </c>
      <c r="R43" t="b">
        <v>1</v>
      </c>
      <c r="S43" t="s">
        <v>119</v>
      </c>
      <c r="T43">
        <v>0</v>
      </c>
    </row>
    <row r="44" spans="1:20" x14ac:dyDescent="0.25">
      <c r="A44" t="s">
        <v>1018</v>
      </c>
      <c r="B44">
        <v>3</v>
      </c>
      <c r="C44" t="s">
        <v>19</v>
      </c>
      <c r="D44">
        <f t="shared" si="9"/>
        <v>14</v>
      </c>
      <c r="E44">
        <f>G43+4</f>
        <v>209</v>
      </c>
      <c r="F44">
        <f t="shared" si="7"/>
        <v>196</v>
      </c>
      <c r="G44">
        <f t="shared" si="8"/>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f t="shared" si="8"/>
        <v>25</v>
      </c>
      <c r="H45" t="s">
        <v>102</v>
      </c>
      <c r="I45">
        <v>14</v>
      </c>
      <c r="J45">
        <v>1</v>
      </c>
      <c r="K45">
        <v>0</v>
      </c>
      <c r="L45">
        <v>0</v>
      </c>
      <c r="N45" t="s">
        <v>21</v>
      </c>
      <c r="O45" t="s">
        <v>25</v>
      </c>
      <c r="Q45">
        <v>3</v>
      </c>
      <c r="R45" t="b">
        <v>1</v>
      </c>
      <c r="S45" t="s">
        <v>119</v>
      </c>
      <c r="T45">
        <v>0</v>
      </c>
    </row>
    <row r="46" spans="1:20" x14ac:dyDescent="0.25">
      <c r="A46" t="s">
        <v>910</v>
      </c>
      <c r="B46">
        <v>4</v>
      </c>
      <c r="C46" t="s">
        <v>19</v>
      </c>
      <c r="D46">
        <f>$D$56</f>
        <v>14</v>
      </c>
      <c r="E46">
        <f>G45+8</f>
        <v>33</v>
      </c>
      <c r="F46">
        <f>$F$56</f>
        <v>196</v>
      </c>
      <c r="G46">
        <f t="shared" si="8"/>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f>D47+181</f>
        <v>196</v>
      </c>
      <c r="G47">
        <f>E47+INT(144*(F47-D47)/192)</f>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f>E48+2</f>
        <v>202</v>
      </c>
      <c r="F49">
        <v>196</v>
      </c>
      <c r="G49">
        <f>E49+5</f>
        <v>207</v>
      </c>
      <c r="H49" t="s">
        <v>102</v>
      </c>
      <c r="I49">
        <v>10</v>
      </c>
      <c r="J49">
        <v>1</v>
      </c>
      <c r="K49">
        <v>0</v>
      </c>
      <c r="L49">
        <v>0</v>
      </c>
      <c r="N49" t="s">
        <v>21</v>
      </c>
      <c r="O49" t="s">
        <v>25</v>
      </c>
      <c r="Q49">
        <v>2</v>
      </c>
      <c r="R49" t="b">
        <v>1</v>
      </c>
      <c r="T49">
        <v>0</v>
      </c>
    </row>
    <row r="50" spans="1:20" x14ac:dyDescent="0.25">
      <c r="A50" t="s">
        <v>995</v>
      </c>
      <c r="B50">
        <v>4</v>
      </c>
      <c r="C50" t="s">
        <v>24</v>
      </c>
      <c r="D50">
        <v>14</v>
      </c>
      <c r="E50">
        <f>E48+10</f>
        <v>210</v>
      </c>
      <c r="F50">
        <f t="shared" ref="F50:G52" si="10">D50+10</f>
        <v>24</v>
      </c>
      <c r="G50">
        <f t="shared" si="10"/>
        <v>220</v>
      </c>
      <c r="I50">
        <v>0</v>
      </c>
      <c r="J50">
        <v>0</v>
      </c>
      <c r="K50">
        <v>0</v>
      </c>
      <c r="L50">
        <v>0</v>
      </c>
      <c r="N50" t="s">
        <v>21</v>
      </c>
      <c r="O50" t="s">
        <v>25</v>
      </c>
      <c r="P50" t="str">
        <f>"configuration/assets/"&amp;A50</f>
        <v>configuration/assets/study region legend patch a</v>
      </c>
      <c r="Q50">
        <v>2</v>
      </c>
      <c r="R50" t="b">
        <v>0</v>
      </c>
      <c r="S50" t="s">
        <v>119</v>
      </c>
      <c r="T50">
        <v>0</v>
      </c>
    </row>
    <row r="51" spans="1:20" x14ac:dyDescent="0.25">
      <c r="A51" t="s">
        <v>996</v>
      </c>
      <c r="B51">
        <v>4</v>
      </c>
      <c r="C51" t="s">
        <v>24</v>
      </c>
      <c r="D51">
        <f>INT(D50+(196-14)/3)+1</f>
        <v>75</v>
      </c>
      <c r="E51">
        <f>E50</f>
        <v>210</v>
      </c>
      <c r="F51">
        <f t="shared" si="10"/>
        <v>85</v>
      </c>
      <c r="G51">
        <f t="shared" si="10"/>
        <v>220</v>
      </c>
      <c r="I51">
        <v>0</v>
      </c>
      <c r="J51">
        <v>0</v>
      </c>
      <c r="K51">
        <v>0</v>
      </c>
      <c r="L51">
        <v>0</v>
      </c>
      <c r="N51" t="s">
        <v>21</v>
      </c>
      <c r="O51" t="s">
        <v>25</v>
      </c>
      <c r="P51" t="str">
        <f t="shared" ref="P51" si="11">"configuration/assets/"&amp;A51</f>
        <v>configuration/assets/study region legend patch b</v>
      </c>
      <c r="Q51">
        <v>2</v>
      </c>
      <c r="R51" t="b">
        <v>0</v>
      </c>
      <c r="S51" t="s">
        <v>119</v>
      </c>
      <c r="T51">
        <v>0</v>
      </c>
    </row>
    <row r="52" spans="1:20" x14ac:dyDescent="0.25">
      <c r="A52" t="s">
        <v>997</v>
      </c>
      <c r="B52">
        <v>4</v>
      </c>
      <c r="C52" t="s">
        <v>24</v>
      </c>
      <c r="D52">
        <f>D51+D51-D50</f>
        <v>136</v>
      </c>
      <c r="E52">
        <f>E50</f>
        <v>210</v>
      </c>
      <c r="F52">
        <f>D52+10</f>
        <v>146</v>
      </c>
      <c r="G52">
        <f t="shared" si="10"/>
        <v>220</v>
      </c>
      <c r="I52">
        <v>0</v>
      </c>
      <c r="J52">
        <v>0</v>
      </c>
      <c r="K52">
        <v>0</v>
      </c>
      <c r="L52">
        <v>0</v>
      </c>
      <c r="N52" t="s">
        <v>21</v>
      </c>
      <c r="O52" t="s">
        <v>25</v>
      </c>
      <c r="P52" t="str">
        <f>"configuration/assets/"&amp;A52</f>
        <v>configuration/assets/study region legend patch c</v>
      </c>
      <c r="Q52">
        <v>2</v>
      </c>
      <c r="R52" t="b">
        <v>0</v>
      </c>
      <c r="S52" t="s">
        <v>119</v>
      </c>
      <c r="T52">
        <v>0</v>
      </c>
    </row>
    <row r="53" spans="1:20" x14ac:dyDescent="0.25">
      <c r="A53" t="s">
        <v>991</v>
      </c>
      <c r="B53">
        <v>4</v>
      </c>
      <c r="C53" t="s">
        <v>19</v>
      </c>
      <c r="D53">
        <f>D50</f>
        <v>14</v>
      </c>
      <c r="E53">
        <f>E50+12</f>
        <v>222</v>
      </c>
      <c r="F53">
        <f>D51-5</f>
        <v>70</v>
      </c>
      <c r="G53">
        <f>E53+5</f>
        <v>227</v>
      </c>
      <c r="H53" t="s">
        <v>102</v>
      </c>
      <c r="I53">
        <v>10</v>
      </c>
      <c r="J53">
        <v>0</v>
      </c>
      <c r="K53">
        <v>0</v>
      </c>
      <c r="L53">
        <v>0</v>
      </c>
      <c r="N53" t="s">
        <v>21</v>
      </c>
      <c r="O53" t="s">
        <v>25</v>
      </c>
      <c r="Q53">
        <v>2</v>
      </c>
      <c r="R53" t="b">
        <v>1</v>
      </c>
      <c r="T53">
        <v>0</v>
      </c>
    </row>
    <row r="54" spans="1:20" x14ac:dyDescent="0.25">
      <c r="A54" t="s">
        <v>992</v>
      </c>
      <c r="B54">
        <v>4</v>
      </c>
      <c r="C54" t="s">
        <v>19</v>
      </c>
      <c r="D54">
        <f>D51</f>
        <v>75</v>
      </c>
      <c r="E54">
        <f>$E$53</f>
        <v>222</v>
      </c>
      <c r="F54">
        <f>D52-5</f>
        <v>131</v>
      </c>
      <c r="G54">
        <f>E54+5</f>
        <v>227</v>
      </c>
      <c r="H54" t="s">
        <v>102</v>
      </c>
      <c r="I54">
        <v>10</v>
      </c>
      <c r="J54">
        <v>0</v>
      </c>
      <c r="K54">
        <v>0</v>
      </c>
      <c r="L54">
        <v>0</v>
      </c>
      <c r="N54" t="s">
        <v>21</v>
      </c>
      <c r="O54" t="s">
        <v>25</v>
      </c>
      <c r="Q54">
        <v>2</v>
      </c>
      <c r="R54" t="b">
        <v>1</v>
      </c>
      <c r="T54">
        <v>0</v>
      </c>
    </row>
    <row r="55" spans="1:20" x14ac:dyDescent="0.25">
      <c r="A55" t="s">
        <v>993</v>
      </c>
      <c r="B55">
        <v>4</v>
      </c>
      <c r="C55" t="s">
        <v>19</v>
      </c>
      <c r="D55">
        <f>D52</f>
        <v>136</v>
      </c>
      <c r="E55">
        <f>$E$53</f>
        <v>222</v>
      </c>
      <c r="F55">
        <v>196</v>
      </c>
      <c r="G55">
        <f>E55+5</f>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f>E56+5</f>
        <v>25</v>
      </c>
      <c r="H56" t="s">
        <v>102</v>
      </c>
      <c r="I56">
        <v>14</v>
      </c>
      <c r="J56">
        <v>1</v>
      </c>
      <c r="K56">
        <v>0</v>
      </c>
      <c r="L56">
        <v>0</v>
      </c>
      <c r="N56" t="s">
        <v>21</v>
      </c>
      <c r="O56" t="s">
        <v>25</v>
      </c>
      <c r="Q56">
        <v>3</v>
      </c>
      <c r="R56" t="b">
        <v>1</v>
      </c>
      <c r="S56" t="s">
        <v>119</v>
      </c>
      <c r="T56">
        <v>0</v>
      </c>
    </row>
    <row r="57" spans="1:20" x14ac:dyDescent="0.25">
      <c r="A57" t="s">
        <v>801</v>
      </c>
      <c r="B57">
        <v>5</v>
      </c>
      <c r="C57" t="s">
        <v>19</v>
      </c>
      <c r="D57">
        <f>$D$56</f>
        <v>14</v>
      </c>
      <c r="E57">
        <f>G56+8</f>
        <v>33</v>
      </c>
      <c r="F57">
        <f>$F$56</f>
        <v>196</v>
      </c>
      <c r="G57">
        <f>E57+5</f>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f>G61+12</f>
        <v>152</v>
      </c>
      <c r="I58">
        <v>0</v>
      </c>
      <c r="J58">
        <v>1</v>
      </c>
      <c r="K58">
        <v>0</v>
      </c>
      <c r="L58">
        <v>0</v>
      </c>
      <c r="M58" t="s">
        <v>665</v>
      </c>
      <c r="N58" t="s">
        <v>665</v>
      </c>
      <c r="O58" t="s">
        <v>25</v>
      </c>
      <c r="Q58">
        <v>1</v>
      </c>
      <c r="R58" t="b">
        <v>0</v>
      </c>
      <c r="S58" t="s">
        <v>119</v>
      </c>
      <c r="T58">
        <v>0</v>
      </c>
    </row>
    <row r="59" spans="1:20" x14ac:dyDescent="0.25">
      <c r="A59" t="s">
        <v>35</v>
      </c>
      <c r="B59">
        <v>5</v>
      </c>
      <c r="C59" t="s">
        <v>19</v>
      </c>
      <c r="D59">
        <f>D58+10</f>
        <v>40</v>
      </c>
      <c r="E59">
        <f>E58+8</f>
        <v>93</v>
      </c>
      <c r="F59">
        <f>F58-10</f>
        <v>160</v>
      </c>
      <c r="G59">
        <f>E59+5</f>
        <v>98</v>
      </c>
      <c r="H59" t="s">
        <v>102</v>
      </c>
      <c r="I59">
        <v>16</v>
      </c>
      <c r="J59">
        <v>1</v>
      </c>
      <c r="K59">
        <v>0</v>
      </c>
      <c r="L59">
        <v>0</v>
      </c>
      <c r="N59" t="s">
        <v>665</v>
      </c>
      <c r="O59" t="s">
        <v>27</v>
      </c>
      <c r="Q59">
        <v>3</v>
      </c>
      <c r="R59" t="b">
        <v>1</v>
      </c>
      <c r="S59" t="s">
        <v>119</v>
      </c>
      <c r="T59">
        <v>0</v>
      </c>
    </row>
    <row r="60" spans="1:20" x14ac:dyDescent="0.25">
      <c r="A60" t="s">
        <v>104</v>
      </c>
      <c r="B60">
        <v>5</v>
      </c>
      <c r="C60" t="s">
        <v>19</v>
      </c>
      <c r="D60">
        <f>D61</f>
        <v>40</v>
      </c>
      <c r="E60">
        <f>G59+8</f>
        <v>106</v>
      </c>
      <c r="F60">
        <f>F61</f>
        <v>160</v>
      </c>
      <c r="G60">
        <f>E60+8</f>
        <v>114</v>
      </c>
      <c r="H60" t="s">
        <v>102</v>
      </c>
      <c r="I60">
        <v>16</v>
      </c>
      <c r="J60">
        <v>0</v>
      </c>
      <c r="K60">
        <v>1</v>
      </c>
      <c r="L60">
        <v>0</v>
      </c>
      <c r="N60" t="s">
        <v>665</v>
      </c>
      <c r="O60" t="s">
        <v>27</v>
      </c>
      <c r="Q60">
        <v>2</v>
      </c>
      <c r="R60" t="b">
        <v>1</v>
      </c>
      <c r="S60" t="s">
        <v>119</v>
      </c>
      <c r="T60">
        <v>0</v>
      </c>
    </row>
    <row r="61" spans="1:20" x14ac:dyDescent="0.25">
      <c r="A61" t="s">
        <v>56</v>
      </c>
      <c r="B61">
        <v>5</v>
      </c>
      <c r="C61" t="s">
        <v>19</v>
      </c>
      <c r="D61">
        <f>D59</f>
        <v>40</v>
      </c>
      <c r="E61">
        <f>G60+20</f>
        <v>134</v>
      </c>
      <c r="F61">
        <f>F59</f>
        <v>160</v>
      </c>
      <c r="G61">
        <f>E61+6</f>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f>G58+30</f>
        <v>182</v>
      </c>
      <c r="F62">
        <v>170</v>
      </c>
      <c r="G62">
        <f>G65+12</f>
        <v>249</v>
      </c>
      <c r="I62">
        <v>0</v>
      </c>
      <c r="J62">
        <v>1</v>
      </c>
      <c r="K62">
        <v>0</v>
      </c>
      <c r="L62">
        <v>0</v>
      </c>
      <c r="M62" t="s">
        <v>967</v>
      </c>
      <c r="N62" t="s">
        <v>967</v>
      </c>
      <c r="O62" t="s">
        <v>25</v>
      </c>
      <c r="Q62">
        <v>1</v>
      </c>
      <c r="R62" t="b">
        <v>0</v>
      </c>
      <c r="S62" t="s">
        <v>119</v>
      </c>
      <c r="T62">
        <v>0</v>
      </c>
    </row>
    <row r="63" spans="1:20" x14ac:dyDescent="0.25">
      <c r="A63" t="s">
        <v>36</v>
      </c>
      <c r="B63">
        <v>5</v>
      </c>
      <c r="C63" t="s">
        <v>19</v>
      </c>
      <c r="D63">
        <f>D62+10</f>
        <v>40</v>
      </c>
      <c r="E63">
        <f>E62+8</f>
        <v>190</v>
      </c>
      <c r="F63">
        <f>F62-10</f>
        <v>160</v>
      </c>
      <c r="G63">
        <f>E63+5</f>
        <v>195</v>
      </c>
      <c r="H63" t="s">
        <v>102</v>
      </c>
      <c r="I63">
        <v>16</v>
      </c>
      <c r="J63">
        <v>1</v>
      </c>
      <c r="K63">
        <v>0</v>
      </c>
      <c r="L63">
        <v>0</v>
      </c>
      <c r="N63" t="s">
        <v>967</v>
      </c>
      <c r="O63" t="s">
        <v>27</v>
      </c>
      <c r="Q63">
        <v>3</v>
      </c>
      <c r="R63" t="b">
        <v>1</v>
      </c>
      <c r="S63" t="s">
        <v>119</v>
      </c>
      <c r="T63">
        <v>0</v>
      </c>
    </row>
    <row r="64" spans="1:20" x14ac:dyDescent="0.25">
      <c r="A64" t="s">
        <v>105</v>
      </c>
      <c r="B64">
        <v>5</v>
      </c>
      <c r="C64" t="s">
        <v>19</v>
      </c>
      <c r="D64">
        <f>D65</f>
        <v>40</v>
      </c>
      <c r="E64">
        <f>G63+8</f>
        <v>203</v>
      </c>
      <c r="F64">
        <f>F65</f>
        <v>160</v>
      </c>
      <c r="G64">
        <f>E64+8</f>
        <v>211</v>
      </c>
      <c r="H64" t="s">
        <v>102</v>
      </c>
      <c r="I64">
        <v>16</v>
      </c>
      <c r="J64">
        <v>0</v>
      </c>
      <c r="K64">
        <v>1</v>
      </c>
      <c r="L64">
        <v>0</v>
      </c>
      <c r="N64" t="s">
        <v>967</v>
      </c>
      <c r="O64" t="s">
        <v>27</v>
      </c>
      <c r="Q64">
        <v>2</v>
      </c>
      <c r="R64" t="b">
        <v>1</v>
      </c>
      <c r="S64" t="s">
        <v>119</v>
      </c>
      <c r="T64">
        <v>0</v>
      </c>
    </row>
    <row r="65" spans="1:20" x14ac:dyDescent="0.25">
      <c r="A65" t="s">
        <v>57</v>
      </c>
      <c r="B65">
        <v>5</v>
      </c>
      <c r="C65" t="s">
        <v>19</v>
      </c>
      <c r="D65">
        <f>D63</f>
        <v>40</v>
      </c>
      <c r="E65">
        <f>G64+20</f>
        <v>231</v>
      </c>
      <c r="F65">
        <f>F63</f>
        <v>160</v>
      </c>
      <c r="G65">
        <f>E65+6</f>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f>G73+8</f>
        <v>244</v>
      </c>
      <c r="I66">
        <v>0</v>
      </c>
      <c r="J66">
        <v>0</v>
      </c>
      <c r="K66">
        <v>0</v>
      </c>
      <c r="L66">
        <v>0</v>
      </c>
      <c r="N66" t="s">
        <v>21</v>
      </c>
      <c r="O66" t="s">
        <v>25</v>
      </c>
      <c r="Q66">
        <v>1</v>
      </c>
      <c r="R66" t="b">
        <v>0</v>
      </c>
      <c r="S66" t="s">
        <v>119</v>
      </c>
      <c r="T66">
        <v>0</v>
      </c>
    </row>
    <row r="67" spans="1:20" x14ac:dyDescent="0.25">
      <c r="A67" t="s">
        <v>805</v>
      </c>
      <c r="B67">
        <v>6</v>
      </c>
      <c r="C67" t="s">
        <v>19</v>
      </c>
      <c r="D67">
        <f>D66+6</f>
        <v>20</v>
      </c>
      <c r="E67">
        <f>E66+6</f>
        <v>51</v>
      </c>
      <c r="F67">
        <f>F66-2</f>
        <v>194</v>
      </c>
      <c r="G67">
        <f>E67+5</f>
        <v>56</v>
      </c>
      <c r="H67" t="s">
        <v>102</v>
      </c>
      <c r="I67">
        <v>12</v>
      </c>
      <c r="J67">
        <v>1</v>
      </c>
      <c r="K67">
        <v>0</v>
      </c>
      <c r="L67">
        <v>0</v>
      </c>
      <c r="N67" t="s">
        <v>21</v>
      </c>
      <c r="O67" t="s">
        <v>25</v>
      </c>
      <c r="Q67">
        <v>2</v>
      </c>
      <c r="R67" t="b">
        <v>1</v>
      </c>
      <c r="S67" t="s">
        <v>119</v>
      </c>
      <c r="T67">
        <v>0</v>
      </c>
    </row>
    <row r="68" spans="1:20" x14ac:dyDescent="0.25">
      <c r="A68" t="s">
        <v>804</v>
      </c>
      <c r="B68">
        <v>6</v>
      </c>
      <c r="C68" t="s">
        <v>19</v>
      </c>
      <c r="D68">
        <f>D67</f>
        <v>20</v>
      </c>
      <c r="E68">
        <f>G67+8</f>
        <v>64</v>
      </c>
      <c r="F68">
        <f>F67</f>
        <v>194</v>
      </c>
      <c r="G68">
        <f>E68+5</f>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f>E66+85</f>
        <v>130</v>
      </c>
      <c r="F69">
        <v>196</v>
      </c>
      <c r="G69">
        <f>INT(E69+(F69-D69)/832*435)</f>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f>G69-2</f>
        <v>223</v>
      </c>
      <c r="F70">
        <f>INT(D70+(F71-D70)/2-1)</f>
        <v>102</v>
      </c>
      <c r="G70">
        <f>E70+3</f>
        <v>226</v>
      </c>
      <c r="H70" t="s">
        <v>102</v>
      </c>
      <c r="I70">
        <v>8</v>
      </c>
      <c r="J70">
        <v>0</v>
      </c>
      <c r="K70">
        <v>0</v>
      </c>
      <c r="L70">
        <v>0</v>
      </c>
      <c r="M70" t="s">
        <v>884</v>
      </c>
      <c r="O70" t="s">
        <v>25</v>
      </c>
      <c r="Q70">
        <v>3</v>
      </c>
      <c r="R70" t="b">
        <v>1</v>
      </c>
      <c r="T70">
        <v>0</v>
      </c>
    </row>
    <row r="71" spans="1:20" x14ac:dyDescent="0.25">
      <c r="A71" t="s">
        <v>83</v>
      </c>
      <c r="B71">
        <v>6</v>
      </c>
      <c r="C71" t="s">
        <v>19</v>
      </c>
      <c r="D71">
        <f>INT(F72-(F71-D70)/2-1)</f>
        <v>114</v>
      </c>
      <c r="E71">
        <f>E70</f>
        <v>223</v>
      </c>
      <c r="F71">
        <v>129</v>
      </c>
      <c r="G71">
        <f>E71+3</f>
        <v>226</v>
      </c>
      <c r="H71" t="s">
        <v>102</v>
      </c>
      <c r="I71">
        <v>8</v>
      </c>
      <c r="J71">
        <v>0</v>
      </c>
      <c r="K71">
        <v>0</v>
      </c>
      <c r="L71">
        <v>0</v>
      </c>
      <c r="M71" t="s">
        <v>884</v>
      </c>
      <c r="O71" t="s">
        <v>22</v>
      </c>
      <c r="Q71">
        <v>3</v>
      </c>
      <c r="R71" t="b">
        <v>1</v>
      </c>
      <c r="T71">
        <v>0</v>
      </c>
    </row>
    <row r="72" spans="1:20" x14ac:dyDescent="0.25">
      <c r="A72" t="s">
        <v>614</v>
      </c>
      <c r="B72">
        <v>6</v>
      </c>
      <c r="C72" t="s">
        <v>19</v>
      </c>
      <c r="D72">
        <f>D70-12</f>
        <v>66</v>
      </c>
      <c r="E72">
        <f>G69+3</f>
        <v>228</v>
      </c>
      <c r="F72">
        <f>F71+12</f>
        <v>141</v>
      </c>
      <c r="G72">
        <f>E72+3</f>
        <v>231</v>
      </c>
      <c r="H72" t="s">
        <v>102</v>
      </c>
      <c r="I72">
        <v>8</v>
      </c>
      <c r="J72">
        <v>0</v>
      </c>
      <c r="K72">
        <v>1</v>
      </c>
      <c r="L72">
        <v>0</v>
      </c>
      <c r="M72" t="s">
        <v>884</v>
      </c>
      <c r="O72" t="s">
        <v>27</v>
      </c>
      <c r="Q72">
        <v>3</v>
      </c>
      <c r="R72" t="b">
        <v>1</v>
      </c>
      <c r="T72">
        <v>0</v>
      </c>
    </row>
    <row r="73" spans="1:20" x14ac:dyDescent="0.25">
      <c r="A73" t="s">
        <v>1026</v>
      </c>
      <c r="B73">
        <v>6</v>
      </c>
      <c r="C73" t="s">
        <v>26</v>
      </c>
      <c r="D73">
        <f>D72-2</f>
        <v>64</v>
      </c>
      <c r="E73">
        <f>E70-9</f>
        <v>214</v>
      </c>
      <c r="F73">
        <f>F72+2</f>
        <v>143</v>
      </c>
      <c r="G73">
        <f>G72+5</f>
        <v>236</v>
      </c>
      <c r="I73">
        <v>0</v>
      </c>
      <c r="J73">
        <v>0</v>
      </c>
      <c r="K73">
        <v>0</v>
      </c>
      <c r="L73">
        <v>0</v>
      </c>
      <c r="O73" t="s">
        <v>25</v>
      </c>
      <c r="Q73">
        <v>1</v>
      </c>
      <c r="R73" t="b">
        <v>0</v>
      </c>
      <c r="S73" t="s">
        <v>119</v>
      </c>
      <c r="T73">
        <v>0</v>
      </c>
    </row>
    <row r="74" spans="1:20" x14ac:dyDescent="0.25">
      <c r="A74" t="s">
        <v>777</v>
      </c>
      <c r="B74">
        <v>7</v>
      </c>
      <c r="C74" t="s">
        <v>19</v>
      </c>
      <c r="D74">
        <v>14</v>
      </c>
      <c r="E74">
        <v>20</v>
      </c>
      <c r="F74">
        <f t="shared" ref="F74" si="12">$F$56</f>
        <v>196</v>
      </c>
      <c r="G74">
        <f>E74+5</f>
        <v>25</v>
      </c>
      <c r="H74" t="s">
        <v>102</v>
      </c>
      <c r="I74">
        <v>14</v>
      </c>
      <c r="J74">
        <v>1</v>
      </c>
      <c r="K74">
        <v>0</v>
      </c>
      <c r="L74">
        <v>0</v>
      </c>
      <c r="N74" t="s">
        <v>21</v>
      </c>
      <c r="O74" t="s">
        <v>25</v>
      </c>
      <c r="Q74">
        <v>3</v>
      </c>
      <c r="R74" t="b">
        <v>1</v>
      </c>
      <c r="S74" t="s">
        <v>119</v>
      </c>
      <c r="T74">
        <v>0</v>
      </c>
    </row>
    <row r="75" spans="1:20" x14ac:dyDescent="0.25">
      <c r="A75" t="s">
        <v>917</v>
      </c>
      <c r="B75">
        <v>7</v>
      </c>
      <c r="C75" t="s">
        <v>19</v>
      </c>
      <c r="D75">
        <f>$D$56</f>
        <v>14</v>
      </c>
      <c r="E75">
        <f>G74+8</f>
        <v>33</v>
      </c>
      <c r="F75">
        <f>$F$56</f>
        <v>196</v>
      </c>
      <c r="G75">
        <f>E75+5</f>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f>G105+16</f>
        <v>198</v>
      </c>
      <c r="I76">
        <v>0</v>
      </c>
      <c r="J76">
        <v>1</v>
      </c>
      <c r="K76">
        <v>0</v>
      </c>
      <c r="L76">
        <v>0</v>
      </c>
      <c r="M76" t="str">
        <f>$N$76</f>
        <v>d0d8dd</v>
      </c>
      <c r="N76" t="s">
        <v>918</v>
      </c>
      <c r="O76" t="s">
        <v>25</v>
      </c>
      <c r="Q76">
        <v>1</v>
      </c>
      <c r="R76" t="b">
        <v>0</v>
      </c>
      <c r="S76" t="s">
        <v>119</v>
      </c>
      <c r="T76">
        <v>0</v>
      </c>
    </row>
    <row r="77" spans="1:20" x14ac:dyDescent="0.25">
      <c r="A77" t="s">
        <v>770</v>
      </c>
      <c r="B77">
        <v>7</v>
      </c>
      <c r="C77" t="s">
        <v>19</v>
      </c>
      <c r="D77">
        <v>14</v>
      </c>
      <c r="E77">
        <f>E76+5</f>
        <v>90</v>
      </c>
      <c r="F77">
        <v>196</v>
      </c>
      <c r="G77">
        <f>E77+3</f>
        <v>93</v>
      </c>
      <c r="H77" t="s">
        <v>102</v>
      </c>
      <c r="I77">
        <v>12</v>
      </c>
      <c r="J77">
        <v>1</v>
      </c>
      <c r="K77">
        <v>0</v>
      </c>
      <c r="L77">
        <v>0</v>
      </c>
      <c r="N77" t="str">
        <f t="shared" ref="N77:N84" si="13">$N$76</f>
        <v>d0d8dd</v>
      </c>
      <c r="O77" t="s">
        <v>25</v>
      </c>
      <c r="Q77">
        <v>3</v>
      </c>
      <c r="R77" t="b">
        <v>0</v>
      </c>
      <c r="S77" t="s">
        <v>119</v>
      </c>
      <c r="T77">
        <v>0</v>
      </c>
    </row>
    <row r="78" spans="1:20" x14ac:dyDescent="0.25">
      <c r="A78" t="s">
        <v>774</v>
      </c>
      <c r="B78">
        <v>7</v>
      </c>
      <c r="C78" t="s">
        <v>19</v>
      </c>
      <c r="D78">
        <f t="shared" ref="D78" si="14">D81-1</f>
        <v>113</v>
      </c>
      <c r="E78">
        <f>E76+2</f>
        <v>87</v>
      </c>
      <c r="F78">
        <f>D82-1</f>
        <v>140</v>
      </c>
      <c r="G78">
        <f>E78+5</f>
        <v>92</v>
      </c>
      <c r="H78" t="s">
        <v>102</v>
      </c>
      <c r="I78">
        <v>10</v>
      </c>
      <c r="J78">
        <v>1</v>
      </c>
      <c r="K78">
        <v>0</v>
      </c>
      <c r="L78">
        <v>0</v>
      </c>
      <c r="N78" t="str">
        <f t="shared" si="13"/>
        <v>d0d8dd</v>
      </c>
      <c r="O78" t="s">
        <v>27</v>
      </c>
      <c r="Q78">
        <v>3</v>
      </c>
      <c r="R78" t="b">
        <v>1</v>
      </c>
      <c r="S78" t="s">
        <v>119</v>
      </c>
      <c r="T78">
        <v>0</v>
      </c>
    </row>
    <row r="79" spans="1:20" x14ac:dyDescent="0.25">
      <c r="A79" t="s">
        <v>775</v>
      </c>
      <c r="B79">
        <v>7</v>
      </c>
      <c r="C79" t="s">
        <v>19</v>
      </c>
      <c r="D79">
        <f>D82-1</f>
        <v>140</v>
      </c>
      <c r="E79">
        <f t="shared" ref="E79:E83" si="15">E78</f>
        <v>87</v>
      </c>
      <c r="F79">
        <f>D83+1</f>
        <v>169</v>
      </c>
      <c r="G79">
        <f>G78</f>
        <v>92</v>
      </c>
      <c r="H79" t="s">
        <v>102</v>
      </c>
      <c r="I79">
        <v>10</v>
      </c>
      <c r="J79">
        <v>1</v>
      </c>
      <c r="K79">
        <v>0</v>
      </c>
      <c r="L79">
        <v>0</v>
      </c>
      <c r="N79" t="str">
        <f t="shared" si="13"/>
        <v>d0d8dd</v>
      </c>
      <c r="O79" t="s">
        <v>27</v>
      </c>
      <c r="Q79">
        <v>3</v>
      </c>
      <c r="R79" t="b">
        <v>1</v>
      </c>
      <c r="S79" t="s">
        <v>119</v>
      </c>
      <c r="T79">
        <v>0</v>
      </c>
    </row>
    <row r="80" spans="1:20" x14ac:dyDescent="0.25">
      <c r="A80" t="s">
        <v>776</v>
      </c>
      <c r="B80">
        <v>7</v>
      </c>
      <c r="C80" t="s">
        <v>19</v>
      </c>
      <c r="D80">
        <f>D83</f>
        <v>168</v>
      </c>
      <c r="E80">
        <f t="shared" si="15"/>
        <v>87</v>
      </c>
      <c r="F80">
        <f>D80+26</f>
        <v>194</v>
      </c>
      <c r="G80">
        <f t="shared" ref="G80" si="16">G79</f>
        <v>92</v>
      </c>
      <c r="H80" t="s">
        <v>102</v>
      </c>
      <c r="I80">
        <v>10</v>
      </c>
      <c r="J80">
        <v>1</v>
      </c>
      <c r="K80">
        <v>0</v>
      </c>
      <c r="L80">
        <v>0</v>
      </c>
      <c r="N80" t="str">
        <f t="shared" si="13"/>
        <v>d0d8dd</v>
      </c>
      <c r="O80" t="s">
        <v>27</v>
      </c>
      <c r="Q80">
        <v>3</v>
      </c>
      <c r="R80" t="b">
        <v>1</v>
      </c>
      <c r="S80" t="s">
        <v>119</v>
      </c>
      <c r="T80">
        <v>0</v>
      </c>
    </row>
    <row r="81" spans="1:20" x14ac:dyDescent="0.25">
      <c r="A81" t="s">
        <v>44</v>
      </c>
      <c r="B81">
        <v>7</v>
      </c>
      <c r="C81" t="s">
        <v>25</v>
      </c>
      <c r="D81">
        <v>114</v>
      </c>
      <c r="E81">
        <f>E76</f>
        <v>85</v>
      </c>
      <c r="F81">
        <f>D81</f>
        <v>114</v>
      </c>
      <c r="G81">
        <f>G76</f>
        <v>198</v>
      </c>
      <c r="I81">
        <v>0.5</v>
      </c>
      <c r="J81">
        <v>0</v>
      </c>
      <c r="K81">
        <v>0</v>
      </c>
      <c r="L81">
        <v>0</v>
      </c>
      <c r="M81" t="s">
        <v>21</v>
      </c>
      <c r="N81" t="str">
        <f t="shared" si="13"/>
        <v>d0d8dd</v>
      </c>
      <c r="O81" t="s">
        <v>25</v>
      </c>
      <c r="Q81">
        <v>4</v>
      </c>
      <c r="R81" t="b">
        <v>0</v>
      </c>
      <c r="S81" t="s">
        <v>119</v>
      </c>
      <c r="T81">
        <v>0</v>
      </c>
    </row>
    <row r="82" spans="1:20" x14ac:dyDescent="0.25">
      <c r="A82" t="s">
        <v>45</v>
      </c>
      <c r="B82">
        <v>7</v>
      </c>
      <c r="C82" t="s">
        <v>25</v>
      </c>
      <c r="D82">
        <f>D81+27</f>
        <v>141</v>
      </c>
      <c r="E82">
        <f t="shared" si="15"/>
        <v>85</v>
      </c>
      <c r="F82">
        <f t="shared" ref="F82:F83" si="17">D82</f>
        <v>141</v>
      </c>
      <c r="G82">
        <f>G81</f>
        <v>198</v>
      </c>
      <c r="I82">
        <v>0.5</v>
      </c>
      <c r="J82">
        <v>0</v>
      </c>
      <c r="K82">
        <v>0</v>
      </c>
      <c r="L82">
        <v>0</v>
      </c>
      <c r="M82" t="s">
        <v>21</v>
      </c>
      <c r="N82" t="str">
        <f t="shared" si="13"/>
        <v>d0d8dd</v>
      </c>
      <c r="O82" t="s">
        <v>25</v>
      </c>
      <c r="Q82">
        <v>4</v>
      </c>
      <c r="R82" t="b">
        <v>0</v>
      </c>
      <c r="S82" t="s">
        <v>119</v>
      </c>
      <c r="T82">
        <v>0</v>
      </c>
    </row>
    <row r="83" spans="1:20" x14ac:dyDescent="0.25">
      <c r="A83" t="s">
        <v>46</v>
      </c>
      <c r="B83">
        <v>7</v>
      </c>
      <c r="C83" t="s">
        <v>25</v>
      </c>
      <c r="D83">
        <f>D82+27</f>
        <v>168</v>
      </c>
      <c r="E83">
        <f t="shared" si="15"/>
        <v>85</v>
      </c>
      <c r="F83">
        <f t="shared" si="17"/>
        <v>168</v>
      </c>
      <c r="G83">
        <f>G82</f>
        <v>198</v>
      </c>
      <c r="I83">
        <v>0.5</v>
      </c>
      <c r="J83">
        <v>0</v>
      </c>
      <c r="K83">
        <v>0</v>
      </c>
      <c r="L83">
        <v>0</v>
      </c>
      <c r="M83" t="s">
        <v>21</v>
      </c>
      <c r="N83" t="str">
        <f t="shared" si="13"/>
        <v>d0d8dd</v>
      </c>
      <c r="O83" t="s">
        <v>25</v>
      </c>
      <c r="Q83">
        <v>4</v>
      </c>
      <c r="R83" t="b">
        <v>0</v>
      </c>
      <c r="S83" t="s">
        <v>119</v>
      </c>
      <c r="T83">
        <v>0</v>
      </c>
    </row>
    <row r="84" spans="1:20" x14ac:dyDescent="0.25">
      <c r="A84" t="s">
        <v>55</v>
      </c>
      <c r="B84">
        <v>7</v>
      </c>
      <c r="C84" t="s">
        <v>25</v>
      </c>
      <c r="D84">
        <v>14</v>
      </c>
      <c r="E84">
        <f>E78+25</f>
        <v>112</v>
      </c>
      <c r="F84">
        <v>196</v>
      </c>
      <c r="G84">
        <f>E84</f>
        <v>112</v>
      </c>
      <c r="I84">
        <v>0.5</v>
      </c>
      <c r="J84">
        <v>0</v>
      </c>
      <c r="K84">
        <v>0</v>
      </c>
      <c r="L84">
        <v>0</v>
      </c>
      <c r="M84" t="s">
        <v>21</v>
      </c>
      <c r="N84" t="str">
        <f t="shared" si="13"/>
        <v>d0d8dd</v>
      </c>
      <c r="O84" t="s">
        <v>25</v>
      </c>
      <c r="Q84">
        <v>4</v>
      </c>
      <c r="R84" t="b">
        <v>0</v>
      </c>
      <c r="S84" t="s">
        <v>119</v>
      </c>
      <c r="T84">
        <v>0</v>
      </c>
    </row>
    <row r="85" spans="1:20" x14ac:dyDescent="0.25">
      <c r="A85" t="s">
        <v>920</v>
      </c>
      <c r="B85">
        <v>7</v>
      </c>
      <c r="C85" t="s">
        <v>19</v>
      </c>
      <c r="D85">
        <f>D81</f>
        <v>114</v>
      </c>
      <c r="E85">
        <f>G76+2</f>
        <v>200</v>
      </c>
      <c r="F85">
        <v>196</v>
      </c>
      <c r="G85">
        <f>E85+4</f>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f>E84+2</f>
        <v>114</v>
      </c>
      <c r="F86">
        <f>D81-2</f>
        <v>112</v>
      </c>
      <c r="G86">
        <f>E86+5</f>
        <v>119</v>
      </c>
      <c r="H86" t="s">
        <v>102</v>
      </c>
      <c r="I86">
        <v>12</v>
      </c>
      <c r="J86">
        <v>0</v>
      </c>
      <c r="K86">
        <v>0</v>
      </c>
      <c r="L86">
        <v>0</v>
      </c>
      <c r="N86" t="str">
        <f t="shared" ref="N86:N105" si="18">$N$76</f>
        <v>d0d8dd</v>
      </c>
      <c r="O86" t="s">
        <v>25</v>
      </c>
      <c r="Q86">
        <v>3</v>
      </c>
      <c r="R86" t="b">
        <v>1</v>
      </c>
      <c r="S86" t="s">
        <v>119</v>
      </c>
      <c r="T86">
        <v>0</v>
      </c>
    </row>
    <row r="87" spans="1:20" x14ac:dyDescent="0.25">
      <c r="A87" t="s">
        <v>730</v>
      </c>
      <c r="B87">
        <v>7</v>
      </c>
      <c r="C87" t="s">
        <v>19</v>
      </c>
      <c r="D87">
        <f>D78</f>
        <v>113</v>
      </c>
      <c r="E87">
        <f>E86+1</f>
        <v>115</v>
      </c>
      <c r="F87">
        <f>F78</f>
        <v>140</v>
      </c>
      <c r="G87">
        <f t="shared" ref="G87:G105" si="19">E87+3</f>
        <v>118</v>
      </c>
      <c r="H87" t="s">
        <v>20</v>
      </c>
      <c r="I87">
        <v>16</v>
      </c>
      <c r="J87">
        <v>1</v>
      </c>
      <c r="K87">
        <v>0</v>
      </c>
      <c r="L87">
        <v>0</v>
      </c>
      <c r="N87" t="str">
        <f t="shared" si="18"/>
        <v>d0d8dd</v>
      </c>
      <c r="O87" t="s">
        <v>27</v>
      </c>
      <c r="Q87">
        <v>2</v>
      </c>
      <c r="R87" t="b">
        <v>0</v>
      </c>
      <c r="S87" t="s">
        <v>119</v>
      </c>
      <c r="T87">
        <v>0</v>
      </c>
    </row>
    <row r="88" spans="1:20" x14ac:dyDescent="0.25">
      <c r="A88" t="s">
        <v>731</v>
      </c>
      <c r="B88">
        <v>7</v>
      </c>
      <c r="C88" t="s">
        <v>19</v>
      </c>
      <c r="D88">
        <f>D79</f>
        <v>140</v>
      </c>
      <c r="E88">
        <f>E87</f>
        <v>115</v>
      </c>
      <c r="F88">
        <f>F79</f>
        <v>169</v>
      </c>
      <c r="G88">
        <f t="shared" si="19"/>
        <v>118</v>
      </c>
      <c r="H88" t="s">
        <v>20</v>
      </c>
      <c r="I88">
        <v>16</v>
      </c>
      <c r="J88">
        <v>1</v>
      </c>
      <c r="K88">
        <v>0</v>
      </c>
      <c r="L88">
        <v>0</v>
      </c>
      <c r="N88" t="str">
        <f t="shared" si="18"/>
        <v>d0d8dd</v>
      </c>
      <c r="O88" t="s">
        <v>27</v>
      </c>
      <c r="Q88">
        <v>2</v>
      </c>
      <c r="R88" t="b">
        <v>0</v>
      </c>
      <c r="S88" t="s">
        <v>119</v>
      </c>
      <c r="T88">
        <v>0</v>
      </c>
    </row>
    <row r="89" spans="1:20" x14ac:dyDescent="0.25">
      <c r="A89" t="s">
        <v>732</v>
      </c>
      <c r="B89">
        <v>7</v>
      </c>
      <c r="C89" t="s">
        <v>19</v>
      </c>
      <c r="D89">
        <f>D80</f>
        <v>168</v>
      </c>
      <c r="E89">
        <f>E88</f>
        <v>115</v>
      </c>
      <c r="F89">
        <f>F80</f>
        <v>194</v>
      </c>
      <c r="G89">
        <f t="shared" si="19"/>
        <v>118</v>
      </c>
      <c r="H89" t="s">
        <v>20</v>
      </c>
      <c r="I89">
        <v>16</v>
      </c>
      <c r="J89">
        <v>1</v>
      </c>
      <c r="K89">
        <v>0</v>
      </c>
      <c r="L89">
        <v>0</v>
      </c>
      <c r="N89" t="str">
        <f t="shared" si="18"/>
        <v>d0d8dd</v>
      </c>
      <c r="O89" t="s">
        <v>27</v>
      </c>
      <c r="Q89">
        <v>2</v>
      </c>
      <c r="R89" t="b">
        <v>0</v>
      </c>
      <c r="S89" t="s">
        <v>119</v>
      </c>
      <c r="T89">
        <v>0</v>
      </c>
    </row>
    <row r="90" spans="1:20" x14ac:dyDescent="0.25">
      <c r="A90" t="s">
        <v>733</v>
      </c>
      <c r="B90">
        <v>7</v>
      </c>
      <c r="C90" t="s">
        <v>19</v>
      </c>
      <c r="D90">
        <f t="shared" ref="D90:D105" si="20">D86</f>
        <v>14</v>
      </c>
      <c r="E90">
        <f>E86+16</f>
        <v>130</v>
      </c>
      <c r="F90">
        <f t="shared" ref="F90:F105" si="21">F86</f>
        <v>112</v>
      </c>
      <c r="G90">
        <f>E90+5</f>
        <v>135</v>
      </c>
      <c r="H90" t="s">
        <v>102</v>
      </c>
      <c r="I90">
        <v>12</v>
      </c>
      <c r="J90">
        <v>0</v>
      </c>
      <c r="K90">
        <v>0</v>
      </c>
      <c r="L90">
        <v>0</v>
      </c>
      <c r="N90" t="str">
        <f t="shared" si="18"/>
        <v>d0d8dd</v>
      </c>
      <c r="O90" t="s">
        <v>25</v>
      </c>
      <c r="Q90">
        <v>3</v>
      </c>
      <c r="R90" t="b">
        <v>1</v>
      </c>
      <c r="S90" t="s">
        <v>119</v>
      </c>
      <c r="T90">
        <v>0</v>
      </c>
    </row>
    <row r="91" spans="1:20" x14ac:dyDescent="0.25">
      <c r="A91" t="s">
        <v>734</v>
      </c>
      <c r="B91">
        <v>7</v>
      </c>
      <c r="C91" t="s">
        <v>19</v>
      </c>
      <c r="D91">
        <f t="shared" si="20"/>
        <v>113</v>
      </c>
      <c r="E91">
        <f>E90+1</f>
        <v>131</v>
      </c>
      <c r="F91">
        <f t="shared" si="21"/>
        <v>140</v>
      </c>
      <c r="G91">
        <f>E91+3</f>
        <v>134</v>
      </c>
      <c r="H91" t="s">
        <v>20</v>
      </c>
      <c r="I91">
        <v>16</v>
      </c>
      <c r="J91">
        <v>1</v>
      </c>
      <c r="K91">
        <v>0</v>
      </c>
      <c r="L91">
        <v>0</v>
      </c>
      <c r="N91" t="str">
        <f t="shared" si="18"/>
        <v>d0d8dd</v>
      </c>
      <c r="O91" t="s">
        <v>27</v>
      </c>
      <c r="Q91">
        <v>2</v>
      </c>
      <c r="R91" t="b">
        <v>0</v>
      </c>
      <c r="S91" t="s">
        <v>119</v>
      </c>
      <c r="T91">
        <v>0</v>
      </c>
    </row>
    <row r="92" spans="1:20" x14ac:dyDescent="0.25">
      <c r="A92" t="s">
        <v>735</v>
      </c>
      <c r="B92">
        <v>7</v>
      </c>
      <c r="C92" t="s">
        <v>19</v>
      </c>
      <c r="D92">
        <f t="shared" si="20"/>
        <v>140</v>
      </c>
      <c r="E92">
        <f>E91</f>
        <v>131</v>
      </c>
      <c r="F92">
        <f t="shared" si="21"/>
        <v>169</v>
      </c>
      <c r="G92">
        <f t="shared" si="19"/>
        <v>134</v>
      </c>
      <c r="H92" t="s">
        <v>20</v>
      </c>
      <c r="I92">
        <v>16</v>
      </c>
      <c r="J92">
        <v>1</v>
      </c>
      <c r="K92">
        <v>0</v>
      </c>
      <c r="L92">
        <v>0</v>
      </c>
      <c r="N92" t="str">
        <f t="shared" si="18"/>
        <v>d0d8dd</v>
      </c>
      <c r="O92" t="s">
        <v>27</v>
      </c>
      <c r="Q92">
        <v>2</v>
      </c>
      <c r="R92" t="b">
        <v>0</v>
      </c>
      <c r="S92" t="s">
        <v>119</v>
      </c>
      <c r="T92">
        <v>0</v>
      </c>
    </row>
    <row r="93" spans="1:20" x14ac:dyDescent="0.25">
      <c r="A93" t="s">
        <v>736</v>
      </c>
      <c r="B93">
        <v>7</v>
      </c>
      <c r="C93" t="s">
        <v>19</v>
      </c>
      <c r="D93">
        <f t="shared" si="20"/>
        <v>168</v>
      </c>
      <c r="E93">
        <f>E92</f>
        <v>131</v>
      </c>
      <c r="F93">
        <f t="shared" si="21"/>
        <v>194</v>
      </c>
      <c r="G93">
        <f t="shared" si="19"/>
        <v>134</v>
      </c>
      <c r="H93" t="s">
        <v>20</v>
      </c>
      <c r="I93">
        <v>16</v>
      </c>
      <c r="J93">
        <v>1</v>
      </c>
      <c r="K93">
        <v>0</v>
      </c>
      <c r="L93">
        <v>0</v>
      </c>
      <c r="N93" t="str">
        <f t="shared" si="18"/>
        <v>d0d8dd</v>
      </c>
      <c r="O93" t="s">
        <v>27</v>
      </c>
      <c r="Q93">
        <v>2</v>
      </c>
      <c r="R93" t="b">
        <v>0</v>
      </c>
      <c r="S93" t="s">
        <v>119</v>
      </c>
      <c r="T93">
        <v>0</v>
      </c>
    </row>
    <row r="94" spans="1:20" x14ac:dyDescent="0.25">
      <c r="A94" t="s">
        <v>737</v>
      </c>
      <c r="B94">
        <v>7</v>
      </c>
      <c r="C94" t="s">
        <v>19</v>
      </c>
      <c r="D94">
        <f t="shared" si="20"/>
        <v>14</v>
      </c>
      <c r="E94">
        <f>E90+16</f>
        <v>146</v>
      </c>
      <c r="F94">
        <f t="shared" si="21"/>
        <v>112</v>
      </c>
      <c r="G94">
        <f>E94+5</f>
        <v>151</v>
      </c>
      <c r="H94" t="s">
        <v>102</v>
      </c>
      <c r="I94">
        <v>12</v>
      </c>
      <c r="J94">
        <v>0</v>
      </c>
      <c r="K94">
        <v>0</v>
      </c>
      <c r="L94">
        <v>0</v>
      </c>
      <c r="N94" t="str">
        <f t="shared" si="18"/>
        <v>d0d8dd</v>
      </c>
      <c r="O94" t="s">
        <v>25</v>
      </c>
      <c r="Q94">
        <v>3</v>
      </c>
      <c r="R94" t="b">
        <v>1</v>
      </c>
      <c r="S94" t="s">
        <v>119</v>
      </c>
      <c r="T94">
        <v>0</v>
      </c>
    </row>
    <row r="95" spans="1:20" x14ac:dyDescent="0.25">
      <c r="A95" t="s">
        <v>738</v>
      </c>
      <c r="B95">
        <v>7</v>
      </c>
      <c r="C95" t="s">
        <v>19</v>
      </c>
      <c r="D95">
        <f t="shared" si="20"/>
        <v>113</v>
      </c>
      <c r="E95">
        <f>E94+1</f>
        <v>147</v>
      </c>
      <c r="F95">
        <f t="shared" si="21"/>
        <v>140</v>
      </c>
      <c r="G95">
        <f t="shared" si="19"/>
        <v>150</v>
      </c>
      <c r="H95" t="s">
        <v>20</v>
      </c>
      <c r="I95">
        <v>16</v>
      </c>
      <c r="J95">
        <v>1</v>
      </c>
      <c r="K95">
        <v>0</v>
      </c>
      <c r="L95">
        <v>0</v>
      </c>
      <c r="N95" t="str">
        <f t="shared" si="18"/>
        <v>d0d8dd</v>
      </c>
      <c r="O95" t="s">
        <v>27</v>
      </c>
      <c r="Q95">
        <v>2</v>
      </c>
      <c r="R95" t="b">
        <v>0</v>
      </c>
      <c r="S95" t="s">
        <v>119</v>
      </c>
      <c r="T95">
        <v>0</v>
      </c>
    </row>
    <row r="96" spans="1:20" x14ac:dyDescent="0.25">
      <c r="A96" t="s">
        <v>739</v>
      </c>
      <c r="B96">
        <v>7</v>
      </c>
      <c r="C96" t="s">
        <v>19</v>
      </c>
      <c r="D96">
        <f t="shared" si="20"/>
        <v>140</v>
      </c>
      <c r="E96">
        <f>E95</f>
        <v>147</v>
      </c>
      <c r="F96">
        <f t="shared" si="21"/>
        <v>169</v>
      </c>
      <c r="G96">
        <f t="shared" si="19"/>
        <v>150</v>
      </c>
      <c r="H96" t="s">
        <v>20</v>
      </c>
      <c r="I96">
        <v>16</v>
      </c>
      <c r="J96">
        <v>1</v>
      </c>
      <c r="K96">
        <v>0</v>
      </c>
      <c r="L96">
        <v>0</v>
      </c>
      <c r="N96" t="str">
        <f t="shared" si="18"/>
        <v>d0d8dd</v>
      </c>
      <c r="O96" t="s">
        <v>27</v>
      </c>
      <c r="Q96">
        <v>2</v>
      </c>
      <c r="R96" t="b">
        <v>0</v>
      </c>
      <c r="S96" t="s">
        <v>119</v>
      </c>
      <c r="T96">
        <v>0</v>
      </c>
    </row>
    <row r="97" spans="1:20" x14ac:dyDescent="0.25">
      <c r="A97" t="s">
        <v>740</v>
      </c>
      <c r="B97">
        <v>7</v>
      </c>
      <c r="C97" t="s">
        <v>19</v>
      </c>
      <c r="D97">
        <f t="shared" si="20"/>
        <v>168</v>
      </c>
      <c r="E97">
        <f>E96</f>
        <v>147</v>
      </c>
      <c r="F97">
        <f t="shared" si="21"/>
        <v>194</v>
      </c>
      <c r="G97">
        <f t="shared" si="19"/>
        <v>150</v>
      </c>
      <c r="H97" t="s">
        <v>20</v>
      </c>
      <c r="I97">
        <v>16</v>
      </c>
      <c r="J97">
        <v>1</v>
      </c>
      <c r="K97">
        <v>0</v>
      </c>
      <c r="L97">
        <v>0</v>
      </c>
      <c r="N97" t="str">
        <f t="shared" si="18"/>
        <v>d0d8dd</v>
      </c>
      <c r="O97" t="s">
        <v>27</v>
      </c>
      <c r="Q97">
        <v>2</v>
      </c>
      <c r="R97" t="b">
        <v>0</v>
      </c>
      <c r="S97" t="s">
        <v>119</v>
      </c>
      <c r="T97">
        <v>0</v>
      </c>
    </row>
    <row r="98" spans="1:20" x14ac:dyDescent="0.25">
      <c r="A98" t="s">
        <v>741</v>
      </c>
      <c r="B98">
        <v>7</v>
      </c>
      <c r="C98" t="s">
        <v>19</v>
      </c>
      <c r="D98">
        <f t="shared" si="20"/>
        <v>14</v>
      </c>
      <c r="E98">
        <f>E94+16</f>
        <v>162</v>
      </c>
      <c r="F98">
        <f t="shared" si="21"/>
        <v>112</v>
      </c>
      <c r="G98">
        <f>E98+5</f>
        <v>167</v>
      </c>
      <c r="H98" t="s">
        <v>102</v>
      </c>
      <c r="I98">
        <v>12</v>
      </c>
      <c r="J98">
        <v>0</v>
      </c>
      <c r="K98">
        <v>0</v>
      </c>
      <c r="L98">
        <v>0</v>
      </c>
      <c r="N98" t="str">
        <f t="shared" si="18"/>
        <v>d0d8dd</v>
      </c>
      <c r="O98" t="s">
        <v>25</v>
      </c>
      <c r="Q98">
        <v>3</v>
      </c>
      <c r="R98" t="b">
        <v>1</v>
      </c>
      <c r="S98" t="s">
        <v>119</v>
      </c>
      <c r="T98">
        <v>0</v>
      </c>
    </row>
    <row r="99" spans="1:20" x14ac:dyDescent="0.25">
      <c r="A99" t="s">
        <v>742</v>
      </c>
      <c r="B99">
        <v>7</v>
      </c>
      <c r="C99" t="s">
        <v>19</v>
      </c>
      <c r="D99">
        <f t="shared" si="20"/>
        <v>113</v>
      </c>
      <c r="E99">
        <f>E98+1</f>
        <v>163</v>
      </c>
      <c r="F99">
        <f t="shared" si="21"/>
        <v>140</v>
      </c>
      <c r="G99">
        <f t="shared" si="19"/>
        <v>166</v>
      </c>
      <c r="H99" t="s">
        <v>20</v>
      </c>
      <c r="I99">
        <v>16</v>
      </c>
      <c r="J99">
        <v>1</v>
      </c>
      <c r="K99">
        <v>0</v>
      </c>
      <c r="L99">
        <v>0</v>
      </c>
      <c r="N99" t="str">
        <f t="shared" si="18"/>
        <v>d0d8dd</v>
      </c>
      <c r="O99" t="s">
        <v>27</v>
      </c>
      <c r="Q99">
        <v>2</v>
      </c>
      <c r="R99" t="b">
        <v>0</v>
      </c>
      <c r="S99" t="s">
        <v>119</v>
      </c>
      <c r="T99">
        <v>0</v>
      </c>
    </row>
    <row r="100" spans="1:20" x14ac:dyDescent="0.25">
      <c r="A100" t="s">
        <v>743</v>
      </c>
      <c r="B100">
        <v>7</v>
      </c>
      <c r="C100" t="s">
        <v>19</v>
      </c>
      <c r="D100">
        <f t="shared" si="20"/>
        <v>140</v>
      </c>
      <c r="E100">
        <f>E99</f>
        <v>163</v>
      </c>
      <c r="F100">
        <f t="shared" si="21"/>
        <v>169</v>
      </c>
      <c r="G100">
        <f t="shared" si="19"/>
        <v>166</v>
      </c>
      <c r="H100" t="s">
        <v>20</v>
      </c>
      <c r="I100">
        <v>16</v>
      </c>
      <c r="J100">
        <v>1</v>
      </c>
      <c r="K100">
        <v>0</v>
      </c>
      <c r="L100">
        <v>0</v>
      </c>
      <c r="N100" t="str">
        <f t="shared" si="18"/>
        <v>d0d8dd</v>
      </c>
      <c r="O100" t="s">
        <v>27</v>
      </c>
      <c r="Q100">
        <v>2</v>
      </c>
      <c r="R100" t="b">
        <v>0</v>
      </c>
      <c r="S100" t="s">
        <v>119</v>
      </c>
      <c r="T100">
        <v>0</v>
      </c>
    </row>
    <row r="101" spans="1:20" x14ac:dyDescent="0.25">
      <c r="A101" t="s">
        <v>744</v>
      </c>
      <c r="B101">
        <v>7</v>
      </c>
      <c r="C101" t="s">
        <v>19</v>
      </c>
      <c r="D101">
        <f t="shared" si="20"/>
        <v>168</v>
      </c>
      <c r="E101">
        <f>E100</f>
        <v>163</v>
      </c>
      <c r="F101">
        <f t="shared" si="21"/>
        <v>194</v>
      </c>
      <c r="G101">
        <f t="shared" si="19"/>
        <v>166</v>
      </c>
      <c r="H101" t="s">
        <v>20</v>
      </c>
      <c r="I101">
        <v>16</v>
      </c>
      <c r="J101">
        <v>1</v>
      </c>
      <c r="K101">
        <v>0</v>
      </c>
      <c r="L101">
        <v>0</v>
      </c>
      <c r="N101" t="str">
        <f t="shared" si="18"/>
        <v>d0d8dd</v>
      </c>
      <c r="O101" t="s">
        <v>27</v>
      </c>
      <c r="Q101">
        <v>2</v>
      </c>
      <c r="R101" t="b">
        <v>0</v>
      </c>
      <c r="S101" t="s">
        <v>119</v>
      </c>
      <c r="T101">
        <v>0</v>
      </c>
    </row>
    <row r="102" spans="1:20" x14ac:dyDescent="0.25">
      <c r="A102" t="s">
        <v>745</v>
      </c>
      <c r="B102">
        <v>7</v>
      </c>
      <c r="C102" t="s">
        <v>19</v>
      </c>
      <c r="D102">
        <f t="shared" si="20"/>
        <v>14</v>
      </c>
      <c r="E102">
        <f>E98+16</f>
        <v>178</v>
      </c>
      <c r="F102">
        <f t="shared" si="21"/>
        <v>112</v>
      </c>
      <c r="G102">
        <f>E102+5</f>
        <v>183</v>
      </c>
      <c r="H102" t="s">
        <v>102</v>
      </c>
      <c r="I102">
        <v>12</v>
      </c>
      <c r="J102">
        <v>0</v>
      </c>
      <c r="K102">
        <v>0</v>
      </c>
      <c r="L102">
        <v>0</v>
      </c>
      <c r="N102" t="str">
        <f t="shared" si="18"/>
        <v>d0d8dd</v>
      </c>
      <c r="O102" t="s">
        <v>25</v>
      </c>
      <c r="Q102">
        <v>3</v>
      </c>
      <c r="R102" t="b">
        <v>1</v>
      </c>
      <c r="S102" t="s">
        <v>119</v>
      </c>
      <c r="T102">
        <v>0</v>
      </c>
    </row>
    <row r="103" spans="1:20" x14ac:dyDescent="0.25">
      <c r="A103" t="s">
        <v>746</v>
      </c>
      <c r="B103">
        <v>7</v>
      </c>
      <c r="C103" t="s">
        <v>19</v>
      </c>
      <c r="D103">
        <f t="shared" si="20"/>
        <v>113</v>
      </c>
      <c r="E103">
        <f>E102+1</f>
        <v>179</v>
      </c>
      <c r="F103">
        <f t="shared" si="21"/>
        <v>140</v>
      </c>
      <c r="G103">
        <f t="shared" si="19"/>
        <v>182</v>
      </c>
      <c r="H103" t="s">
        <v>20</v>
      </c>
      <c r="I103">
        <v>16</v>
      </c>
      <c r="J103">
        <v>1</v>
      </c>
      <c r="K103">
        <v>0</v>
      </c>
      <c r="L103">
        <v>0</v>
      </c>
      <c r="N103" t="str">
        <f t="shared" si="18"/>
        <v>d0d8dd</v>
      </c>
      <c r="O103" t="s">
        <v>27</v>
      </c>
      <c r="Q103">
        <v>2</v>
      </c>
      <c r="R103" t="b">
        <v>0</v>
      </c>
      <c r="S103" t="s">
        <v>119</v>
      </c>
      <c r="T103">
        <v>0</v>
      </c>
    </row>
    <row r="104" spans="1:20" x14ac:dyDescent="0.25">
      <c r="A104" t="s">
        <v>747</v>
      </c>
      <c r="B104">
        <v>7</v>
      </c>
      <c r="C104" t="s">
        <v>19</v>
      </c>
      <c r="D104">
        <f t="shared" si="20"/>
        <v>140</v>
      </c>
      <c r="E104">
        <f>E103</f>
        <v>179</v>
      </c>
      <c r="F104">
        <f t="shared" si="21"/>
        <v>169</v>
      </c>
      <c r="G104">
        <f t="shared" si="19"/>
        <v>182</v>
      </c>
      <c r="H104" t="s">
        <v>20</v>
      </c>
      <c r="I104">
        <v>16</v>
      </c>
      <c r="J104">
        <v>1</v>
      </c>
      <c r="K104">
        <v>0</v>
      </c>
      <c r="L104">
        <v>0</v>
      </c>
      <c r="N104" t="str">
        <f t="shared" si="18"/>
        <v>d0d8dd</v>
      </c>
      <c r="O104" t="s">
        <v>27</v>
      </c>
      <c r="Q104">
        <v>2</v>
      </c>
      <c r="R104" t="b">
        <v>0</v>
      </c>
      <c r="S104" t="s">
        <v>119</v>
      </c>
      <c r="T104">
        <v>0</v>
      </c>
    </row>
    <row r="105" spans="1:20" x14ac:dyDescent="0.25">
      <c r="A105" t="s">
        <v>748</v>
      </c>
      <c r="B105">
        <v>7</v>
      </c>
      <c r="C105" t="s">
        <v>19</v>
      </c>
      <c r="D105">
        <f t="shared" si="20"/>
        <v>168</v>
      </c>
      <c r="E105">
        <f>E104</f>
        <v>179</v>
      </c>
      <c r="F105">
        <f t="shared" si="21"/>
        <v>194</v>
      </c>
      <c r="G105">
        <f t="shared" si="19"/>
        <v>182</v>
      </c>
      <c r="H105" t="s">
        <v>20</v>
      </c>
      <c r="I105">
        <v>16</v>
      </c>
      <c r="J105">
        <v>1</v>
      </c>
      <c r="K105">
        <v>0</v>
      </c>
      <c r="L105">
        <v>0</v>
      </c>
      <c r="N105" t="str">
        <f t="shared" si="18"/>
        <v>d0d8dd</v>
      </c>
      <c r="O105" t="s">
        <v>27</v>
      </c>
      <c r="Q105">
        <v>2</v>
      </c>
      <c r="R105" t="b">
        <v>0</v>
      </c>
      <c r="S105" t="s">
        <v>119</v>
      </c>
      <c r="T105">
        <v>0</v>
      </c>
    </row>
    <row r="106" spans="1:20" x14ac:dyDescent="0.25">
      <c r="A106" t="s">
        <v>827</v>
      </c>
      <c r="B106">
        <v>-999</v>
      </c>
      <c r="C106" t="s">
        <v>19</v>
      </c>
      <c r="D106">
        <v>127</v>
      </c>
      <c r="E106">
        <v>13</v>
      </c>
      <c r="F106">
        <v>205</v>
      </c>
      <c r="G106">
        <f>E106+5</f>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f>E107+5</f>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f>G107+8</f>
        <v>228</v>
      </c>
      <c r="F108">
        <f>$F$107</f>
        <v>196</v>
      </c>
      <c r="G108">
        <f>E108+5</f>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f>G186+12</f>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f>E110+5</f>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f t="shared" ref="D111" si="22">D114-1</f>
        <v>113</v>
      </c>
      <c r="E111">
        <f>E109+2</f>
        <v>32</v>
      </c>
      <c r="F111">
        <f>D115-1</f>
        <v>140</v>
      </c>
      <c r="G111">
        <f>E111+5</f>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f>D115-1</f>
        <v>140</v>
      </c>
      <c r="E112">
        <f t="shared" ref="E112:E113" si="23">E111</f>
        <v>32</v>
      </c>
      <c r="F112">
        <f>D116+1</f>
        <v>169</v>
      </c>
      <c r="G112">
        <f>G111</f>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f>D116</f>
        <v>168</v>
      </c>
      <c r="E113">
        <f t="shared" si="23"/>
        <v>32</v>
      </c>
      <c r="F113">
        <f>D113+26</f>
        <v>194</v>
      </c>
      <c r="G113">
        <f t="shared" ref="G113" si="24">G112</f>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f>E109</f>
        <v>30</v>
      </c>
      <c r="F114">
        <f>D114</f>
        <v>114</v>
      </c>
      <c r="G114">
        <f>G109</f>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f>D114+27</f>
        <v>141</v>
      </c>
      <c r="E115">
        <f t="shared" ref="E115:E116" si="25">E114</f>
        <v>30</v>
      </c>
      <c r="F115">
        <f t="shared" ref="F115:F116" si="26">D115</f>
        <v>141</v>
      </c>
      <c r="G115">
        <f>G114</f>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f>D115+27</f>
        <v>168</v>
      </c>
      <c r="E116">
        <f t="shared" si="25"/>
        <v>30</v>
      </c>
      <c r="F116">
        <f t="shared" si="26"/>
        <v>168</v>
      </c>
      <c r="G116">
        <f>G115</f>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f>E111+25</f>
        <v>57</v>
      </c>
      <c r="F117">
        <v>196</v>
      </c>
      <c r="G117">
        <f>E117</f>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f>D114</f>
        <v>114</v>
      </c>
      <c r="E118">
        <f>G109+2</f>
        <v>269</v>
      </c>
      <c r="F118">
        <v>196</v>
      </c>
      <c r="G118">
        <f>E118+4</f>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f>E117+2</f>
        <v>59</v>
      </c>
      <c r="F119">
        <f>D114-2</f>
        <v>112</v>
      </c>
      <c r="G119">
        <f>E119+5</f>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f>D111</f>
        <v>113</v>
      </c>
      <c r="E120">
        <f>E119+1</f>
        <v>60</v>
      </c>
      <c r="F120">
        <f>F111</f>
        <v>140</v>
      </c>
      <c r="G120">
        <f t="shared" ref="G120:G122" si="27">E120+3</f>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f>D112</f>
        <v>140</v>
      </c>
      <c r="E121">
        <f>E120</f>
        <v>60</v>
      </c>
      <c r="F121">
        <f>F112</f>
        <v>169</v>
      </c>
      <c r="G121">
        <f t="shared" si="27"/>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f>D113</f>
        <v>168</v>
      </c>
      <c r="E122">
        <f>E121</f>
        <v>60</v>
      </c>
      <c r="F122">
        <f>F113</f>
        <v>194</v>
      </c>
      <c r="G122">
        <f t="shared" si="27"/>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f t="shared" ref="D123:D154" si="28">D119</f>
        <v>14</v>
      </c>
      <c r="E123">
        <f>E119+12</f>
        <v>71</v>
      </c>
      <c r="F123">
        <f t="shared" ref="F123:F154" si="29">F119</f>
        <v>112</v>
      </c>
      <c r="G123">
        <f>E123+5</f>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f t="shared" si="28"/>
        <v>113</v>
      </c>
      <c r="E124">
        <f>E123+1</f>
        <v>72</v>
      </c>
      <c r="F124">
        <f t="shared" si="29"/>
        <v>140</v>
      </c>
      <c r="G124">
        <f>E124+3</f>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f t="shared" si="28"/>
        <v>140</v>
      </c>
      <c r="E125">
        <f>E124</f>
        <v>72</v>
      </c>
      <c r="F125">
        <f t="shared" si="29"/>
        <v>169</v>
      </c>
      <c r="G125">
        <f t="shared" ref="G125:G126" si="30">E125+3</f>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f t="shared" si="28"/>
        <v>168</v>
      </c>
      <c r="E126">
        <f>E125</f>
        <v>72</v>
      </c>
      <c r="F126">
        <f t="shared" si="29"/>
        <v>194</v>
      </c>
      <c r="G126">
        <f t="shared" si="30"/>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f t="shared" si="28"/>
        <v>14</v>
      </c>
      <c r="E127">
        <f>E123+12</f>
        <v>83</v>
      </c>
      <c r="F127">
        <f t="shared" si="29"/>
        <v>112</v>
      </c>
      <c r="G127">
        <f>E127+5</f>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f t="shared" si="28"/>
        <v>113</v>
      </c>
      <c r="E128">
        <f>E127+1</f>
        <v>84</v>
      </c>
      <c r="F128">
        <f t="shared" si="29"/>
        <v>140</v>
      </c>
      <c r="G128">
        <f t="shared" ref="G128:G130" si="31">E128+3</f>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f t="shared" si="28"/>
        <v>140</v>
      </c>
      <c r="E129">
        <f>E128</f>
        <v>84</v>
      </c>
      <c r="F129">
        <f t="shared" si="29"/>
        <v>169</v>
      </c>
      <c r="G129">
        <f t="shared" si="31"/>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f t="shared" si="28"/>
        <v>168</v>
      </c>
      <c r="E130">
        <f>E129</f>
        <v>84</v>
      </c>
      <c r="F130">
        <f t="shared" si="29"/>
        <v>194</v>
      </c>
      <c r="G130">
        <f t="shared" si="31"/>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f t="shared" si="28"/>
        <v>14</v>
      </c>
      <c r="E131">
        <f>E127+12</f>
        <v>95</v>
      </c>
      <c r="F131">
        <f t="shared" si="29"/>
        <v>112</v>
      </c>
      <c r="G131">
        <f>E131+5</f>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f t="shared" si="28"/>
        <v>113</v>
      </c>
      <c r="E132">
        <f>E131+1</f>
        <v>96</v>
      </c>
      <c r="F132">
        <f t="shared" si="29"/>
        <v>140</v>
      </c>
      <c r="G132">
        <f t="shared" ref="G132:G134" si="32">E132+3</f>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f t="shared" si="28"/>
        <v>140</v>
      </c>
      <c r="E133">
        <f>E132</f>
        <v>96</v>
      </c>
      <c r="F133">
        <f t="shared" si="29"/>
        <v>169</v>
      </c>
      <c r="G133">
        <f t="shared" si="32"/>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f t="shared" si="28"/>
        <v>168</v>
      </c>
      <c r="E134">
        <f>E133</f>
        <v>96</v>
      </c>
      <c r="F134">
        <f t="shared" si="29"/>
        <v>194</v>
      </c>
      <c r="G134">
        <f t="shared" si="32"/>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f t="shared" si="28"/>
        <v>14</v>
      </c>
      <c r="E135">
        <f>E131+12</f>
        <v>107</v>
      </c>
      <c r="F135">
        <f t="shared" si="29"/>
        <v>112</v>
      </c>
      <c r="G135">
        <f>E135+5</f>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f t="shared" si="28"/>
        <v>113</v>
      </c>
      <c r="E136">
        <f>E135+1</f>
        <v>108</v>
      </c>
      <c r="F136">
        <f t="shared" si="29"/>
        <v>140</v>
      </c>
      <c r="G136">
        <f t="shared" ref="G136:G138" si="33">E136+3</f>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f t="shared" si="28"/>
        <v>140</v>
      </c>
      <c r="E137">
        <f>E136</f>
        <v>108</v>
      </c>
      <c r="F137">
        <f t="shared" si="29"/>
        <v>169</v>
      </c>
      <c r="G137">
        <f t="shared" si="33"/>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f t="shared" si="28"/>
        <v>168</v>
      </c>
      <c r="E138">
        <f>E137</f>
        <v>108</v>
      </c>
      <c r="F138">
        <f t="shared" si="29"/>
        <v>194</v>
      </c>
      <c r="G138">
        <f t="shared" si="33"/>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f t="shared" si="28"/>
        <v>14</v>
      </c>
      <c r="E139">
        <f>E135+12</f>
        <v>119</v>
      </c>
      <c r="F139">
        <f t="shared" si="29"/>
        <v>112</v>
      </c>
      <c r="G139">
        <f>E139+5</f>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f t="shared" si="28"/>
        <v>113</v>
      </c>
      <c r="E140">
        <f>E139+1</f>
        <v>120</v>
      </c>
      <c r="F140">
        <f t="shared" si="29"/>
        <v>140</v>
      </c>
      <c r="G140">
        <f t="shared" ref="G140:G142" si="34">E140+3</f>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f t="shared" si="28"/>
        <v>140</v>
      </c>
      <c r="E141">
        <f>E140</f>
        <v>120</v>
      </c>
      <c r="F141">
        <f t="shared" si="29"/>
        <v>169</v>
      </c>
      <c r="G141">
        <f t="shared" si="34"/>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f t="shared" si="28"/>
        <v>168</v>
      </c>
      <c r="E142">
        <f>E141</f>
        <v>120</v>
      </c>
      <c r="F142">
        <f t="shared" si="29"/>
        <v>194</v>
      </c>
      <c r="G142">
        <f t="shared" si="34"/>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f t="shared" si="28"/>
        <v>14</v>
      </c>
      <c r="E143">
        <f>E139+12</f>
        <v>131</v>
      </c>
      <c r="F143">
        <f t="shared" si="29"/>
        <v>112</v>
      </c>
      <c r="G143">
        <f>E143+5</f>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f t="shared" si="28"/>
        <v>113</v>
      </c>
      <c r="E144">
        <f>E143+1</f>
        <v>132</v>
      </c>
      <c r="F144">
        <f t="shared" si="29"/>
        <v>140</v>
      </c>
      <c r="G144">
        <f t="shared" ref="G144:G146" si="35">E144+3</f>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f t="shared" si="28"/>
        <v>140</v>
      </c>
      <c r="E145">
        <f>E144</f>
        <v>132</v>
      </c>
      <c r="F145">
        <f t="shared" si="29"/>
        <v>169</v>
      </c>
      <c r="G145">
        <f t="shared" si="3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f t="shared" si="28"/>
        <v>168</v>
      </c>
      <c r="E146">
        <f>E145</f>
        <v>132</v>
      </c>
      <c r="F146">
        <f t="shared" si="29"/>
        <v>194</v>
      </c>
      <c r="G146">
        <f t="shared" si="35"/>
        <v>135</v>
      </c>
      <c r="H146" t="s">
        <v>20</v>
      </c>
      <c r="I146">
        <v>16</v>
      </c>
      <c r="J146">
        <v>1</v>
      </c>
      <c r="K146">
        <v>0</v>
      </c>
      <c r="L146">
        <v>0</v>
      </c>
      <c r="N146" t="s">
        <v>918</v>
      </c>
      <c r="O146" t="s">
        <v>27</v>
      </c>
      <c r="Q146">
        <v>2</v>
      </c>
      <c r="R146" t="b">
        <v>0</v>
      </c>
      <c r="S146" t="s">
        <v>119</v>
      </c>
      <c r="T146">
        <v>0</v>
      </c>
    </row>
    <row r="147" spans="1:20" x14ac:dyDescent="0.25">
      <c r="A147" t="str">
        <f>_xlfn.CONCAT("policy_checklist2_text",1+_xlfn.NUMBERVALUE(SUBSTITUTE(A143,"policy_checklist2_text","")))</f>
        <v>policy_checklist2_text8</v>
      </c>
      <c r="B147">
        <v>8</v>
      </c>
      <c r="C147" t="s">
        <v>19</v>
      </c>
      <c r="D147">
        <f t="shared" si="28"/>
        <v>14</v>
      </c>
      <c r="E147">
        <f>E143+12</f>
        <v>143</v>
      </c>
      <c r="F147">
        <f t="shared" si="29"/>
        <v>112</v>
      </c>
      <c r="G147">
        <f>E147+5</f>
        <v>148</v>
      </c>
      <c r="H147" t="s">
        <v>102</v>
      </c>
      <c r="I147">
        <v>12</v>
      </c>
      <c r="J147">
        <v>0</v>
      </c>
      <c r="K147">
        <v>0</v>
      </c>
      <c r="L147">
        <v>0</v>
      </c>
      <c r="N147" t="s">
        <v>918</v>
      </c>
      <c r="O147" t="s">
        <v>25</v>
      </c>
      <c r="Q147">
        <v>3</v>
      </c>
      <c r="R147" t="b">
        <v>1</v>
      </c>
      <c r="S147" t="s">
        <v>119</v>
      </c>
      <c r="T147">
        <v>0</v>
      </c>
    </row>
    <row r="148" spans="1:20" x14ac:dyDescent="0.25">
      <c r="A148" t="str">
        <f>A147&amp;"_response1"</f>
        <v>policy_checklist2_text8_response1</v>
      </c>
      <c r="B148">
        <v>8</v>
      </c>
      <c r="C148" t="s">
        <v>19</v>
      </c>
      <c r="D148">
        <f t="shared" si="28"/>
        <v>113</v>
      </c>
      <c r="E148">
        <f>E147+1</f>
        <v>144</v>
      </c>
      <c r="F148">
        <f t="shared" si="29"/>
        <v>140</v>
      </c>
      <c r="G148">
        <f t="shared" ref="G148:G150" si="36">E148+3</f>
        <v>147</v>
      </c>
      <c r="H148" t="s">
        <v>20</v>
      </c>
      <c r="I148">
        <v>16</v>
      </c>
      <c r="J148">
        <v>1</v>
      </c>
      <c r="K148">
        <v>0</v>
      </c>
      <c r="L148">
        <v>0</v>
      </c>
      <c r="N148" t="s">
        <v>918</v>
      </c>
      <c r="O148" t="s">
        <v>27</v>
      </c>
      <c r="Q148">
        <v>2</v>
      </c>
      <c r="R148" t="b">
        <v>0</v>
      </c>
      <c r="S148" t="s">
        <v>119</v>
      </c>
      <c r="T148">
        <v>0</v>
      </c>
    </row>
    <row r="149" spans="1:20" x14ac:dyDescent="0.25">
      <c r="A149" t="str">
        <f>A147&amp;"_response2"</f>
        <v>policy_checklist2_text8_response2</v>
      </c>
      <c r="B149">
        <v>8</v>
      </c>
      <c r="C149" t="s">
        <v>19</v>
      </c>
      <c r="D149">
        <f t="shared" si="28"/>
        <v>140</v>
      </c>
      <c r="E149">
        <f>E148</f>
        <v>144</v>
      </c>
      <c r="F149">
        <f t="shared" si="29"/>
        <v>169</v>
      </c>
      <c r="G149">
        <f t="shared" si="36"/>
        <v>147</v>
      </c>
      <c r="H149" t="s">
        <v>20</v>
      </c>
      <c r="I149">
        <v>16</v>
      </c>
      <c r="J149">
        <v>1</v>
      </c>
      <c r="K149">
        <v>0</v>
      </c>
      <c r="L149">
        <v>0</v>
      </c>
      <c r="N149" t="s">
        <v>918</v>
      </c>
      <c r="O149" t="s">
        <v>27</v>
      </c>
      <c r="Q149">
        <v>2</v>
      </c>
      <c r="R149" t="b">
        <v>0</v>
      </c>
      <c r="S149" t="s">
        <v>119</v>
      </c>
      <c r="T149">
        <v>0</v>
      </c>
    </row>
    <row r="150" spans="1:20" x14ac:dyDescent="0.25">
      <c r="A150" t="str">
        <f>A147&amp;"_response3"</f>
        <v>policy_checklist2_text8_response3</v>
      </c>
      <c r="B150">
        <v>8</v>
      </c>
      <c r="C150" t="s">
        <v>19</v>
      </c>
      <c r="D150">
        <f t="shared" si="28"/>
        <v>168</v>
      </c>
      <c r="E150">
        <f>E149</f>
        <v>144</v>
      </c>
      <c r="F150">
        <f t="shared" si="29"/>
        <v>194</v>
      </c>
      <c r="G150">
        <f t="shared" si="36"/>
        <v>147</v>
      </c>
      <c r="H150" t="s">
        <v>20</v>
      </c>
      <c r="I150">
        <v>16</v>
      </c>
      <c r="J150">
        <v>1</v>
      </c>
      <c r="K150">
        <v>0</v>
      </c>
      <c r="L150">
        <v>0</v>
      </c>
      <c r="N150" t="s">
        <v>918</v>
      </c>
      <c r="O150" t="s">
        <v>27</v>
      </c>
      <c r="Q150">
        <v>2</v>
      </c>
      <c r="R150" t="b">
        <v>0</v>
      </c>
      <c r="S150" t="s">
        <v>119</v>
      </c>
      <c r="T150">
        <v>0</v>
      </c>
    </row>
    <row r="151" spans="1:20" x14ac:dyDescent="0.25">
      <c r="A151" t="str">
        <f>_xlfn.CONCAT("policy_checklist2_text",1+_xlfn.NUMBERVALUE(SUBSTITUTE(A147,"policy_checklist2_text","")))</f>
        <v>policy_checklist2_text9</v>
      </c>
      <c r="B151">
        <v>8</v>
      </c>
      <c r="C151" t="s">
        <v>19</v>
      </c>
      <c r="D151">
        <f t="shared" si="28"/>
        <v>14</v>
      </c>
      <c r="E151">
        <f>E147+12</f>
        <v>155</v>
      </c>
      <c r="F151">
        <f t="shared" si="29"/>
        <v>112</v>
      </c>
      <c r="G151">
        <f>E151+5</f>
        <v>160</v>
      </c>
      <c r="H151" t="s">
        <v>102</v>
      </c>
      <c r="I151">
        <v>12</v>
      </c>
      <c r="J151">
        <v>0</v>
      </c>
      <c r="K151">
        <v>0</v>
      </c>
      <c r="L151">
        <v>0</v>
      </c>
      <c r="N151" t="s">
        <v>918</v>
      </c>
      <c r="O151" t="s">
        <v>25</v>
      </c>
      <c r="Q151">
        <v>3</v>
      </c>
      <c r="R151" t="b">
        <v>1</v>
      </c>
      <c r="S151" t="s">
        <v>119</v>
      </c>
      <c r="T151">
        <v>0</v>
      </c>
    </row>
    <row r="152" spans="1:20" x14ac:dyDescent="0.25">
      <c r="A152" t="str">
        <f>A151&amp;"_response1"</f>
        <v>policy_checklist2_text9_response1</v>
      </c>
      <c r="B152">
        <v>8</v>
      </c>
      <c r="C152" t="s">
        <v>19</v>
      </c>
      <c r="D152">
        <f t="shared" si="28"/>
        <v>113</v>
      </c>
      <c r="E152">
        <f>E151+1</f>
        <v>156</v>
      </c>
      <c r="F152">
        <f t="shared" si="29"/>
        <v>140</v>
      </c>
      <c r="G152">
        <f t="shared" ref="G152:G154" si="37">E152+3</f>
        <v>159</v>
      </c>
      <c r="H152" t="s">
        <v>20</v>
      </c>
      <c r="I152">
        <v>16</v>
      </c>
      <c r="J152">
        <v>1</v>
      </c>
      <c r="K152">
        <v>0</v>
      </c>
      <c r="L152">
        <v>0</v>
      </c>
      <c r="N152" t="s">
        <v>918</v>
      </c>
      <c r="O152" t="s">
        <v>27</v>
      </c>
      <c r="Q152">
        <v>2</v>
      </c>
      <c r="R152" t="b">
        <v>0</v>
      </c>
      <c r="S152" t="s">
        <v>119</v>
      </c>
      <c r="T152">
        <v>0</v>
      </c>
    </row>
    <row r="153" spans="1:20" x14ac:dyDescent="0.25">
      <c r="A153" t="str">
        <f>A151&amp;"_response2"</f>
        <v>policy_checklist2_text9_response2</v>
      </c>
      <c r="B153">
        <v>8</v>
      </c>
      <c r="C153" t="s">
        <v>19</v>
      </c>
      <c r="D153">
        <f t="shared" si="28"/>
        <v>140</v>
      </c>
      <c r="E153">
        <f>E152</f>
        <v>156</v>
      </c>
      <c r="F153">
        <f t="shared" si="29"/>
        <v>169</v>
      </c>
      <c r="G153">
        <f t="shared" si="37"/>
        <v>159</v>
      </c>
      <c r="H153" t="s">
        <v>20</v>
      </c>
      <c r="I153">
        <v>16</v>
      </c>
      <c r="J153">
        <v>1</v>
      </c>
      <c r="K153">
        <v>0</v>
      </c>
      <c r="L153">
        <v>0</v>
      </c>
      <c r="N153" t="s">
        <v>918</v>
      </c>
      <c r="O153" t="s">
        <v>27</v>
      </c>
      <c r="Q153">
        <v>2</v>
      </c>
      <c r="R153" t="b">
        <v>0</v>
      </c>
      <c r="S153" t="s">
        <v>119</v>
      </c>
      <c r="T153">
        <v>0</v>
      </c>
    </row>
    <row r="154" spans="1:20" x14ac:dyDescent="0.25">
      <c r="A154" t="str">
        <f>A151&amp;"_response3"</f>
        <v>policy_checklist2_text9_response3</v>
      </c>
      <c r="B154">
        <v>8</v>
      </c>
      <c r="C154" t="s">
        <v>19</v>
      </c>
      <c r="D154">
        <f t="shared" si="28"/>
        <v>168</v>
      </c>
      <c r="E154">
        <f>E153</f>
        <v>156</v>
      </c>
      <c r="F154">
        <f t="shared" si="29"/>
        <v>194</v>
      </c>
      <c r="G154">
        <f t="shared" si="37"/>
        <v>159</v>
      </c>
      <c r="H154" t="s">
        <v>20</v>
      </c>
      <c r="I154">
        <v>16</v>
      </c>
      <c r="J154">
        <v>1</v>
      </c>
      <c r="K154">
        <v>0</v>
      </c>
      <c r="L154">
        <v>0</v>
      </c>
      <c r="N154" t="s">
        <v>918</v>
      </c>
      <c r="O154" t="s">
        <v>27</v>
      </c>
      <c r="Q154">
        <v>2</v>
      </c>
      <c r="R154" t="b">
        <v>0</v>
      </c>
      <c r="S154" t="s">
        <v>119</v>
      </c>
      <c r="T154">
        <v>0</v>
      </c>
    </row>
    <row r="155" spans="1:20" x14ac:dyDescent="0.25">
      <c r="A155" t="str">
        <f>_xlfn.CONCAT("policy_checklist2_text",1+_xlfn.NUMBERVALUE(SUBSTITUTE(A151,"policy_checklist2_text","")))</f>
        <v>policy_checklist2_text10</v>
      </c>
      <c r="B155">
        <v>8</v>
      </c>
      <c r="C155" t="s">
        <v>19</v>
      </c>
      <c r="D155">
        <f t="shared" ref="D155:D182" si="38">D151</f>
        <v>14</v>
      </c>
      <c r="E155">
        <f>E151+12</f>
        <v>167</v>
      </c>
      <c r="F155">
        <f t="shared" ref="F155:F186" si="39">F151</f>
        <v>112</v>
      </c>
      <c r="G155">
        <f>E155+5</f>
        <v>172</v>
      </c>
      <c r="H155" t="s">
        <v>102</v>
      </c>
      <c r="I155">
        <v>12</v>
      </c>
      <c r="J155">
        <v>0</v>
      </c>
      <c r="K155">
        <v>0</v>
      </c>
      <c r="L155">
        <v>0</v>
      </c>
      <c r="N155" t="s">
        <v>918</v>
      </c>
      <c r="O155" t="s">
        <v>25</v>
      </c>
      <c r="Q155">
        <v>3</v>
      </c>
      <c r="R155" t="b">
        <v>1</v>
      </c>
      <c r="S155" t="s">
        <v>119</v>
      </c>
      <c r="T155">
        <v>0</v>
      </c>
    </row>
    <row r="156" spans="1:20" x14ac:dyDescent="0.25">
      <c r="A156" t="str">
        <f>A155&amp;"_response1"</f>
        <v>policy_checklist2_text10_response1</v>
      </c>
      <c r="B156">
        <v>8</v>
      </c>
      <c r="C156" t="s">
        <v>19</v>
      </c>
      <c r="D156">
        <f t="shared" si="38"/>
        <v>113</v>
      </c>
      <c r="E156">
        <f>E155+1</f>
        <v>168</v>
      </c>
      <c r="F156">
        <f t="shared" si="39"/>
        <v>140</v>
      </c>
      <c r="G156">
        <f t="shared" ref="G156:G158" si="40">E156+3</f>
        <v>171</v>
      </c>
      <c r="H156" t="s">
        <v>20</v>
      </c>
      <c r="I156">
        <v>16</v>
      </c>
      <c r="J156">
        <v>1</v>
      </c>
      <c r="K156">
        <v>0</v>
      </c>
      <c r="L156">
        <v>0</v>
      </c>
      <c r="N156" t="s">
        <v>918</v>
      </c>
      <c r="O156" t="s">
        <v>27</v>
      </c>
      <c r="Q156">
        <v>2</v>
      </c>
      <c r="R156" t="b">
        <v>0</v>
      </c>
      <c r="S156" t="s">
        <v>119</v>
      </c>
      <c r="T156">
        <v>0</v>
      </c>
    </row>
    <row r="157" spans="1:20" x14ac:dyDescent="0.25">
      <c r="A157" t="str">
        <f>A155&amp;"_response2"</f>
        <v>policy_checklist2_text10_response2</v>
      </c>
      <c r="B157">
        <v>8</v>
      </c>
      <c r="C157" t="s">
        <v>19</v>
      </c>
      <c r="D157">
        <f t="shared" si="38"/>
        <v>140</v>
      </c>
      <c r="E157">
        <f>E156</f>
        <v>168</v>
      </c>
      <c r="F157">
        <f t="shared" si="39"/>
        <v>169</v>
      </c>
      <c r="G157">
        <f t="shared" si="40"/>
        <v>171</v>
      </c>
      <c r="H157" t="s">
        <v>20</v>
      </c>
      <c r="I157">
        <v>16</v>
      </c>
      <c r="J157">
        <v>1</v>
      </c>
      <c r="K157">
        <v>0</v>
      </c>
      <c r="L157">
        <v>0</v>
      </c>
      <c r="N157" t="s">
        <v>918</v>
      </c>
      <c r="O157" t="s">
        <v>27</v>
      </c>
      <c r="Q157">
        <v>2</v>
      </c>
      <c r="R157" t="b">
        <v>0</v>
      </c>
      <c r="S157" t="s">
        <v>119</v>
      </c>
      <c r="T157">
        <v>0</v>
      </c>
    </row>
    <row r="158" spans="1:20" x14ac:dyDescent="0.25">
      <c r="A158" t="str">
        <f>A155&amp;"_response3"</f>
        <v>policy_checklist2_text10_response3</v>
      </c>
      <c r="B158">
        <v>8</v>
      </c>
      <c r="C158" t="s">
        <v>19</v>
      </c>
      <c r="D158">
        <f t="shared" si="38"/>
        <v>168</v>
      </c>
      <c r="E158">
        <f>E157</f>
        <v>168</v>
      </c>
      <c r="F158">
        <f t="shared" si="39"/>
        <v>194</v>
      </c>
      <c r="G158">
        <f t="shared" si="40"/>
        <v>171</v>
      </c>
      <c r="H158" t="s">
        <v>20</v>
      </c>
      <c r="I158">
        <v>16</v>
      </c>
      <c r="J158">
        <v>1</v>
      </c>
      <c r="K158">
        <v>0</v>
      </c>
      <c r="L158">
        <v>0</v>
      </c>
      <c r="N158" t="s">
        <v>918</v>
      </c>
      <c r="O158" t="s">
        <v>27</v>
      </c>
      <c r="Q158">
        <v>2</v>
      </c>
      <c r="R158" t="b">
        <v>0</v>
      </c>
      <c r="S158" t="s">
        <v>119</v>
      </c>
      <c r="T158">
        <v>0</v>
      </c>
    </row>
    <row r="159" spans="1:20" x14ac:dyDescent="0.25">
      <c r="A159" t="str">
        <f>_xlfn.CONCAT("policy_checklist2_text",1+_xlfn.NUMBERVALUE(SUBSTITUTE(A155,"policy_checklist2_text","")))</f>
        <v>policy_checklist2_text11</v>
      </c>
      <c r="B159">
        <v>8</v>
      </c>
      <c r="C159" t="s">
        <v>19</v>
      </c>
      <c r="D159">
        <f t="shared" si="38"/>
        <v>14</v>
      </c>
      <c r="E159">
        <f>E155+12</f>
        <v>179</v>
      </c>
      <c r="F159">
        <f t="shared" si="39"/>
        <v>112</v>
      </c>
      <c r="G159">
        <f>E159+5</f>
        <v>184</v>
      </c>
      <c r="H159" t="s">
        <v>102</v>
      </c>
      <c r="I159">
        <v>12</v>
      </c>
      <c r="J159">
        <v>0</v>
      </c>
      <c r="K159">
        <v>0</v>
      </c>
      <c r="L159">
        <v>0</v>
      </c>
      <c r="N159" t="s">
        <v>918</v>
      </c>
      <c r="O159" t="s">
        <v>25</v>
      </c>
      <c r="Q159">
        <v>3</v>
      </c>
      <c r="R159" t="b">
        <v>1</v>
      </c>
      <c r="S159" t="s">
        <v>119</v>
      </c>
      <c r="T159">
        <v>0</v>
      </c>
    </row>
    <row r="160" spans="1:20" x14ac:dyDescent="0.25">
      <c r="A160" t="str">
        <f>A159&amp;"_response1"</f>
        <v>policy_checklist2_text11_response1</v>
      </c>
      <c r="B160">
        <v>8</v>
      </c>
      <c r="C160" t="s">
        <v>19</v>
      </c>
      <c r="D160">
        <f t="shared" si="38"/>
        <v>113</v>
      </c>
      <c r="E160">
        <f>E159+1</f>
        <v>180</v>
      </c>
      <c r="F160">
        <f t="shared" si="39"/>
        <v>140</v>
      </c>
      <c r="G160">
        <f t="shared" ref="G160:G162" si="41">E160+3</f>
        <v>183</v>
      </c>
      <c r="H160" t="s">
        <v>20</v>
      </c>
      <c r="I160">
        <v>16</v>
      </c>
      <c r="J160">
        <v>1</v>
      </c>
      <c r="K160">
        <v>0</v>
      </c>
      <c r="L160">
        <v>0</v>
      </c>
      <c r="N160" t="s">
        <v>918</v>
      </c>
      <c r="O160" t="s">
        <v>27</v>
      </c>
      <c r="Q160">
        <v>2</v>
      </c>
      <c r="R160" t="b">
        <v>0</v>
      </c>
      <c r="S160" t="s">
        <v>119</v>
      </c>
      <c r="T160">
        <v>0</v>
      </c>
    </row>
    <row r="161" spans="1:20" x14ac:dyDescent="0.25">
      <c r="A161" t="str">
        <f>A159&amp;"_response2"</f>
        <v>policy_checklist2_text11_response2</v>
      </c>
      <c r="B161">
        <v>8</v>
      </c>
      <c r="C161" t="s">
        <v>19</v>
      </c>
      <c r="D161">
        <f t="shared" si="38"/>
        <v>140</v>
      </c>
      <c r="E161">
        <f>E160</f>
        <v>180</v>
      </c>
      <c r="F161">
        <f t="shared" si="39"/>
        <v>169</v>
      </c>
      <c r="G161">
        <f t="shared" si="41"/>
        <v>183</v>
      </c>
      <c r="H161" t="s">
        <v>20</v>
      </c>
      <c r="I161">
        <v>16</v>
      </c>
      <c r="J161">
        <v>1</v>
      </c>
      <c r="K161">
        <v>0</v>
      </c>
      <c r="L161">
        <v>0</v>
      </c>
      <c r="N161" t="s">
        <v>918</v>
      </c>
      <c r="O161" t="s">
        <v>27</v>
      </c>
      <c r="Q161">
        <v>2</v>
      </c>
      <c r="R161" t="b">
        <v>0</v>
      </c>
      <c r="S161" t="s">
        <v>119</v>
      </c>
      <c r="T161">
        <v>0</v>
      </c>
    </row>
    <row r="162" spans="1:20" x14ac:dyDescent="0.25">
      <c r="A162" t="str">
        <f>A159&amp;"_response3"</f>
        <v>policy_checklist2_text11_response3</v>
      </c>
      <c r="B162">
        <v>8</v>
      </c>
      <c r="C162" t="s">
        <v>19</v>
      </c>
      <c r="D162">
        <f t="shared" si="38"/>
        <v>168</v>
      </c>
      <c r="E162">
        <f>E161</f>
        <v>180</v>
      </c>
      <c r="F162">
        <f t="shared" si="39"/>
        <v>194</v>
      </c>
      <c r="G162">
        <f t="shared" si="41"/>
        <v>183</v>
      </c>
      <c r="H162" t="s">
        <v>20</v>
      </c>
      <c r="I162">
        <v>16</v>
      </c>
      <c r="J162">
        <v>1</v>
      </c>
      <c r="K162">
        <v>0</v>
      </c>
      <c r="L162">
        <v>0</v>
      </c>
      <c r="N162" t="s">
        <v>918</v>
      </c>
      <c r="O162" t="s">
        <v>27</v>
      </c>
      <c r="Q162">
        <v>2</v>
      </c>
      <c r="R162" t="b">
        <v>0</v>
      </c>
      <c r="S162" t="s">
        <v>119</v>
      </c>
      <c r="T162">
        <v>0</v>
      </c>
    </row>
    <row r="163" spans="1:20" x14ac:dyDescent="0.25">
      <c r="A163" t="str">
        <f>_xlfn.CONCAT("policy_checklist2_text",1+_xlfn.NUMBERVALUE(SUBSTITUTE(A159,"policy_checklist2_text","")))</f>
        <v>policy_checklist2_text12</v>
      </c>
      <c r="B163">
        <v>8</v>
      </c>
      <c r="C163" t="s">
        <v>19</v>
      </c>
      <c r="D163">
        <f t="shared" si="38"/>
        <v>14</v>
      </c>
      <c r="E163">
        <f>E159+12</f>
        <v>191</v>
      </c>
      <c r="F163">
        <f t="shared" si="39"/>
        <v>112</v>
      </c>
      <c r="G163">
        <f>E163+5</f>
        <v>196</v>
      </c>
      <c r="H163" t="s">
        <v>102</v>
      </c>
      <c r="I163">
        <v>12</v>
      </c>
      <c r="J163">
        <v>0</v>
      </c>
      <c r="K163">
        <v>0</v>
      </c>
      <c r="L163">
        <v>0</v>
      </c>
      <c r="N163" t="s">
        <v>918</v>
      </c>
      <c r="O163" t="s">
        <v>25</v>
      </c>
      <c r="Q163">
        <v>3</v>
      </c>
      <c r="R163" t="b">
        <v>1</v>
      </c>
      <c r="S163" t="s">
        <v>119</v>
      </c>
      <c r="T163">
        <v>0</v>
      </c>
    </row>
    <row r="164" spans="1:20" x14ac:dyDescent="0.25">
      <c r="A164" t="str">
        <f>A163&amp;"_response1"</f>
        <v>policy_checklist2_text12_response1</v>
      </c>
      <c r="B164">
        <v>8</v>
      </c>
      <c r="C164" t="s">
        <v>19</v>
      </c>
      <c r="D164">
        <f t="shared" si="38"/>
        <v>113</v>
      </c>
      <c r="E164">
        <f>E163+1</f>
        <v>192</v>
      </c>
      <c r="F164">
        <f t="shared" si="39"/>
        <v>140</v>
      </c>
      <c r="G164">
        <f t="shared" ref="G164:G166" si="42">E164+3</f>
        <v>195</v>
      </c>
      <c r="H164" t="s">
        <v>20</v>
      </c>
      <c r="I164">
        <v>16</v>
      </c>
      <c r="J164">
        <v>1</v>
      </c>
      <c r="K164">
        <v>0</v>
      </c>
      <c r="L164">
        <v>0</v>
      </c>
      <c r="N164" t="s">
        <v>918</v>
      </c>
      <c r="O164" t="s">
        <v>27</v>
      </c>
      <c r="Q164">
        <v>2</v>
      </c>
      <c r="R164" t="b">
        <v>0</v>
      </c>
      <c r="S164" t="s">
        <v>119</v>
      </c>
      <c r="T164">
        <v>0</v>
      </c>
    </row>
    <row r="165" spans="1:20" x14ac:dyDescent="0.25">
      <c r="A165" t="str">
        <f>A163&amp;"_response2"</f>
        <v>policy_checklist2_text12_response2</v>
      </c>
      <c r="B165">
        <v>8</v>
      </c>
      <c r="C165" t="s">
        <v>19</v>
      </c>
      <c r="D165">
        <f t="shared" si="38"/>
        <v>140</v>
      </c>
      <c r="E165">
        <f>E164</f>
        <v>192</v>
      </c>
      <c r="F165">
        <f t="shared" si="39"/>
        <v>169</v>
      </c>
      <c r="G165">
        <f t="shared" si="42"/>
        <v>195</v>
      </c>
      <c r="H165" t="s">
        <v>20</v>
      </c>
      <c r="I165">
        <v>16</v>
      </c>
      <c r="J165">
        <v>1</v>
      </c>
      <c r="K165">
        <v>0</v>
      </c>
      <c r="L165">
        <v>0</v>
      </c>
      <c r="N165" t="s">
        <v>918</v>
      </c>
      <c r="O165" t="s">
        <v>27</v>
      </c>
      <c r="Q165">
        <v>2</v>
      </c>
      <c r="R165" t="b">
        <v>0</v>
      </c>
      <c r="S165" t="s">
        <v>119</v>
      </c>
      <c r="T165">
        <v>0</v>
      </c>
    </row>
    <row r="166" spans="1:20" x14ac:dyDescent="0.25">
      <c r="A166" t="str">
        <f>A163&amp;"_response3"</f>
        <v>policy_checklist2_text12_response3</v>
      </c>
      <c r="B166">
        <v>8</v>
      </c>
      <c r="C166" t="s">
        <v>19</v>
      </c>
      <c r="D166">
        <f t="shared" si="38"/>
        <v>168</v>
      </c>
      <c r="E166">
        <f>E165</f>
        <v>192</v>
      </c>
      <c r="F166">
        <f t="shared" si="39"/>
        <v>194</v>
      </c>
      <c r="G166">
        <f t="shared" si="42"/>
        <v>195</v>
      </c>
      <c r="H166" t="s">
        <v>20</v>
      </c>
      <c r="I166">
        <v>16</v>
      </c>
      <c r="J166">
        <v>1</v>
      </c>
      <c r="K166">
        <v>0</v>
      </c>
      <c r="L166">
        <v>0</v>
      </c>
      <c r="N166" t="s">
        <v>918</v>
      </c>
      <c r="O166" t="s">
        <v>27</v>
      </c>
      <c r="Q166">
        <v>2</v>
      </c>
      <c r="R166" t="b">
        <v>0</v>
      </c>
      <c r="S166" t="s">
        <v>119</v>
      </c>
      <c r="T166">
        <v>0</v>
      </c>
    </row>
    <row r="167" spans="1:20" x14ac:dyDescent="0.25">
      <c r="A167" t="str">
        <f>_xlfn.CONCAT("policy_checklist2_text",1+_xlfn.NUMBERVALUE(SUBSTITUTE(A163,"policy_checklist2_text","")))</f>
        <v>policy_checklist2_text13</v>
      </c>
      <c r="B167">
        <v>8</v>
      </c>
      <c r="C167" t="s">
        <v>19</v>
      </c>
      <c r="D167">
        <f t="shared" si="38"/>
        <v>14</v>
      </c>
      <c r="E167">
        <f>E163+12</f>
        <v>203</v>
      </c>
      <c r="F167">
        <f t="shared" si="39"/>
        <v>112</v>
      </c>
      <c r="G167">
        <f>E167+5</f>
        <v>208</v>
      </c>
      <c r="H167" t="s">
        <v>102</v>
      </c>
      <c r="I167">
        <v>12</v>
      </c>
      <c r="J167">
        <v>0</v>
      </c>
      <c r="K167">
        <v>0</v>
      </c>
      <c r="L167">
        <v>0</v>
      </c>
      <c r="N167" t="s">
        <v>918</v>
      </c>
      <c r="O167" t="s">
        <v>25</v>
      </c>
      <c r="Q167">
        <v>3</v>
      </c>
      <c r="R167" t="b">
        <v>1</v>
      </c>
      <c r="S167" t="s">
        <v>119</v>
      </c>
      <c r="T167">
        <v>0</v>
      </c>
    </row>
    <row r="168" spans="1:20" x14ac:dyDescent="0.25">
      <c r="A168" t="str">
        <f>A167&amp;"_response1"</f>
        <v>policy_checklist2_text13_response1</v>
      </c>
      <c r="B168">
        <v>8</v>
      </c>
      <c r="C168" t="s">
        <v>19</v>
      </c>
      <c r="D168">
        <f t="shared" si="38"/>
        <v>113</v>
      </c>
      <c r="E168">
        <f>E167+1</f>
        <v>204</v>
      </c>
      <c r="F168">
        <f t="shared" si="39"/>
        <v>140</v>
      </c>
      <c r="G168">
        <f t="shared" ref="G168:G170" si="43">E168+3</f>
        <v>207</v>
      </c>
      <c r="H168" t="s">
        <v>20</v>
      </c>
      <c r="I168">
        <v>16</v>
      </c>
      <c r="J168">
        <v>1</v>
      </c>
      <c r="K168">
        <v>0</v>
      </c>
      <c r="L168">
        <v>0</v>
      </c>
      <c r="N168" t="s">
        <v>918</v>
      </c>
      <c r="O168" t="s">
        <v>27</v>
      </c>
      <c r="Q168">
        <v>2</v>
      </c>
      <c r="R168" t="b">
        <v>0</v>
      </c>
      <c r="S168" t="s">
        <v>119</v>
      </c>
      <c r="T168">
        <v>0</v>
      </c>
    </row>
    <row r="169" spans="1:20" x14ac:dyDescent="0.25">
      <c r="A169" t="str">
        <f>A167&amp;"_response2"</f>
        <v>policy_checklist2_text13_response2</v>
      </c>
      <c r="B169">
        <v>8</v>
      </c>
      <c r="C169" t="s">
        <v>19</v>
      </c>
      <c r="D169">
        <f t="shared" si="38"/>
        <v>140</v>
      </c>
      <c r="E169">
        <f>E168</f>
        <v>204</v>
      </c>
      <c r="F169">
        <f t="shared" si="39"/>
        <v>169</v>
      </c>
      <c r="G169">
        <f t="shared" si="43"/>
        <v>207</v>
      </c>
      <c r="H169" t="s">
        <v>20</v>
      </c>
      <c r="I169">
        <v>16</v>
      </c>
      <c r="J169">
        <v>1</v>
      </c>
      <c r="K169">
        <v>0</v>
      </c>
      <c r="L169">
        <v>0</v>
      </c>
      <c r="N169" t="s">
        <v>918</v>
      </c>
      <c r="O169" t="s">
        <v>27</v>
      </c>
      <c r="Q169">
        <v>2</v>
      </c>
      <c r="R169" t="b">
        <v>0</v>
      </c>
      <c r="S169" t="s">
        <v>119</v>
      </c>
      <c r="T169">
        <v>0</v>
      </c>
    </row>
    <row r="170" spans="1:20" x14ac:dyDescent="0.25">
      <c r="A170" t="str">
        <f>A167&amp;"_response3"</f>
        <v>policy_checklist2_text13_response3</v>
      </c>
      <c r="B170">
        <v>8</v>
      </c>
      <c r="C170" t="s">
        <v>19</v>
      </c>
      <c r="D170">
        <f t="shared" si="38"/>
        <v>168</v>
      </c>
      <c r="E170">
        <f>E169</f>
        <v>204</v>
      </c>
      <c r="F170">
        <f t="shared" si="39"/>
        <v>194</v>
      </c>
      <c r="G170">
        <f t="shared" si="43"/>
        <v>207</v>
      </c>
      <c r="H170" t="s">
        <v>20</v>
      </c>
      <c r="I170">
        <v>16</v>
      </c>
      <c r="J170">
        <v>1</v>
      </c>
      <c r="K170">
        <v>0</v>
      </c>
      <c r="L170">
        <v>0</v>
      </c>
      <c r="N170" t="s">
        <v>918</v>
      </c>
      <c r="O170" t="s">
        <v>27</v>
      </c>
      <c r="Q170">
        <v>2</v>
      </c>
      <c r="R170" t="b">
        <v>0</v>
      </c>
      <c r="S170" t="s">
        <v>119</v>
      </c>
      <c r="T170">
        <v>0</v>
      </c>
    </row>
    <row r="171" spans="1:20" x14ac:dyDescent="0.25">
      <c r="A171" t="str">
        <f>_xlfn.CONCAT("policy_checklist2_text",1+_xlfn.NUMBERVALUE(SUBSTITUTE(A167,"policy_checklist2_text","")))</f>
        <v>policy_checklist2_text14</v>
      </c>
      <c r="B171">
        <v>8</v>
      </c>
      <c r="C171" t="s">
        <v>19</v>
      </c>
      <c r="D171">
        <f t="shared" si="38"/>
        <v>14</v>
      </c>
      <c r="E171">
        <f>E167+12</f>
        <v>215</v>
      </c>
      <c r="F171">
        <f t="shared" si="39"/>
        <v>112</v>
      </c>
      <c r="G171">
        <f>E171+5</f>
        <v>220</v>
      </c>
      <c r="H171" t="s">
        <v>102</v>
      </c>
      <c r="I171">
        <v>12</v>
      </c>
      <c r="J171">
        <v>0</v>
      </c>
      <c r="K171">
        <v>0</v>
      </c>
      <c r="L171">
        <v>0</v>
      </c>
      <c r="N171" t="s">
        <v>918</v>
      </c>
      <c r="O171" t="s">
        <v>25</v>
      </c>
      <c r="Q171">
        <v>3</v>
      </c>
      <c r="R171" t="b">
        <v>1</v>
      </c>
      <c r="S171" t="s">
        <v>119</v>
      </c>
      <c r="T171">
        <v>0</v>
      </c>
    </row>
    <row r="172" spans="1:20" x14ac:dyDescent="0.25">
      <c r="A172" t="str">
        <f>A171&amp;"_response1"</f>
        <v>policy_checklist2_text14_response1</v>
      </c>
      <c r="B172">
        <v>8</v>
      </c>
      <c r="C172" t="s">
        <v>19</v>
      </c>
      <c r="D172">
        <f t="shared" si="38"/>
        <v>113</v>
      </c>
      <c r="E172">
        <f>E171+1</f>
        <v>216</v>
      </c>
      <c r="F172">
        <f t="shared" si="39"/>
        <v>140</v>
      </c>
      <c r="G172">
        <f t="shared" ref="G172:G174" si="44">E172+3</f>
        <v>219</v>
      </c>
      <c r="H172" t="s">
        <v>20</v>
      </c>
      <c r="I172">
        <v>16</v>
      </c>
      <c r="J172">
        <v>1</v>
      </c>
      <c r="K172">
        <v>0</v>
      </c>
      <c r="L172">
        <v>0</v>
      </c>
      <c r="N172" t="s">
        <v>918</v>
      </c>
      <c r="O172" t="s">
        <v>27</v>
      </c>
      <c r="Q172">
        <v>2</v>
      </c>
      <c r="R172" t="b">
        <v>0</v>
      </c>
      <c r="S172" t="s">
        <v>119</v>
      </c>
      <c r="T172">
        <v>0</v>
      </c>
    </row>
    <row r="173" spans="1:20" x14ac:dyDescent="0.25">
      <c r="A173" t="str">
        <f>A171&amp;"_response2"</f>
        <v>policy_checklist2_text14_response2</v>
      </c>
      <c r="B173">
        <v>8</v>
      </c>
      <c r="C173" t="s">
        <v>19</v>
      </c>
      <c r="D173">
        <f t="shared" si="38"/>
        <v>140</v>
      </c>
      <c r="E173">
        <f>E172</f>
        <v>216</v>
      </c>
      <c r="F173">
        <f t="shared" si="39"/>
        <v>169</v>
      </c>
      <c r="G173">
        <f t="shared" si="44"/>
        <v>219</v>
      </c>
      <c r="H173" t="s">
        <v>20</v>
      </c>
      <c r="I173">
        <v>16</v>
      </c>
      <c r="J173">
        <v>1</v>
      </c>
      <c r="K173">
        <v>0</v>
      </c>
      <c r="L173">
        <v>0</v>
      </c>
      <c r="N173" t="s">
        <v>918</v>
      </c>
      <c r="O173" t="s">
        <v>27</v>
      </c>
      <c r="Q173">
        <v>2</v>
      </c>
      <c r="R173" t="b">
        <v>0</v>
      </c>
      <c r="S173" t="s">
        <v>119</v>
      </c>
      <c r="T173">
        <v>0</v>
      </c>
    </row>
    <row r="174" spans="1:20" x14ac:dyDescent="0.25">
      <c r="A174" t="str">
        <f>A171&amp;"_response3"</f>
        <v>policy_checklist2_text14_response3</v>
      </c>
      <c r="B174">
        <v>8</v>
      </c>
      <c r="C174" t="s">
        <v>19</v>
      </c>
      <c r="D174">
        <f t="shared" si="38"/>
        <v>168</v>
      </c>
      <c r="E174">
        <f>E173</f>
        <v>216</v>
      </c>
      <c r="F174">
        <f t="shared" si="39"/>
        <v>194</v>
      </c>
      <c r="G174">
        <f t="shared" si="44"/>
        <v>219</v>
      </c>
      <c r="H174" t="s">
        <v>20</v>
      </c>
      <c r="I174">
        <v>16</v>
      </c>
      <c r="J174">
        <v>1</v>
      </c>
      <c r="K174">
        <v>0</v>
      </c>
      <c r="L174">
        <v>0</v>
      </c>
      <c r="N174" t="s">
        <v>918</v>
      </c>
      <c r="O174" t="s">
        <v>27</v>
      </c>
      <c r="Q174">
        <v>2</v>
      </c>
      <c r="R174" t="b">
        <v>0</v>
      </c>
      <c r="S174" t="s">
        <v>119</v>
      </c>
      <c r="T174">
        <v>0</v>
      </c>
    </row>
    <row r="175" spans="1:20" x14ac:dyDescent="0.25">
      <c r="A175" t="str">
        <f>_xlfn.CONCAT("policy_checklist2_text",1+_xlfn.NUMBERVALUE(SUBSTITUTE(A171,"policy_checklist2_text","")))</f>
        <v>policy_checklist2_text15</v>
      </c>
      <c r="B175">
        <v>8</v>
      </c>
      <c r="C175" t="s">
        <v>19</v>
      </c>
      <c r="D175">
        <f t="shared" si="38"/>
        <v>14</v>
      </c>
      <c r="E175">
        <f>E171+12</f>
        <v>227</v>
      </c>
      <c r="F175">
        <f t="shared" si="39"/>
        <v>112</v>
      </c>
      <c r="G175">
        <f>E175+5</f>
        <v>232</v>
      </c>
      <c r="H175" t="s">
        <v>102</v>
      </c>
      <c r="I175">
        <v>12</v>
      </c>
      <c r="J175">
        <v>0</v>
      </c>
      <c r="K175">
        <v>0</v>
      </c>
      <c r="L175">
        <v>0</v>
      </c>
      <c r="N175" t="s">
        <v>918</v>
      </c>
      <c r="O175" t="s">
        <v>25</v>
      </c>
      <c r="Q175">
        <v>3</v>
      </c>
      <c r="R175" t="b">
        <v>1</v>
      </c>
      <c r="S175" t="s">
        <v>119</v>
      </c>
      <c r="T175">
        <v>0</v>
      </c>
    </row>
    <row r="176" spans="1:20" x14ac:dyDescent="0.25">
      <c r="A176" t="str">
        <f>A175&amp;"_response1"</f>
        <v>policy_checklist2_text15_response1</v>
      </c>
      <c r="B176">
        <v>8</v>
      </c>
      <c r="C176" t="s">
        <v>19</v>
      </c>
      <c r="D176">
        <f t="shared" si="38"/>
        <v>113</v>
      </c>
      <c r="E176">
        <f>E175+1</f>
        <v>228</v>
      </c>
      <c r="F176">
        <f t="shared" si="39"/>
        <v>140</v>
      </c>
      <c r="G176">
        <f t="shared" ref="G176:G178" si="45">E176+3</f>
        <v>231</v>
      </c>
      <c r="H176" t="s">
        <v>20</v>
      </c>
      <c r="I176">
        <v>16</v>
      </c>
      <c r="J176">
        <v>1</v>
      </c>
      <c r="K176">
        <v>0</v>
      </c>
      <c r="L176">
        <v>0</v>
      </c>
      <c r="N176" t="s">
        <v>918</v>
      </c>
      <c r="O176" t="s">
        <v>27</v>
      </c>
      <c r="Q176">
        <v>2</v>
      </c>
      <c r="R176" t="b">
        <v>0</v>
      </c>
      <c r="S176" t="s">
        <v>119</v>
      </c>
      <c r="T176">
        <v>0</v>
      </c>
    </row>
    <row r="177" spans="1:20" x14ac:dyDescent="0.25">
      <c r="A177" t="str">
        <f>A175&amp;"_response2"</f>
        <v>policy_checklist2_text15_response2</v>
      </c>
      <c r="B177">
        <v>8</v>
      </c>
      <c r="C177" t="s">
        <v>19</v>
      </c>
      <c r="D177">
        <f t="shared" si="38"/>
        <v>140</v>
      </c>
      <c r="E177">
        <f>E176</f>
        <v>228</v>
      </c>
      <c r="F177">
        <f t="shared" si="39"/>
        <v>169</v>
      </c>
      <c r="G177">
        <f t="shared" si="45"/>
        <v>231</v>
      </c>
      <c r="H177" t="s">
        <v>20</v>
      </c>
      <c r="I177">
        <v>16</v>
      </c>
      <c r="J177">
        <v>1</v>
      </c>
      <c r="K177">
        <v>0</v>
      </c>
      <c r="L177">
        <v>0</v>
      </c>
      <c r="N177" t="s">
        <v>918</v>
      </c>
      <c r="O177" t="s">
        <v>27</v>
      </c>
      <c r="Q177">
        <v>2</v>
      </c>
      <c r="R177" t="b">
        <v>0</v>
      </c>
      <c r="S177" t="s">
        <v>119</v>
      </c>
      <c r="T177">
        <v>0</v>
      </c>
    </row>
    <row r="178" spans="1:20" x14ac:dyDescent="0.25">
      <c r="A178" t="str">
        <f>A175&amp;"_response3"</f>
        <v>policy_checklist2_text15_response3</v>
      </c>
      <c r="B178">
        <v>8</v>
      </c>
      <c r="C178" t="s">
        <v>19</v>
      </c>
      <c r="D178">
        <f t="shared" si="38"/>
        <v>168</v>
      </c>
      <c r="E178">
        <f>E177</f>
        <v>228</v>
      </c>
      <c r="F178">
        <f t="shared" si="39"/>
        <v>194</v>
      </c>
      <c r="G178">
        <f t="shared" si="45"/>
        <v>231</v>
      </c>
      <c r="H178" t="s">
        <v>20</v>
      </c>
      <c r="I178">
        <v>16</v>
      </c>
      <c r="J178">
        <v>1</v>
      </c>
      <c r="K178">
        <v>0</v>
      </c>
      <c r="L178">
        <v>0</v>
      </c>
      <c r="N178" t="s">
        <v>918</v>
      </c>
      <c r="O178" t="s">
        <v>27</v>
      </c>
      <c r="Q178">
        <v>2</v>
      </c>
      <c r="R178" t="b">
        <v>0</v>
      </c>
      <c r="S178" t="s">
        <v>119</v>
      </c>
      <c r="T178">
        <v>0</v>
      </c>
    </row>
    <row r="179" spans="1:20" x14ac:dyDescent="0.25">
      <c r="A179" t="str">
        <f>_xlfn.CONCAT("policy_checklist2_text",1+_xlfn.NUMBERVALUE(SUBSTITUTE(A175,"policy_checklist2_text","")))</f>
        <v>policy_checklist2_text16</v>
      </c>
      <c r="B179">
        <v>8</v>
      </c>
      <c r="C179" t="s">
        <v>19</v>
      </c>
      <c r="D179">
        <f t="shared" si="38"/>
        <v>14</v>
      </c>
      <c r="E179">
        <f>E175+12</f>
        <v>239</v>
      </c>
      <c r="F179">
        <f t="shared" si="39"/>
        <v>112</v>
      </c>
      <c r="G179">
        <f>E179+5</f>
        <v>244</v>
      </c>
      <c r="H179" t="s">
        <v>102</v>
      </c>
      <c r="I179">
        <v>12</v>
      </c>
      <c r="J179">
        <v>0</v>
      </c>
      <c r="K179">
        <v>0</v>
      </c>
      <c r="L179">
        <v>0</v>
      </c>
      <c r="N179" t="s">
        <v>918</v>
      </c>
      <c r="O179" t="s">
        <v>25</v>
      </c>
      <c r="Q179">
        <v>3</v>
      </c>
      <c r="R179" t="b">
        <v>1</v>
      </c>
      <c r="S179" t="s">
        <v>119</v>
      </c>
      <c r="T179">
        <v>0</v>
      </c>
    </row>
    <row r="180" spans="1:20" x14ac:dyDescent="0.25">
      <c r="A180" t="str">
        <f>A179&amp;"_response1"</f>
        <v>policy_checklist2_text16_response1</v>
      </c>
      <c r="B180">
        <v>8</v>
      </c>
      <c r="C180" t="s">
        <v>19</v>
      </c>
      <c r="D180">
        <f t="shared" si="38"/>
        <v>113</v>
      </c>
      <c r="E180">
        <f>E179+1</f>
        <v>240</v>
      </c>
      <c r="F180">
        <f t="shared" si="39"/>
        <v>140</v>
      </c>
      <c r="G180">
        <f t="shared" ref="G180:G182" si="46">E180+3</f>
        <v>243</v>
      </c>
      <c r="H180" t="s">
        <v>20</v>
      </c>
      <c r="I180">
        <v>16</v>
      </c>
      <c r="J180">
        <v>1</v>
      </c>
      <c r="K180">
        <v>0</v>
      </c>
      <c r="L180">
        <v>0</v>
      </c>
      <c r="N180" t="s">
        <v>918</v>
      </c>
      <c r="O180" t="s">
        <v>27</v>
      </c>
      <c r="Q180">
        <v>2</v>
      </c>
      <c r="R180" t="b">
        <v>0</v>
      </c>
      <c r="S180" t="s">
        <v>119</v>
      </c>
      <c r="T180">
        <v>0</v>
      </c>
    </row>
    <row r="181" spans="1:20" x14ac:dyDescent="0.25">
      <c r="A181" t="str">
        <f>A179&amp;"_response2"</f>
        <v>policy_checklist2_text16_response2</v>
      </c>
      <c r="B181">
        <v>8</v>
      </c>
      <c r="C181" t="s">
        <v>19</v>
      </c>
      <c r="D181">
        <f t="shared" si="38"/>
        <v>140</v>
      </c>
      <c r="E181">
        <f>E180</f>
        <v>240</v>
      </c>
      <c r="F181">
        <f t="shared" si="39"/>
        <v>169</v>
      </c>
      <c r="G181">
        <f t="shared" si="46"/>
        <v>243</v>
      </c>
      <c r="H181" t="s">
        <v>20</v>
      </c>
      <c r="I181">
        <v>16</v>
      </c>
      <c r="J181">
        <v>1</v>
      </c>
      <c r="K181">
        <v>0</v>
      </c>
      <c r="L181">
        <v>0</v>
      </c>
      <c r="N181" t="s">
        <v>918</v>
      </c>
      <c r="O181" t="s">
        <v>27</v>
      </c>
      <c r="Q181">
        <v>2</v>
      </c>
      <c r="R181" t="b">
        <v>0</v>
      </c>
      <c r="S181" t="s">
        <v>119</v>
      </c>
      <c r="T181">
        <v>0</v>
      </c>
    </row>
    <row r="182" spans="1:20" x14ac:dyDescent="0.25">
      <c r="A182" t="str">
        <f>A179&amp;"_response3"</f>
        <v>policy_checklist2_text16_response3</v>
      </c>
      <c r="B182">
        <v>8</v>
      </c>
      <c r="C182" t="s">
        <v>19</v>
      </c>
      <c r="D182">
        <f t="shared" si="38"/>
        <v>168</v>
      </c>
      <c r="E182">
        <f>E181</f>
        <v>240</v>
      </c>
      <c r="F182">
        <f t="shared" si="39"/>
        <v>194</v>
      </c>
      <c r="G182">
        <f t="shared" si="46"/>
        <v>243</v>
      </c>
      <c r="H182" t="s">
        <v>20</v>
      </c>
      <c r="I182">
        <v>16</v>
      </c>
      <c r="J182">
        <v>1</v>
      </c>
      <c r="K182">
        <v>0</v>
      </c>
      <c r="L182">
        <v>0</v>
      </c>
      <c r="N182" t="s">
        <v>918</v>
      </c>
      <c r="O182" t="s">
        <v>27</v>
      </c>
      <c r="Q182">
        <v>2</v>
      </c>
      <c r="R182" t="b">
        <v>0</v>
      </c>
      <c r="S182" t="s">
        <v>119</v>
      </c>
      <c r="T182">
        <v>0</v>
      </c>
    </row>
    <row r="183" spans="1:20" x14ac:dyDescent="0.25">
      <c r="A183" t="str">
        <f>_xlfn.CONCAT("policy_checklist2_text",1+_xlfn.NUMBERVALUE(SUBSTITUTE(A179,"policy_checklist2_text","")))</f>
        <v>policy_checklist2_text17</v>
      </c>
      <c r="B183">
        <v>8</v>
      </c>
      <c r="C183" t="s">
        <v>19</v>
      </c>
      <c r="D183">
        <f t="shared" ref="D183" si="47">D179</f>
        <v>14</v>
      </c>
      <c r="E183">
        <f>E179+12</f>
        <v>251</v>
      </c>
      <c r="F183">
        <f t="shared" si="39"/>
        <v>112</v>
      </c>
      <c r="G183">
        <f>E183+5</f>
        <v>256</v>
      </c>
      <c r="H183" t="s">
        <v>102</v>
      </c>
      <c r="I183">
        <v>12</v>
      </c>
      <c r="J183">
        <v>0</v>
      </c>
      <c r="K183">
        <v>0</v>
      </c>
      <c r="L183">
        <v>0</v>
      </c>
      <c r="N183" t="s">
        <v>918</v>
      </c>
      <c r="O183" t="s">
        <v>25</v>
      </c>
      <c r="Q183">
        <v>3</v>
      </c>
      <c r="R183" t="b">
        <v>1</v>
      </c>
      <c r="S183" t="s">
        <v>119</v>
      </c>
      <c r="T183">
        <v>0</v>
      </c>
    </row>
    <row r="184" spans="1:20" x14ac:dyDescent="0.25">
      <c r="A184" t="str">
        <f>A183&amp;"_response1"</f>
        <v>policy_checklist2_text17_response1</v>
      </c>
      <c r="B184">
        <v>8</v>
      </c>
      <c r="C184" t="s">
        <v>19</v>
      </c>
      <c r="D184">
        <f>D180</f>
        <v>113</v>
      </c>
      <c r="E184">
        <f>E183+1</f>
        <v>252</v>
      </c>
      <c r="F184">
        <f t="shared" si="39"/>
        <v>140</v>
      </c>
      <c r="G184">
        <f t="shared" ref="G184:G186" si="48">E184+3</f>
        <v>255</v>
      </c>
      <c r="H184" t="s">
        <v>20</v>
      </c>
      <c r="I184">
        <v>16</v>
      </c>
      <c r="J184">
        <v>1</v>
      </c>
      <c r="K184">
        <v>0</v>
      </c>
      <c r="L184">
        <v>0</v>
      </c>
      <c r="N184" t="s">
        <v>918</v>
      </c>
      <c r="O184" t="s">
        <v>27</v>
      </c>
      <c r="Q184">
        <v>2</v>
      </c>
      <c r="R184" t="b">
        <v>0</v>
      </c>
      <c r="S184" t="s">
        <v>119</v>
      </c>
      <c r="T184">
        <v>0</v>
      </c>
    </row>
    <row r="185" spans="1:20" x14ac:dyDescent="0.25">
      <c r="A185" t="str">
        <f>A183&amp;"_response2"</f>
        <v>policy_checklist2_text17_response2</v>
      </c>
      <c r="B185">
        <v>8</v>
      </c>
      <c r="C185" t="s">
        <v>19</v>
      </c>
      <c r="D185">
        <f>D181</f>
        <v>140</v>
      </c>
      <c r="E185">
        <f>E184</f>
        <v>252</v>
      </c>
      <c r="F185">
        <f t="shared" si="39"/>
        <v>169</v>
      </c>
      <c r="G185">
        <f t="shared" si="48"/>
        <v>255</v>
      </c>
      <c r="H185" t="s">
        <v>20</v>
      </c>
      <c r="I185">
        <v>16</v>
      </c>
      <c r="J185">
        <v>1</v>
      </c>
      <c r="K185">
        <v>0</v>
      </c>
      <c r="L185">
        <v>0</v>
      </c>
      <c r="N185" t="s">
        <v>918</v>
      </c>
      <c r="O185" t="s">
        <v>27</v>
      </c>
      <c r="Q185">
        <v>2</v>
      </c>
      <c r="R185" t="b">
        <v>0</v>
      </c>
      <c r="S185" t="s">
        <v>119</v>
      </c>
      <c r="T185">
        <v>0</v>
      </c>
    </row>
    <row r="186" spans="1:20" x14ac:dyDescent="0.25">
      <c r="A186" t="str">
        <f>A183&amp;"_response3"</f>
        <v>policy_checklist2_text17_response3</v>
      </c>
      <c r="B186">
        <v>8</v>
      </c>
      <c r="C186" t="s">
        <v>19</v>
      </c>
      <c r="D186">
        <f>D182</f>
        <v>168</v>
      </c>
      <c r="E186">
        <f>E185</f>
        <v>252</v>
      </c>
      <c r="F186">
        <f t="shared" si="39"/>
        <v>194</v>
      </c>
      <c r="G186">
        <f t="shared" si="48"/>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f>E187+5</f>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f>INT(E188+(F188-D188)/2078*1889)</f>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f>G188+4</f>
        <v>218</v>
      </c>
      <c r="F189">
        <f>$F$107</f>
        <v>196</v>
      </c>
      <c r="G189">
        <f>E189+8</f>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f>D189</f>
        <v>14</v>
      </c>
      <c r="E190">
        <v>275</v>
      </c>
      <c r="F190">
        <f>F189+1</f>
        <v>197</v>
      </c>
      <c r="G190">
        <f>E190+5</f>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f>D189</f>
        <v>14</v>
      </c>
      <c r="E191">
        <f>G193+8</f>
        <v>265</v>
      </c>
      <c r="F191">
        <v>208</v>
      </c>
      <c r="G191">
        <f>E191+8</f>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f>E192+5</f>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f>INT(E193+(F193-D193)/80*100)</f>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f>D194+91</f>
        <v>101</v>
      </c>
      <c r="G194">
        <f>E194+70</f>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f>E201-4</f>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f>E196+5</f>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f>$D$196</f>
        <v>14</v>
      </c>
      <c r="E197">
        <f>G196+8</f>
        <v>33</v>
      </c>
      <c r="F197">
        <v>196</v>
      </c>
      <c r="G197">
        <f>E197+5</f>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f>E198+(F198-D198)</f>
        <v>265</v>
      </c>
      <c r="I198">
        <v>0</v>
      </c>
      <c r="J198">
        <v>0</v>
      </c>
      <c r="K198">
        <v>0</v>
      </c>
      <c r="L198">
        <v>0</v>
      </c>
      <c r="N198" t="s">
        <v>21</v>
      </c>
      <c r="O198" t="s">
        <v>25</v>
      </c>
      <c r="Q198">
        <v>0</v>
      </c>
      <c r="R198" t="b">
        <v>0</v>
      </c>
      <c r="S198" t="s">
        <v>119</v>
      </c>
      <c r="T198">
        <v>0</v>
      </c>
    </row>
    <row r="199" spans="1:20" x14ac:dyDescent="0.25">
      <c r="A199" t="s">
        <v>891</v>
      </c>
      <c r="B199">
        <v>11</v>
      </c>
      <c r="C199" t="s">
        <v>19</v>
      </c>
      <c r="D199">
        <f>D198</f>
        <v>30</v>
      </c>
      <c r="E199">
        <f>E198</f>
        <v>115</v>
      </c>
      <c r="F199">
        <f>D199+100</f>
        <v>130</v>
      </c>
      <c r="G199">
        <f>G198</f>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f>D198</f>
        <v>30</v>
      </c>
      <c r="E200">
        <f>G198</f>
        <v>265</v>
      </c>
      <c r="F200">
        <f>F198</f>
        <v>180</v>
      </c>
      <c r="G200">
        <f>E200+3</f>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f>$D$196</f>
        <v>14</v>
      </c>
      <c r="E201">
        <v>20</v>
      </c>
      <c r="F201">
        <v>180</v>
      </c>
      <c r="G201">
        <f>E201+5</f>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f>D203-11</f>
        <v>29</v>
      </c>
      <c r="E202">
        <f>G201+8</f>
        <v>33</v>
      </c>
      <c r="F202">
        <v>196</v>
      </c>
      <c r="G202">
        <f>E202+5</f>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f>F204</f>
        <v>40</v>
      </c>
      <c r="E203">
        <f>G202+2</f>
        <v>40</v>
      </c>
      <c r="F203">
        <v>104</v>
      </c>
      <c r="G203">
        <f>INT(E203+(F203-D203)/296*192)</f>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f t="shared" ref="D204:D209" si="49">$D$196</f>
        <v>14</v>
      </c>
      <c r="E204">
        <f>E203-2</f>
        <v>38</v>
      </c>
      <c r="F204">
        <v>40</v>
      </c>
      <c r="G204">
        <f t="shared" ref="G204:G209" si="50">E204+5</f>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f t="shared" si="49"/>
        <v>14</v>
      </c>
      <c r="E205">
        <f>G204+3</f>
        <v>46</v>
      </c>
      <c r="F205">
        <f>$F$204</f>
        <v>40</v>
      </c>
      <c r="G205">
        <f t="shared" si="50"/>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f t="shared" si="49"/>
        <v>14</v>
      </c>
      <c r="E206">
        <f>G205+3</f>
        <v>54</v>
      </c>
      <c r="F206">
        <f t="shared" ref="F206:F209" si="51">$F$204</f>
        <v>40</v>
      </c>
      <c r="G206">
        <f t="shared" si="50"/>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f t="shared" si="49"/>
        <v>14</v>
      </c>
      <c r="E207">
        <f>G206+3</f>
        <v>62</v>
      </c>
      <c r="F207">
        <f t="shared" si="51"/>
        <v>40</v>
      </c>
      <c r="G207">
        <f t="shared" si="50"/>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f t="shared" si="49"/>
        <v>14</v>
      </c>
      <c r="E208">
        <f>G207+3</f>
        <v>70</v>
      </c>
      <c r="F208">
        <f t="shared" si="51"/>
        <v>40</v>
      </c>
      <c r="G208">
        <f t="shared" si="50"/>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f t="shared" si="49"/>
        <v>14</v>
      </c>
      <c r="E209">
        <f>G208+3</f>
        <v>78</v>
      </c>
      <c r="F209">
        <f t="shared" si="51"/>
        <v>40</v>
      </c>
      <c r="G209">
        <f t="shared" si="50"/>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f>F203+5</f>
        <v>109</v>
      </c>
      <c r="E210">
        <f>E203+5</f>
        <v>45</v>
      </c>
      <c r="F210">
        <v>196</v>
      </c>
      <c r="G210">
        <f>E210+3</f>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f>D203+16</f>
        <v>56</v>
      </c>
      <c r="E211">
        <f>G203+1</f>
        <v>82</v>
      </c>
      <c r="F211">
        <v>196</v>
      </c>
      <c r="G211">
        <f>E211+8</f>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f>G211+10</f>
        <v>100</v>
      </c>
      <c r="F212">
        <v>170</v>
      </c>
      <c r="G212">
        <f>E212</f>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f>INT(E213+(F213-D213)/11*10)</f>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f>G211+20</f>
        <v>110</v>
      </c>
      <c r="F214">
        <v>196</v>
      </c>
      <c r="G214">
        <f>E214+8</f>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f>$D$196</f>
        <v>14</v>
      </c>
      <c r="E215">
        <v>20</v>
      </c>
      <c r="F215">
        <v>180</v>
      </c>
      <c r="G215">
        <f>E215+5</f>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f>D217-11</f>
        <v>29</v>
      </c>
      <c r="E216">
        <f>G215+8</f>
        <v>33</v>
      </c>
      <c r="F216">
        <v>196</v>
      </c>
      <c r="G216">
        <f>E216+5</f>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f>F218</f>
        <v>40</v>
      </c>
      <c r="E217">
        <f>G216+2</f>
        <v>40</v>
      </c>
      <c r="F217">
        <v>104</v>
      </c>
      <c r="G217">
        <f>INT(E217+(F217-D217)/296*192)</f>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f t="shared" ref="D218:D223" si="52">$D$196</f>
        <v>14</v>
      </c>
      <c r="E218">
        <f>E217-2</f>
        <v>38</v>
      </c>
      <c r="F218">
        <v>40</v>
      </c>
      <c r="G218">
        <f t="shared" ref="G218:G223" si="53">E218+5</f>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f t="shared" si="52"/>
        <v>14</v>
      </c>
      <c r="E219">
        <f>G218+3</f>
        <v>46</v>
      </c>
      <c r="F219">
        <f>$F$204</f>
        <v>40</v>
      </c>
      <c r="G219">
        <f t="shared" si="53"/>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f t="shared" si="52"/>
        <v>14</v>
      </c>
      <c r="E220">
        <f>G219+3</f>
        <v>54</v>
      </c>
      <c r="F220">
        <f t="shared" ref="F220:F223" si="54">$F$204</f>
        <v>40</v>
      </c>
      <c r="G220">
        <f t="shared" si="53"/>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f t="shared" si="52"/>
        <v>14</v>
      </c>
      <c r="E221">
        <f>G220+3</f>
        <v>62</v>
      </c>
      <c r="F221">
        <f t="shared" si="54"/>
        <v>40</v>
      </c>
      <c r="G221">
        <f t="shared" si="53"/>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f t="shared" si="52"/>
        <v>14</v>
      </c>
      <c r="E222">
        <f>G221+3</f>
        <v>70</v>
      </c>
      <c r="F222">
        <f t="shared" si="54"/>
        <v>40</v>
      </c>
      <c r="G222">
        <f t="shared" si="53"/>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f t="shared" si="52"/>
        <v>14</v>
      </c>
      <c r="E223">
        <f>G222+3</f>
        <v>78</v>
      </c>
      <c r="F223">
        <f t="shared" si="54"/>
        <v>40</v>
      </c>
      <c r="G223">
        <f t="shared" si="5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f>F217+5</f>
        <v>109</v>
      </c>
      <c r="E224">
        <f>E217+5</f>
        <v>45</v>
      </c>
      <c r="F224">
        <v>196</v>
      </c>
      <c r="G224">
        <f>E224+3</f>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f>D217+16</f>
        <v>56</v>
      </c>
      <c r="E225">
        <f>G217+1</f>
        <v>82</v>
      </c>
      <c r="F225">
        <v>196</v>
      </c>
      <c r="G225">
        <f>E225+8</f>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f>G225+10</f>
        <v>100</v>
      </c>
      <c r="F226">
        <v>170</v>
      </c>
      <c r="G226">
        <f>E226</f>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f>INT(E227+(F227-D227)/11*10)</f>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f>G225+20</f>
        <v>110</v>
      </c>
      <c r="F228">
        <v>196</v>
      </c>
      <c r="G228">
        <f>E228+8</f>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f>E229+5</f>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f>$D$229</f>
        <v>14</v>
      </c>
      <c r="E230">
        <f>G229+8</f>
        <v>33</v>
      </c>
      <c r="F230">
        <v>196</v>
      </c>
      <c r="G230">
        <f>E230+5</f>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f>G252+15</f>
        <v>204</v>
      </c>
      <c r="I231">
        <v>0</v>
      </c>
      <c r="J231">
        <v>1</v>
      </c>
      <c r="K231">
        <v>0</v>
      </c>
      <c r="L231">
        <v>0</v>
      </c>
      <c r="M231" t="str">
        <f>$N$76</f>
        <v>d0d8dd</v>
      </c>
      <c r="N231" t="s">
        <v>918</v>
      </c>
      <c r="O231" t="s">
        <v>25</v>
      </c>
      <c r="Q231">
        <v>1</v>
      </c>
      <c r="R231" t="b">
        <v>0</v>
      </c>
      <c r="S231" t="s">
        <v>119</v>
      </c>
      <c r="T231">
        <v>0</v>
      </c>
    </row>
    <row r="232" spans="1:20" x14ac:dyDescent="0.25">
      <c r="A232" t="s">
        <v>773</v>
      </c>
      <c r="B232">
        <v>-999</v>
      </c>
      <c r="C232" t="s">
        <v>19</v>
      </c>
      <c r="D232">
        <v>14</v>
      </c>
      <c r="E232">
        <f>E231+5</f>
        <v>125</v>
      </c>
      <c r="F232">
        <v>196</v>
      </c>
      <c r="G232">
        <f>E232+3</f>
        <v>128</v>
      </c>
      <c r="H232" t="s">
        <v>102</v>
      </c>
      <c r="I232">
        <v>12</v>
      </c>
      <c r="J232">
        <v>1</v>
      </c>
      <c r="K232">
        <v>0</v>
      </c>
      <c r="L232">
        <v>0</v>
      </c>
      <c r="N232" t="str">
        <f t="shared" ref="N232:N252" si="55">$N$76</f>
        <v>d0d8dd</v>
      </c>
      <c r="O232" t="s">
        <v>25</v>
      </c>
      <c r="Q232">
        <v>3</v>
      </c>
      <c r="R232" t="b">
        <v>0</v>
      </c>
      <c r="S232" t="s">
        <v>119</v>
      </c>
      <c r="T232">
        <v>0</v>
      </c>
    </row>
    <row r="233" spans="1:20" x14ac:dyDescent="0.25">
      <c r="A233" t="s">
        <v>774</v>
      </c>
      <c r="B233">
        <v>14</v>
      </c>
      <c r="C233" t="s">
        <v>19</v>
      </c>
      <c r="D233">
        <f t="shared" ref="D233" si="56">D236-1</f>
        <v>113</v>
      </c>
      <c r="E233">
        <f>E231+2</f>
        <v>122</v>
      </c>
      <c r="F233">
        <f>D237-1</f>
        <v>140</v>
      </c>
      <c r="G233">
        <f>E233+5</f>
        <v>127</v>
      </c>
      <c r="H233" t="s">
        <v>102</v>
      </c>
      <c r="I233">
        <v>10</v>
      </c>
      <c r="J233">
        <v>1</v>
      </c>
      <c r="K233">
        <v>0</v>
      </c>
      <c r="L233">
        <v>0</v>
      </c>
      <c r="N233" t="str">
        <f t="shared" si="55"/>
        <v>d0d8dd</v>
      </c>
      <c r="O233" t="s">
        <v>27</v>
      </c>
      <c r="Q233">
        <v>3</v>
      </c>
      <c r="R233" t="b">
        <v>1</v>
      </c>
      <c r="S233" t="s">
        <v>119</v>
      </c>
      <c r="T233">
        <v>0</v>
      </c>
    </row>
    <row r="234" spans="1:20" x14ac:dyDescent="0.25">
      <c r="A234" t="s">
        <v>775</v>
      </c>
      <c r="B234">
        <v>14</v>
      </c>
      <c r="C234" t="s">
        <v>19</v>
      </c>
      <c r="D234">
        <f>D237-1</f>
        <v>140</v>
      </c>
      <c r="E234">
        <f t="shared" ref="E234:E238" si="57">E233</f>
        <v>122</v>
      </c>
      <c r="F234">
        <f>D238+1</f>
        <v>169</v>
      </c>
      <c r="G234">
        <f>G233</f>
        <v>127</v>
      </c>
      <c r="H234" t="s">
        <v>102</v>
      </c>
      <c r="I234">
        <v>10</v>
      </c>
      <c r="J234">
        <v>1</v>
      </c>
      <c r="K234">
        <v>0</v>
      </c>
      <c r="L234">
        <v>0</v>
      </c>
      <c r="N234" t="str">
        <f t="shared" si="55"/>
        <v>d0d8dd</v>
      </c>
      <c r="O234" t="s">
        <v>27</v>
      </c>
      <c r="Q234">
        <v>3</v>
      </c>
      <c r="R234" t="b">
        <v>1</v>
      </c>
      <c r="S234" t="s">
        <v>119</v>
      </c>
      <c r="T234">
        <v>0</v>
      </c>
    </row>
    <row r="235" spans="1:20" x14ac:dyDescent="0.25">
      <c r="A235" t="s">
        <v>776</v>
      </c>
      <c r="B235">
        <v>14</v>
      </c>
      <c r="C235" t="s">
        <v>19</v>
      </c>
      <c r="D235">
        <f>D238</f>
        <v>168</v>
      </c>
      <c r="E235">
        <f t="shared" si="57"/>
        <v>122</v>
      </c>
      <c r="F235">
        <f>D235+26</f>
        <v>194</v>
      </c>
      <c r="G235">
        <f t="shared" ref="G235" si="58">G234</f>
        <v>127</v>
      </c>
      <c r="H235" t="s">
        <v>102</v>
      </c>
      <c r="I235">
        <v>10</v>
      </c>
      <c r="J235">
        <v>1</v>
      </c>
      <c r="K235">
        <v>0</v>
      </c>
      <c r="L235">
        <v>0</v>
      </c>
      <c r="N235" t="str">
        <f t="shared" si="55"/>
        <v>d0d8dd</v>
      </c>
      <c r="O235" t="s">
        <v>27</v>
      </c>
      <c r="Q235">
        <v>3</v>
      </c>
      <c r="R235" t="b">
        <v>1</v>
      </c>
      <c r="S235" t="s">
        <v>119</v>
      </c>
      <c r="T235">
        <v>0</v>
      </c>
    </row>
    <row r="236" spans="1:20" x14ac:dyDescent="0.25">
      <c r="A236" t="s">
        <v>44</v>
      </c>
      <c r="B236">
        <v>14</v>
      </c>
      <c r="C236" t="s">
        <v>25</v>
      </c>
      <c r="D236">
        <v>114</v>
      </c>
      <c r="E236">
        <f>E231</f>
        <v>120</v>
      </c>
      <c r="F236">
        <f>D236</f>
        <v>114</v>
      </c>
      <c r="G236">
        <f>G231</f>
        <v>204</v>
      </c>
      <c r="I236">
        <v>0.5</v>
      </c>
      <c r="J236">
        <v>0</v>
      </c>
      <c r="K236">
        <v>0</v>
      </c>
      <c r="L236">
        <v>0</v>
      </c>
      <c r="M236" t="s">
        <v>21</v>
      </c>
      <c r="N236" t="str">
        <f t="shared" si="55"/>
        <v>d0d8dd</v>
      </c>
      <c r="O236" t="s">
        <v>25</v>
      </c>
      <c r="Q236">
        <v>4</v>
      </c>
      <c r="R236" t="b">
        <v>0</v>
      </c>
      <c r="S236" t="s">
        <v>119</v>
      </c>
      <c r="T236">
        <v>0</v>
      </c>
    </row>
    <row r="237" spans="1:20" x14ac:dyDescent="0.25">
      <c r="A237" t="s">
        <v>45</v>
      </c>
      <c r="B237">
        <v>14</v>
      </c>
      <c r="C237" t="s">
        <v>25</v>
      </c>
      <c r="D237">
        <f>D236+27</f>
        <v>141</v>
      </c>
      <c r="E237">
        <f t="shared" si="57"/>
        <v>120</v>
      </c>
      <c r="F237">
        <f t="shared" ref="F237:F238" si="59">D237</f>
        <v>141</v>
      </c>
      <c r="G237">
        <f>G236</f>
        <v>204</v>
      </c>
      <c r="I237">
        <v>0.5</v>
      </c>
      <c r="J237">
        <v>0</v>
      </c>
      <c r="K237">
        <v>0</v>
      </c>
      <c r="L237">
        <v>0</v>
      </c>
      <c r="M237" t="s">
        <v>21</v>
      </c>
      <c r="N237" t="str">
        <f t="shared" si="55"/>
        <v>d0d8dd</v>
      </c>
      <c r="O237" t="s">
        <v>25</v>
      </c>
      <c r="Q237">
        <v>4</v>
      </c>
      <c r="R237" t="b">
        <v>0</v>
      </c>
      <c r="S237" t="s">
        <v>119</v>
      </c>
      <c r="T237">
        <v>0</v>
      </c>
    </row>
    <row r="238" spans="1:20" x14ac:dyDescent="0.25">
      <c r="A238" t="s">
        <v>46</v>
      </c>
      <c r="B238">
        <v>14</v>
      </c>
      <c r="C238" t="s">
        <v>25</v>
      </c>
      <c r="D238">
        <f>D237+27</f>
        <v>168</v>
      </c>
      <c r="E238">
        <f t="shared" si="57"/>
        <v>120</v>
      </c>
      <c r="F238">
        <f t="shared" si="59"/>
        <v>168</v>
      </c>
      <c r="G238">
        <f>G237</f>
        <v>204</v>
      </c>
      <c r="I238">
        <v>0.5</v>
      </c>
      <c r="J238">
        <v>0</v>
      </c>
      <c r="K238">
        <v>0</v>
      </c>
      <c r="L238">
        <v>0</v>
      </c>
      <c r="M238" t="s">
        <v>21</v>
      </c>
      <c r="N238" t="str">
        <f t="shared" si="55"/>
        <v>d0d8dd</v>
      </c>
      <c r="O238" t="s">
        <v>25</v>
      </c>
      <c r="Q238">
        <v>4</v>
      </c>
      <c r="R238" t="b">
        <v>0</v>
      </c>
      <c r="S238" t="s">
        <v>119</v>
      </c>
      <c r="T238">
        <v>0</v>
      </c>
    </row>
    <row r="239" spans="1:20" x14ac:dyDescent="0.25">
      <c r="A239" t="s">
        <v>55</v>
      </c>
      <c r="B239">
        <v>14</v>
      </c>
      <c r="C239" t="s">
        <v>25</v>
      </c>
      <c r="D239">
        <f>$D$232</f>
        <v>14</v>
      </c>
      <c r="E239">
        <f>E233+25</f>
        <v>147</v>
      </c>
      <c r="F239">
        <v>196</v>
      </c>
      <c r="G239">
        <f>E239</f>
        <v>147</v>
      </c>
      <c r="I239">
        <v>0.5</v>
      </c>
      <c r="J239">
        <v>0</v>
      </c>
      <c r="K239">
        <v>0</v>
      </c>
      <c r="L239">
        <v>0</v>
      </c>
      <c r="M239" t="s">
        <v>21</v>
      </c>
      <c r="N239" t="str">
        <f t="shared" si="55"/>
        <v>d0d8dd</v>
      </c>
      <c r="O239" t="s">
        <v>25</v>
      </c>
      <c r="Q239">
        <v>4</v>
      </c>
      <c r="R239" t="b">
        <v>0</v>
      </c>
      <c r="S239" t="s">
        <v>119</v>
      </c>
      <c r="T239">
        <v>0</v>
      </c>
    </row>
    <row r="240" spans="1:20" x14ac:dyDescent="0.25">
      <c r="A240" t="s">
        <v>920</v>
      </c>
      <c r="B240">
        <v>14</v>
      </c>
      <c r="C240" t="s">
        <v>19</v>
      </c>
      <c r="D240">
        <v>14</v>
      </c>
      <c r="E240">
        <f>G231+2</f>
        <v>206</v>
      </c>
      <c r="F240">
        <v>196</v>
      </c>
      <c r="G240">
        <f>E240+4</f>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f>$D$232</f>
        <v>14</v>
      </c>
      <c r="E241">
        <f>E239+2</f>
        <v>149</v>
      </c>
      <c r="F241">
        <f>D236-2</f>
        <v>112</v>
      </c>
      <c r="G241">
        <f>E241+5</f>
        <v>154</v>
      </c>
      <c r="H241" t="s">
        <v>102</v>
      </c>
      <c r="I241">
        <v>12</v>
      </c>
      <c r="J241">
        <v>0</v>
      </c>
      <c r="K241">
        <v>0</v>
      </c>
      <c r="L241">
        <v>0</v>
      </c>
      <c r="N241" t="str">
        <f t="shared" si="55"/>
        <v>d0d8dd</v>
      </c>
      <c r="O241" t="s">
        <v>25</v>
      </c>
      <c r="Q241">
        <v>3</v>
      </c>
      <c r="R241" t="b">
        <v>1</v>
      </c>
      <c r="S241" t="s">
        <v>119</v>
      </c>
      <c r="T241">
        <v>0</v>
      </c>
    </row>
    <row r="242" spans="1:20" x14ac:dyDescent="0.25">
      <c r="A242" t="s">
        <v>766</v>
      </c>
      <c r="B242">
        <v>14</v>
      </c>
      <c r="C242" t="s">
        <v>19</v>
      </c>
      <c r="D242">
        <f>D233</f>
        <v>113</v>
      </c>
      <c r="E242">
        <f>E241+1</f>
        <v>150</v>
      </c>
      <c r="F242">
        <f>F233</f>
        <v>140</v>
      </c>
      <c r="G242">
        <f t="shared" ref="G242:G244" si="60">E242+3</f>
        <v>153</v>
      </c>
      <c r="H242" t="s">
        <v>20</v>
      </c>
      <c r="I242">
        <v>16</v>
      </c>
      <c r="J242">
        <v>1</v>
      </c>
      <c r="K242">
        <v>0</v>
      </c>
      <c r="L242">
        <v>0</v>
      </c>
      <c r="N242" t="str">
        <f t="shared" si="55"/>
        <v>d0d8dd</v>
      </c>
      <c r="O242" t="s">
        <v>27</v>
      </c>
      <c r="Q242">
        <v>2</v>
      </c>
      <c r="R242" t="b">
        <v>0</v>
      </c>
      <c r="S242" t="s">
        <v>119</v>
      </c>
      <c r="T242">
        <v>0</v>
      </c>
    </row>
    <row r="243" spans="1:20" x14ac:dyDescent="0.25">
      <c r="A243" t="s">
        <v>767</v>
      </c>
      <c r="B243">
        <v>14</v>
      </c>
      <c r="C243" t="s">
        <v>19</v>
      </c>
      <c r="D243">
        <f>D234</f>
        <v>140</v>
      </c>
      <c r="E243">
        <f>E242</f>
        <v>150</v>
      </c>
      <c r="F243">
        <f>F234</f>
        <v>169</v>
      </c>
      <c r="G243">
        <f t="shared" si="60"/>
        <v>153</v>
      </c>
      <c r="H243" t="s">
        <v>20</v>
      </c>
      <c r="I243">
        <v>16</v>
      </c>
      <c r="J243">
        <v>1</v>
      </c>
      <c r="K243">
        <v>0</v>
      </c>
      <c r="L243">
        <v>0</v>
      </c>
      <c r="N243" t="str">
        <f t="shared" si="55"/>
        <v>d0d8dd</v>
      </c>
      <c r="O243" t="s">
        <v>27</v>
      </c>
      <c r="Q243">
        <v>2</v>
      </c>
      <c r="R243" t="b">
        <v>0</v>
      </c>
      <c r="S243" t="s">
        <v>119</v>
      </c>
      <c r="T243">
        <v>0</v>
      </c>
    </row>
    <row r="244" spans="1:20" x14ac:dyDescent="0.25">
      <c r="A244" t="s">
        <v>768</v>
      </c>
      <c r="B244">
        <v>14</v>
      </c>
      <c r="C244" t="s">
        <v>19</v>
      </c>
      <c r="D244">
        <f>D235</f>
        <v>168</v>
      </c>
      <c r="E244">
        <f>E243</f>
        <v>150</v>
      </c>
      <c r="F244">
        <f>F235</f>
        <v>194</v>
      </c>
      <c r="G244">
        <f t="shared" si="60"/>
        <v>153</v>
      </c>
      <c r="H244" t="s">
        <v>20</v>
      </c>
      <c r="I244">
        <v>16</v>
      </c>
      <c r="J244">
        <v>1</v>
      </c>
      <c r="K244">
        <v>0</v>
      </c>
      <c r="L244">
        <v>0</v>
      </c>
      <c r="N244" t="str">
        <f t="shared" si="55"/>
        <v>d0d8dd</v>
      </c>
      <c r="O244" t="s">
        <v>27</v>
      </c>
      <c r="Q244">
        <v>2</v>
      </c>
      <c r="R244" t="b">
        <v>0</v>
      </c>
      <c r="S244" t="s">
        <v>119</v>
      </c>
      <c r="T244">
        <v>0</v>
      </c>
    </row>
    <row r="245" spans="1:20" ht="15.75" customHeight="1" x14ac:dyDescent="0.25">
      <c r="A245" t="s">
        <v>833</v>
      </c>
      <c r="B245">
        <v>14</v>
      </c>
      <c r="C245" t="s">
        <v>19</v>
      </c>
      <c r="D245">
        <f>$D$232</f>
        <v>14</v>
      </c>
      <c r="E245">
        <f>E241+18</f>
        <v>167</v>
      </c>
      <c r="F245">
        <f>F241</f>
        <v>112</v>
      </c>
      <c r="G245">
        <f>E245+5</f>
        <v>172</v>
      </c>
      <c r="H245" t="s">
        <v>102</v>
      </c>
      <c r="I245">
        <v>12</v>
      </c>
      <c r="J245">
        <v>0</v>
      </c>
      <c r="K245">
        <v>0</v>
      </c>
      <c r="L245">
        <v>0</v>
      </c>
      <c r="N245" t="str">
        <f t="shared" si="55"/>
        <v>d0d8dd</v>
      </c>
      <c r="O245" t="s">
        <v>25</v>
      </c>
      <c r="Q245">
        <v>3</v>
      </c>
      <c r="R245" t="b">
        <v>1</v>
      </c>
      <c r="S245" t="s">
        <v>119</v>
      </c>
      <c r="T245">
        <v>0</v>
      </c>
    </row>
    <row r="246" spans="1:20" x14ac:dyDescent="0.25">
      <c r="A246" t="s">
        <v>834</v>
      </c>
      <c r="B246">
        <v>14</v>
      </c>
      <c r="C246" t="s">
        <v>19</v>
      </c>
      <c r="D246">
        <f>D242</f>
        <v>113</v>
      </c>
      <c r="E246">
        <f>E245+1</f>
        <v>168</v>
      </c>
      <c r="F246">
        <f>F242</f>
        <v>140</v>
      </c>
      <c r="G246">
        <f t="shared" ref="G246:G248" si="61">E246+3</f>
        <v>171</v>
      </c>
      <c r="H246" t="s">
        <v>20</v>
      </c>
      <c r="I246">
        <v>16</v>
      </c>
      <c r="J246">
        <v>1</v>
      </c>
      <c r="K246">
        <v>0</v>
      </c>
      <c r="L246">
        <v>0</v>
      </c>
      <c r="N246" t="str">
        <f t="shared" si="55"/>
        <v>d0d8dd</v>
      </c>
      <c r="O246" t="s">
        <v>27</v>
      </c>
      <c r="Q246">
        <v>2</v>
      </c>
      <c r="R246" t="b">
        <v>0</v>
      </c>
      <c r="S246" t="s">
        <v>119</v>
      </c>
      <c r="T246">
        <v>0</v>
      </c>
    </row>
    <row r="247" spans="1:20" x14ac:dyDescent="0.25">
      <c r="A247" t="s">
        <v>835</v>
      </c>
      <c r="B247">
        <v>14</v>
      </c>
      <c r="C247" t="s">
        <v>19</v>
      </c>
      <c r="D247">
        <f>D243</f>
        <v>140</v>
      </c>
      <c r="E247">
        <f>E246</f>
        <v>168</v>
      </c>
      <c r="F247">
        <f>F243</f>
        <v>169</v>
      </c>
      <c r="G247">
        <f t="shared" si="61"/>
        <v>171</v>
      </c>
      <c r="H247" t="s">
        <v>20</v>
      </c>
      <c r="I247">
        <v>16</v>
      </c>
      <c r="J247">
        <v>1</v>
      </c>
      <c r="K247">
        <v>0</v>
      </c>
      <c r="L247">
        <v>0</v>
      </c>
      <c r="N247" t="str">
        <f t="shared" si="55"/>
        <v>d0d8dd</v>
      </c>
      <c r="O247" t="s">
        <v>27</v>
      </c>
      <c r="Q247">
        <v>2</v>
      </c>
      <c r="R247" t="b">
        <v>0</v>
      </c>
      <c r="S247" t="s">
        <v>119</v>
      </c>
      <c r="T247">
        <v>0</v>
      </c>
    </row>
    <row r="248" spans="1:20" x14ac:dyDescent="0.25">
      <c r="A248" t="s">
        <v>836</v>
      </c>
      <c r="B248">
        <v>14</v>
      </c>
      <c r="C248" t="s">
        <v>19</v>
      </c>
      <c r="D248">
        <f>D244</f>
        <v>168</v>
      </c>
      <c r="E248">
        <f>E247</f>
        <v>168</v>
      </c>
      <c r="F248">
        <f>F244</f>
        <v>194</v>
      </c>
      <c r="G248">
        <f t="shared" si="61"/>
        <v>171</v>
      </c>
      <c r="H248" t="s">
        <v>20</v>
      </c>
      <c r="I248">
        <v>16</v>
      </c>
      <c r="J248">
        <v>1</v>
      </c>
      <c r="K248">
        <v>0</v>
      </c>
      <c r="L248">
        <v>0</v>
      </c>
      <c r="N248" t="str">
        <f t="shared" si="55"/>
        <v>d0d8dd</v>
      </c>
      <c r="O248" t="s">
        <v>27</v>
      </c>
      <c r="Q248">
        <v>2</v>
      </c>
      <c r="R248" t="b">
        <v>0</v>
      </c>
      <c r="S248" t="s">
        <v>119</v>
      </c>
      <c r="T248">
        <v>0</v>
      </c>
    </row>
    <row r="249" spans="1:20" ht="15.75" customHeight="1" x14ac:dyDescent="0.25">
      <c r="A249" t="s">
        <v>837</v>
      </c>
      <c r="B249">
        <v>14</v>
      </c>
      <c r="C249" t="s">
        <v>19</v>
      </c>
      <c r="D249">
        <f>$D$232</f>
        <v>14</v>
      </c>
      <c r="E249">
        <f>E245+18</f>
        <v>185</v>
      </c>
      <c r="F249">
        <f>F245</f>
        <v>112</v>
      </c>
      <c r="G249">
        <f>E249+5</f>
        <v>190</v>
      </c>
      <c r="H249" t="s">
        <v>102</v>
      </c>
      <c r="I249">
        <v>12</v>
      </c>
      <c r="J249">
        <v>0</v>
      </c>
      <c r="K249">
        <v>0</v>
      </c>
      <c r="L249">
        <v>0</v>
      </c>
      <c r="N249" t="str">
        <f t="shared" si="55"/>
        <v>d0d8dd</v>
      </c>
      <c r="O249" t="s">
        <v>25</v>
      </c>
      <c r="Q249">
        <v>3</v>
      </c>
      <c r="R249" t="b">
        <v>1</v>
      </c>
      <c r="S249" t="s">
        <v>119</v>
      </c>
      <c r="T249">
        <v>0</v>
      </c>
    </row>
    <row r="250" spans="1:20" x14ac:dyDescent="0.25">
      <c r="A250" t="s">
        <v>838</v>
      </c>
      <c r="B250">
        <v>14</v>
      </c>
      <c r="C250" t="s">
        <v>19</v>
      </c>
      <c r="D250">
        <f>D242</f>
        <v>113</v>
      </c>
      <c r="E250">
        <f>E249+1</f>
        <v>186</v>
      </c>
      <c r="F250">
        <f>F242</f>
        <v>140</v>
      </c>
      <c r="G250">
        <f t="shared" ref="G250:G252" si="62">E250+3</f>
        <v>189</v>
      </c>
      <c r="H250" t="s">
        <v>20</v>
      </c>
      <c r="I250">
        <v>16</v>
      </c>
      <c r="J250">
        <v>1</v>
      </c>
      <c r="K250">
        <v>0</v>
      </c>
      <c r="L250">
        <v>0</v>
      </c>
      <c r="N250" t="str">
        <f t="shared" si="55"/>
        <v>d0d8dd</v>
      </c>
      <c r="O250" t="s">
        <v>27</v>
      </c>
      <c r="Q250">
        <v>2</v>
      </c>
      <c r="R250" t="b">
        <v>0</v>
      </c>
      <c r="S250" t="s">
        <v>119</v>
      </c>
      <c r="T250">
        <v>0</v>
      </c>
    </row>
    <row r="251" spans="1:20" x14ac:dyDescent="0.25">
      <c r="A251" t="s">
        <v>839</v>
      </c>
      <c r="B251">
        <v>14</v>
      </c>
      <c r="C251" t="s">
        <v>19</v>
      </c>
      <c r="D251">
        <f>D243</f>
        <v>140</v>
      </c>
      <c r="E251">
        <f>E250</f>
        <v>186</v>
      </c>
      <c r="F251">
        <f>F243</f>
        <v>169</v>
      </c>
      <c r="G251">
        <f t="shared" si="62"/>
        <v>189</v>
      </c>
      <c r="H251" t="s">
        <v>20</v>
      </c>
      <c r="I251">
        <v>16</v>
      </c>
      <c r="J251">
        <v>1</v>
      </c>
      <c r="K251">
        <v>0</v>
      </c>
      <c r="L251">
        <v>0</v>
      </c>
      <c r="N251" t="str">
        <f t="shared" si="55"/>
        <v>d0d8dd</v>
      </c>
      <c r="O251" t="s">
        <v>27</v>
      </c>
      <c r="Q251">
        <v>2</v>
      </c>
      <c r="R251" t="b">
        <v>0</v>
      </c>
      <c r="S251" t="s">
        <v>119</v>
      </c>
      <c r="T251">
        <v>0</v>
      </c>
    </row>
    <row r="252" spans="1:20" x14ac:dyDescent="0.25">
      <c r="A252" t="s">
        <v>840</v>
      </c>
      <c r="B252">
        <v>14</v>
      </c>
      <c r="C252" t="s">
        <v>19</v>
      </c>
      <c r="D252">
        <f>D244</f>
        <v>168</v>
      </c>
      <c r="E252">
        <f>E251</f>
        <v>186</v>
      </c>
      <c r="F252">
        <f>F244</f>
        <v>194</v>
      </c>
      <c r="G252">
        <f t="shared" si="62"/>
        <v>189</v>
      </c>
      <c r="H252" t="s">
        <v>20</v>
      </c>
      <c r="I252">
        <v>16</v>
      </c>
      <c r="J252">
        <v>1</v>
      </c>
      <c r="K252">
        <v>0</v>
      </c>
      <c r="L252">
        <v>0</v>
      </c>
      <c r="N252" t="str">
        <f t="shared" si="55"/>
        <v>d0d8dd</v>
      </c>
      <c r="O252" t="s">
        <v>27</v>
      </c>
      <c r="Q252">
        <v>2</v>
      </c>
      <c r="R252" t="b">
        <v>0</v>
      </c>
      <c r="S252" t="s">
        <v>119</v>
      </c>
      <c r="T252">
        <v>0</v>
      </c>
    </row>
    <row r="253" spans="1:20" x14ac:dyDescent="0.25">
      <c r="A253" t="s">
        <v>64</v>
      </c>
      <c r="B253">
        <v>15</v>
      </c>
      <c r="C253" t="s">
        <v>24</v>
      </c>
      <c r="D253">
        <v>14</v>
      </c>
      <c r="E253">
        <v>60</v>
      </c>
      <c r="F253">
        <v>196</v>
      </c>
      <c r="G253">
        <f>INT(E253+(F253-D253)/11*10)</f>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f>G253+8</f>
        <v>233</v>
      </c>
      <c r="F254">
        <v>180</v>
      </c>
      <c r="G254">
        <f>E254+8</f>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f t="shared" ref="G255" si="63">E255+3</f>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f>$D$255</f>
        <v>14</v>
      </c>
      <c r="E256">
        <f>G255+8</f>
        <v>31</v>
      </c>
      <c r="F256">
        <v>196</v>
      </c>
      <c r="G256">
        <f>E256+5</f>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f>G270+15</f>
        <v>168</v>
      </c>
      <c r="I257">
        <v>0</v>
      </c>
      <c r="J257">
        <v>1</v>
      </c>
      <c r="K257">
        <v>0</v>
      </c>
      <c r="L257">
        <v>0</v>
      </c>
      <c r="M257" t="str">
        <f>$N$76</f>
        <v>d0d8dd</v>
      </c>
      <c r="N257" t="s">
        <v>918</v>
      </c>
      <c r="O257" t="s">
        <v>25</v>
      </c>
      <c r="Q257">
        <v>1</v>
      </c>
      <c r="R257" t="b">
        <v>0</v>
      </c>
      <c r="S257" t="s">
        <v>119</v>
      </c>
      <c r="T257">
        <v>0</v>
      </c>
    </row>
    <row r="258" spans="1:20" x14ac:dyDescent="0.25">
      <c r="A258" t="s">
        <v>842</v>
      </c>
      <c r="B258">
        <v>-999</v>
      </c>
      <c r="C258" t="s">
        <v>19</v>
      </c>
      <c r="D258">
        <v>14</v>
      </c>
      <c r="E258">
        <f>E257+5</f>
        <v>125</v>
      </c>
      <c r="F258">
        <v>196</v>
      </c>
      <c r="G258">
        <f>E258+3</f>
        <v>128</v>
      </c>
      <c r="H258" t="s">
        <v>102</v>
      </c>
      <c r="I258">
        <v>12</v>
      </c>
      <c r="J258">
        <v>1</v>
      </c>
      <c r="K258">
        <v>0</v>
      </c>
      <c r="L258">
        <v>0</v>
      </c>
      <c r="N258" t="str">
        <f t="shared" ref="N258:N265" si="64">$N$76</f>
        <v>d0d8dd</v>
      </c>
      <c r="O258" t="s">
        <v>25</v>
      </c>
      <c r="Q258">
        <v>3</v>
      </c>
      <c r="R258" t="b">
        <v>0</v>
      </c>
      <c r="S258" t="s">
        <v>119</v>
      </c>
      <c r="T258">
        <v>0</v>
      </c>
    </row>
    <row r="259" spans="1:20" x14ac:dyDescent="0.25">
      <c r="A259" t="s">
        <v>774</v>
      </c>
      <c r="B259">
        <v>16</v>
      </c>
      <c r="C259" t="s">
        <v>19</v>
      </c>
      <c r="D259">
        <f t="shared" ref="D259" si="65">D262-1</f>
        <v>113</v>
      </c>
      <c r="E259">
        <f>E257+2</f>
        <v>122</v>
      </c>
      <c r="F259">
        <f>D263-1</f>
        <v>140</v>
      </c>
      <c r="G259">
        <f>E259+5</f>
        <v>127</v>
      </c>
      <c r="H259" t="s">
        <v>102</v>
      </c>
      <c r="I259">
        <v>10</v>
      </c>
      <c r="J259">
        <v>1</v>
      </c>
      <c r="K259">
        <v>0</v>
      </c>
      <c r="L259">
        <v>0</v>
      </c>
      <c r="N259" t="str">
        <f t="shared" si="64"/>
        <v>d0d8dd</v>
      </c>
      <c r="O259" t="s">
        <v>27</v>
      </c>
      <c r="Q259">
        <v>3</v>
      </c>
      <c r="R259" t="b">
        <v>1</v>
      </c>
      <c r="S259" t="s">
        <v>119</v>
      </c>
      <c r="T259">
        <v>0</v>
      </c>
    </row>
    <row r="260" spans="1:20" x14ac:dyDescent="0.25">
      <c r="A260" t="s">
        <v>775</v>
      </c>
      <c r="B260">
        <v>16</v>
      </c>
      <c r="C260" t="s">
        <v>19</v>
      </c>
      <c r="D260">
        <f>D263-1</f>
        <v>140</v>
      </c>
      <c r="E260">
        <f t="shared" ref="E260:E264" si="66">E259</f>
        <v>122</v>
      </c>
      <c r="F260">
        <f>D264+1</f>
        <v>169</v>
      </c>
      <c r="G260">
        <f>G259</f>
        <v>127</v>
      </c>
      <c r="H260" t="s">
        <v>102</v>
      </c>
      <c r="I260">
        <v>10</v>
      </c>
      <c r="J260">
        <v>1</v>
      </c>
      <c r="K260">
        <v>0</v>
      </c>
      <c r="L260">
        <v>0</v>
      </c>
      <c r="N260" t="str">
        <f t="shared" si="64"/>
        <v>d0d8dd</v>
      </c>
      <c r="O260" t="s">
        <v>27</v>
      </c>
      <c r="Q260">
        <v>3</v>
      </c>
      <c r="R260" t="b">
        <v>1</v>
      </c>
      <c r="S260" t="s">
        <v>119</v>
      </c>
      <c r="T260">
        <v>0</v>
      </c>
    </row>
    <row r="261" spans="1:20" x14ac:dyDescent="0.25">
      <c r="A261" t="s">
        <v>776</v>
      </c>
      <c r="B261">
        <v>16</v>
      </c>
      <c r="C261" t="s">
        <v>19</v>
      </c>
      <c r="D261">
        <f>D264</f>
        <v>168</v>
      </c>
      <c r="E261">
        <f t="shared" si="66"/>
        <v>122</v>
      </c>
      <c r="F261">
        <f>D261+26</f>
        <v>194</v>
      </c>
      <c r="G261">
        <f t="shared" ref="G261" si="67">G260</f>
        <v>127</v>
      </c>
      <c r="H261" t="s">
        <v>102</v>
      </c>
      <c r="I261">
        <v>10</v>
      </c>
      <c r="J261">
        <v>1</v>
      </c>
      <c r="K261">
        <v>0</v>
      </c>
      <c r="L261">
        <v>0</v>
      </c>
      <c r="N261" t="str">
        <f t="shared" si="64"/>
        <v>d0d8dd</v>
      </c>
      <c r="O261" t="s">
        <v>27</v>
      </c>
      <c r="Q261">
        <v>3</v>
      </c>
      <c r="R261" t="b">
        <v>1</v>
      </c>
      <c r="S261" t="s">
        <v>119</v>
      </c>
      <c r="T261">
        <v>0</v>
      </c>
    </row>
    <row r="262" spans="1:20" x14ac:dyDescent="0.25">
      <c r="A262" t="s">
        <v>44</v>
      </c>
      <c r="B262">
        <v>16</v>
      </c>
      <c r="C262" t="s">
        <v>25</v>
      </c>
      <c r="D262">
        <v>114</v>
      </c>
      <c r="E262">
        <f>E257</f>
        <v>120</v>
      </c>
      <c r="F262">
        <f>D262</f>
        <v>114</v>
      </c>
      <c r="G262">
        <f>G257</f>
        <v>168</v>
      </c>
      <c r="I262">
        <v>0.5</v>
      </c>
      <c r="J262">
        <v>0</v>
      </c>
      <c r="K262">
        <v>0</v>
      </c>
      <c r="L262">
        <v>0</v>
      </c>
      <c r="M262" t="s">
        <v>21</v>
      </c>
      <c r="N262" t="str">
        <f t="shared" si="64"/>
        <v>d0d8dd</v>
      </c>
      <c r="O262" t="s">
        <v>25</v>
      </c>
      <c r="Q262">
        <v>4</v>
      </c>
      <c r="R262" t="b">
        <v>0</v>
      </c>
      <c r="S262" t="s">
        <v>119</v>
      </c>
      <c r="T262">
        <v>0</v>
      </c>
    </row>
    <row r="263" spans="1:20" x14ac:dyDescent="0.25">
      <c r="A263" t="s">
        <v>45</v>
      </c>
      <c r="B263">
        <v>16</v>
      </c>
      <c r="C263" t="s">
        <v>25</v>
      </c>
      <c r="D263">
        <f>D262+27</f>
        <v>141</v>
      </c>
      <c r="E263">
        <f t="shared" si="66"/>
        <v>120</v>
      </c>
      <c r="F263">
        <f t="shared" ref="F263:F264" si="68">D263</f>
        <v>141</v>
      </c>
      <c r="G263">
        <f>G262</f>
        <v>168</v>
      </c>
      <c r="I263">
        <v>0.5</v>
      </c>
      <c r="J263">
        <v>0</v>
      </c>
      <c r="K263">
        <v>0</v>
      </c>
      <c r="L263">
        <v>0</v>
      </c>
      <c r="M263" t="s">
        <v>21</v>
      </c>
      <c r="N263" t="str">
        <f t="shared" si="64"/>
        <v>d0d8dd</v>
      </c>
      <c r="O263" t="s">
        <v>25</v>
      </c>
      <c r="Q263">
        <v>4</v>
      </c>
      <c r="R263" t="b">
        <v>0</v>
      </c>
      <c r="S263" t="s">
        <v>119</v>
      </c>
      <c r="T263">
        <v>0</v>
      </c>
    </row>
    <row r="264" spans="1:20" x14ac:dyDescent="0.25">
      <c r="A264" t="s">
        <v>46</v>
      </c>
      <c r="B264">
        <v>16</v>
      </c>
      <c r="C264" t="s">
        <v>25</v>
      </c>
      <c r="D264">
        <f>D263+27</f>
        <v>168</v>
      </c>
      <c r="E264">
        <f t="shared" si="66"/>
        <v>120</v>
      </c>
      <c r="F264">
        <f t="shared" si="68"/>
        <v>168</v>
      </c>
      <c r="G264">
        <f>G263</f>
        <v>168</v>
      </c>
      <c r="I264">
        <v>0.5</v>
      </c>
      <c r="J264">
        <v>0</v>
      </c>
      <c r="K264">
        <v>0</v>
      </c>
      <c r="L264">
        <v>0</v>
      </c>
      <c r="M264" t="s">
        <v>21</v>
      </c>
      <c r="N264" t="str">
        <f t="shared" si="64"/>
        <v>d0d8dd</v>
      </c>
      <c r="O264" t="s">
        <v>25</v>
      </c>
      <c r="Q264">
        <v>4</v>
      </c>
      <c r="R264" t="b">
        <v>0</v>
      </c>
      <c r="S264" t="s">
        <v>119</v>
      </c>
      <c r="T264">
        <v>0</v>
      </c>
    </row>
    <row r="265" spans="1:20" x14ac:dyDescent="0.25">
      <c r="A265" t="s">
        <v>55</v>
      </c>
      <c r="B265">
        <v>16</v>
      </c>
      <c r="C265" t="s">
        <v>25</v>
      </c>
      <c r="D265">
        <f>$D$232</f>
        <v>14</v>
      </c>
      <c r="E265">
        <f>E259+25</f>
        <v>147</v>
      </c>
      <c r="F265">
        <v>196</v>
      </c>
      <c r="G265">
        <f>E265</f>
        <v>147</v>
      </c>
      <c r="I265">
        <v>0.5</v>
      </c>
      <c r="J265">
        <v>0</v>
      </c>
      <c r="K265">
        <v>0</v>
      </c>
      <c r="L265">
        <v>0</v>
      </c>
      <c r="M265" t="s">
        <v>21</v>
      </c>
      <c r="N265" t="str">
        <f t="shared" si="64"/>
        <v>d0d8dd</v>
      </c>
      <c r="O265" t="s">
        <v>25</v>
      </c>
      <c r="Q265">
        <v>4</v>
      </c>
      <c r="R265" t="b">
        <v>0</v>
      </c>
      <c r="S265" t="s">
        <v>119</v>
      </c>
      <c r="T265">
        <v>0</v>
      </c>
    </row>
    <row r="266" spans="1:20" x14ac:dyDescent="0.25">
      <c r="A266" t="s">
        <v>920</v>
      </c>
      <c r="B266">
        <v>16</v>
      </c>
      <c r="C266" t="s">
        <v>19</v>
      </c>
      <c r="D266">
        <v>14</v>
      </c>
      <c r="E266">
        <f>G257+2</f>
        <v>170</v>
      </c>
      <c r="F266">
        <v>196</v>
      </c>
      <c r="G266">
        <f>E266+4</f>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f>$D$258</f>
        <v>14</v>
      </c>
      <c r="E267">
        <f>E265+2</f>
        <v>149</v>
      </c>
      <c r="F267">
        <f>D262-2</f>
        <v>112</v>
      </c>
      <c r="G267">
        <f>E267+5</f>
        <v>154</v>
      </c>
      <c r="H267" t="s">
        <v>102</v>
      </c>
      <c r="I267">
        <v>12</v>
      </c>
      <c r="J267">
        <v>0</v>
      </c>
      <c r="K267">
        <v>0</v>
      </c>
      <c r="L267">
        <v>0</v>
      </c>
      <c r="N267" t="str">
        <f t="shared" ref="N267:N270" si="69">$N$76</f>
        <v>d0d8dd</v>
      </c>
      <c r="O267" t="s">
        <v>25</v>
      </c>
      <c r="Q267">
        <v>3</v>
      </c>
      <c r="R267" t="b">
        <v>1</v>
      </c>
      <c r="S267" t="s">
        <v>119</v>
      </c>
      <c r="T267">
        <v>0</v>
      </c>
    </row>
    <row r="268" spans="1:20" x14ac:dyDescent="0.25">
      <c r="A268" t="s">
        <v>844</v>
      </c>
      <c r="B268">
        <v>16</v>
      </c>
      <c r="C268" t="s">
        <v>19</v>
      </c>
      <c r="D268">
        <f>D259</f>
        <v>113</v>
      </c>
      <c r="E268">
        <f>E267+1</f>
        <v>150</v>
      </c>
      <c r="F268">
        <f>F259</f>
        <v>140</v>
      </c>
      <c r="G268">
        <f t="shared" ref="G268:G270" si="70">E268+3</f>
        <v>153</v>
      </c>
      <c r="H268" t="s">
        <v>20</v>
      </c>
      <c r="I268">
        <v>16</v>
      </c>
      <c r="J268">
        <v>1</v>
      </c>
      <c r="K268">
        <v>0</v>
      </c>
      <c r="L268">
        <v>0</v>
      </c>
      <c r="N268" t="str">
        <f t="shared" si="69"/>
        <v>d0d8dd</v>
      </c>
      <c r="O268" t="s">
        <v>27</v>
      </c>
      <c r="Q268">
        <v>2</v>
      </c>
      <c r="R268" t="b">
        <v>0</v>
      </c>
      <c r="S268" t="s">
        <v>119</v>
      </c>
      <c r="T268">
        <v>0</v>
      </c>
    </row>
    <row r="269" spans="1:20" x14ac:dyDescent="0.25">
      <c r="A269" t="s">
        <v>845</v>
      </c>
      <c r="B269">
        <v>16</v>
      </c>
      <c r="C269" t="s">
        <v>19</v>
      </c>
      <c r="D269">
        <f>D260</f>
        <v>140</v>
      </c>
      <c r="E269">
        <f>E268</f>
        <v>150</v>
      </c>
      <c r="F269">
        <f>F260</f>
        <v>169</v>
      </c>
      <c r="G269">
        <f t="shared" si="70"/>
        <v>153</v>
      </c>
      <c r="H269" t="s">
        <v>20</v>
      </c>
      <c r="I269">
        <v>16</v>
      </c>
      <c r="J269">
        <v>1</v>
      </c>
      <c r="K269">
        <v>0</v>
      </c>
      <c r="L269">
        <v>0</v>
      </c>
      <c r="N269" t="str">
        <f t="shared" si="69"/>
        <v>d0d8dd</v>
      </c>
      <c r="O269" t="s">
        <v>27</v>
      </c>
      <c r="Q269">
        <v>2</v>
      </c>
      <c r="R269" t="b">
        <v>0</v>
      </c>
      <c r="S269" t="s">
        <v>119</v>
      </c>
      <c r="T269">
        <v>0</v>
      </c>
    </row>
    <row r="270" spans="1:20" x14ac:dyDescent="0.25">
      <c r="A270" t="s">
        <v>846</v>
      </c>
      <c r="B270">
        <v>16</v>
      </c>
      <c r="C270" t="s">
        <v>19</v>
      </c>
      <c r="D270">
        <f>D261</f>
        <v>168</v>
      </c>
      <c r="E270">
        <f>E269</f>
        <v>150</v>
      </c>
      <c r="F270">
        <f>F261</f>
        <v>194</v>
      </c>
      <c r="G270">
        <f t="shared" si="70"/>
        <v>153</v>
      </c>
      <c r="H270" t="s">
        <v>20</v>
      </c>
      <c r="I270">
        <v>16</v>
      </c>
      <c r="J270">
        <v>1</v>
      </c>
      <c r="K270">
        <v>0</v>
      </c>
      <c r="L270">
        <v>0</v>
      </c>
      <c r="N270" t="str">
        <f t="shared" si="69"/>
        <v>d0d8dd</v>
      </c>
      <c r="O270" t="s">
        <v>27</v>
      </c>
      <c r="Q270">
        <v>2</v>
      </c>
      <c r="R270" t="b">
        <v>0</v>
      </c>
      <c r="S270" t="s">
        <v>119</v>
      </c>
      <c r="T270">
        <v>0</v>
      </c>
    </row>
    <row r="271" spans="1:20" x14ac:dyDescent="0.25">
      <c r="A271" t="s">
        <v>40</v>
      </c>
      <c r="B271">
        <v>17</v>
      </c>
      <c r="C271" t="s">
        <v>24</v>
      </c>
      <c r="D271">
        <v>14</v>
      </c>
      <c r="E271">
        <v>60</v>
      </c>
      <c r="F271">
        <v>196</v>
      </c>
      <c r="G271">
        <f>INT(E271+(F271-D271)/11*10)</f>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f>G271+8</f>
        <v>233</v>
      </c>
      <c r="F272">
        <v>180</v>
      </c>
      <c r="G272">
        <f>E272+8</f>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f>E273+5</f>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f>$D$273</f>
        <v>14</v>
      </c>
      <c r="E274">
        <f>G273+8</f>
        <v>33</v>
      </c>
      <c r="F274">
        <f>$F$273</f>
        <v>196</v>
      </c>
      <c r="G274">
        <f>E274+5</f>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f>G300+15</f>
        <v>213</v>
      </c>
      <c r="I275">
        <v>0</v>
      </c>
      <c r="J275">
        <v>1</v>
      </c>
      <c r="K275">
        <v>0</v>
      </c>
      <c r="L275">
        <v>0</v>
      </c>
      <c r="M275" t="str">
        <f>$N$76</f>
        <v>d0d8dd</v>
      </c>
      <c r="N275" t="s">
        <v>918</v>
      </c>
      <c r="O275" t="s">
        <v>25</v>
      </c>
      <c r="Q275">
        <v>1</v>
      </c>
      <c r="R275" t="b">
        <v>0</v>
      </c>
      <c r="S275" t="s">
        <v>119</v>
      </c>
      <c r="T275">
        <v>0</v>
      </c>
    </row>
    <row r="276" spans="1:20" x14ac:dyDescent="0.25">
      <c r="A276" t="s">
        <v>848</v>
      </c>
      <c r="B276">
        <v>18</v>
      </c>
      <c r="C276" t="s">
        <v>19</v>
      </c>
      <c r="D276">
        <v>14</v>
      </c>
      <c r="E276">
        <f>E275+5</f>
        <v>125</v>
      </c>
      <c r="F276">
        <v>196</v>
      </c>
      <c r="G276">
        <f>E276+3</f>
        <v>128</v>
      </c>
      <c r="H276" t="s">
        <v>102</v>
      </c>
      <c r="I276">
        <v>12</v>
      </c>
      <c r="J276">
        <v>1</v>
      </c>
      <c r="K276">
        <v>0</v>
      </c>
      <c r="L276">
        <v>0</v>
      </c>
      <c r="N276" t="str">
        <f t="shared" ref="N276:N283" si="71">$N$76</f>
        <v>d0d8dd</v>
      </c>
      <c r="O276" t="s">
        <v>25</v>
      </c>
      <c r="Q276">
        <v>3</v>
      </c>
      <c r="R276" t="b">
        <v>0</v>
      </c>
      <c r="S276" t="s">
        <v>119</v>
      </c>
      <c r="T276">
        <v>0</v>
      </c>
    </row>
    <row r="277" spans="1:20" x14ac:dyDescent="0.25">
      <c r="A277" t="s">
        <v>774</v>
      </c>
      <c r="B277">
        <v>18</v>
      </c>
      <c r="C277" t="s">
        <v>19</v>
      </c>
      <c r="D277">
        <f t="shared" ref="D277" si="72">D280-1</f>
        <v>113</v>
      </c>
      <c r="E277">
        <f>E275+2</f>
        <v>122</v>
      </c>
      <c r="F277">
        <f>D281-1</f>
        <v>140</v>
      </c>
      <c r="G277">
        <f>E277+5</f>
        <v>127</v>
      </c>
      <c r="H277" t="s">
        <v>102</v>
      </c>
      <c r="I277">
        <v>10</v>
      </c>
      <c r="J277">
        <v>1</v>
      </c>
      <c r="K277">
        <v>0</v>
      </c>
      <c r="L277">
        <v>0</v>
      </c>
      <c r="N277" t="str">
        <f t="shared" si="71"/>
        <v>d0d8dd</v>
      </c>
      <c r="O277" t="s">
        <v>27</v>
      </c>
      <c r="Q277">
        <v>3</v>
      </c>
      <c r="R277" t="b">
        <v>1</v>
      </c>
      <c r="S277" t="s">
        <v>119</v>
      </c>
      <c r="T277">
        <v>0</v>
      </c>
    </row>
    <row r="278" spans="1:20" x14ac:dyDescent="0.25">
      <c r="A278" t="s">
        <v>775</v>
      </c>
      <c r="B278">
        <v>18</v>
      </c>
      <c r="C278" t="s">
        <v>19</v>
      </c>
      <c r="D278">
        <f>D281-1</f>
        <v>140</v>
      </c>
      <c r="E278">
        <f t="shared" ref="E278:E282" si="73">E277</f>
        <v>122</v>
      </c>
      <c r="F278">
        <f>D282+1</f>
        <v>169</v>
      </c>
      <c r="G278">
        <f>G277</f>
        <v>127</v>
      </c>
      <c r="H278" t="s">
        <v>102</v>
      </c>
      <c r="I278">
        <v>10</v>
      </c>
      <c r="J278">
        <v>1</v>
      </c>
      <c r="K278">
        <v>0</v>
      </c>
      <c r="L278">
        <v>0</v>
      </c>
      <c r="N278" t="str">
        <f t="shared" si="71"/>
        <v>d0d8dd</v>
      </c>
      <c r="O278" t="s">
        <v>27</v>
      </c>
      <c r="Q278">
        <v>3</v>
      </c>
      <c r="R278" t="b">
        <v>1</v>
      </c>
      <c r="S278" t="s">
        <v>119</v>
      </c>
      <c r="T278">
        <v>0</v>
      </c>
    </row>
    <row r="279" spans="1:20" x14ac:dyDescent="0.25">
      <c r="A279" t="s">
        <v>776</v>
      </c>
      <c r="B279">
        <v>18</v>
      </c>
      <c r="C279" t="s">
        <v>19</v>
      </c>
      <c r="D279">
        <f>D282</f>
        <v>168</v>
      </c>
      <c r="E279">
        <f t="shared" si="73"/>
        <v>122</v>
      </c>
      <c r="F279">
        <f>D279+26</f>
        <v>194</v>
      </c>
      <c r="G279">
        <f t="shared" ref="G279" si="74">G278</f>
        <v>127</v>
      </c>
      <c r="H279" t="s">
        <v>102</v>
      </c>
      <c r="I279">
        <v>10</v>
      </c>
      <c r="J279">
        <v>1</v>
      </c>
      <c r="K279">
        <v>0</v>
      </c>
      <c r="L279">
        <v>0</v>
      </c>
      <c r="N279" t="str">
        <f t="shared" si="71"/>
        <v>d0d8dd</v>
      </c>
      <c r="O279" t="s">
        <v>27</v>
      </c>
      <c r="Q279">
        <v>3</v>
      </c>
      <c r="R279" t="b">
        <v>1</v>
      </c>
      <c r="S279" t="s">
        <v>119</v>
      </c>
      <c r="T279">
        <v>0</v>
      </c>
    </row>
    <row r="280" spans="1:20" x14ac:dyDescent="0.25">
      <c r="A280" t="s">
        <v>44</v>
      </c>
      <c r="B280">
        <v>18</v>
      </c>
      <c r="C280" t="s">
        <v>25</v>
      </c>
      <c r="D280">
        <v>114</v>
      </c>
      <c r="E280">
        <f>E275</f>
        <v>120</v>
      </c>
      <c r="F280">
        <f>D280</f>
        <v>114</v>
      </c>
      <c r="G280">
        <f>G275</f>
        <v>213</v>
      </c>
      <c r="I280">
        <v>0.5</v>
      </c>
      <c r="J280">
        <v>0</v>
      </c>
      <c r="K280">
        <v>0</v>
      </c>
      <c r="L280">
        <v>0</v>
      </c>
      <c r="M280" t="s">
        <v>21</v>
      </c>
      <c r="N280" t="str">
        <f t="shared" si="71"/>
        <v>d0d8dd</v>
      </c>
      <c r="O280" t="s">
        <v>25</v>
      </c>
      <c r="Q280">
        <v>4</v>
      </c>
      <c r="R280" t="b">
        <v>0</v>
      </c>
      <c r="S280" t="s">
        <v>119</v>
      </c>
      <c r="T280">
        <v>0</v>
      </c>
    </row>
    <row r="281" spans="1:20" x14ac:dyDescent="0.25">
      <c r="A281" t="s">
        <v>45</v>
      </c>
      <c r="B281">
        <v>18</v>
      </c>
      <c r="C281" t="s">
        <v>25</v>
      </c>
      <c r="D281">
        <f>D280+27</f>
        <v>141</v>
      </c>
      <c r="E281">
        <f t="shared" si="73"/>
        <v>120</v>
      </c>
      <c r="F281">
        <f t="shared" ref="F281:F282" si="75">D281</f>
        <v>141</v>
      </c>
      <c r="G281">
        <f>G280</f>
        <v>213</v>
      </c>
      <c r="I281">
        <v>0.5</v>
      </c>
      <c r="J281">
        <v>0</v>
      </c>
      <c r="K281">
        <v>0</v>
      </c>
      <c r="L281">
        <v>0</v>
      </c>
      <c r="M281" t="s">
        <v>21</v>
      </c>
      <c r="N281" t="str">
        <f t="shared" si="71"/>
        <v>d0d8dd</v>
      </c>
      <c r="O281" t="s">
        <v>25</v>
      </c>
      <c r="Q281">
        <v>4</v>
      </c>
      <c r="R281" t="b">
        <v>0</v>
      </c>
      <c r="S281" t="s">
        <v>119</v>
      </c>
      <c r="T281">
        <v>0</v>
      </c>
    </row>
    <row r="282" spans="1:20" x14ac:dyDescent="0.25">
      <c r="A282" t="s">
        <v>46</v>
      </c>
      <c r="B282">
        <v>18</v>
      </c>
      <c r="C282" t="s">
        <v>25</v>
      </c>
      <c r="D282">
        <f>D281+27</f>
        <v>168</v>
      </c>
      <c r="E282">
        <f t="shared" si="73"/>
        <v>120</v>
      </c>
      <c r="F282">
        <f t="shared" si="75"/>
        <v>168</v>
      </c>
      <c r="G282">
        <f>G281</f>
        <v>213</v>
      </c>
      <c r="I282">
        <v>0.5</v>
      </c>
      <c r="J282">
        <v>0</v>
      </c>
      <c r="K282">
        <v>0</v>
      </c>
      <c r="L282">
        <v>0</v>
      </c>
      <c r="M282" t="s">
        <v>21</v>
      </c>
      <c r="N282" t="str">
        <f t="shared" si="71"/>
        <v>d0d8dd</v>
      </c>
      <c r="O282" t="s">
        <v>25</v>
      </c>
      <c r="Q282">
        <v>4</v>
      </c>
      <c r="R282" t="b">
        <v>0</v>
      </c>
      <c r="S282" t="s">
        <v>119</v>
      </c>
      <c r="T282">
        <v>0</v>
      </c>
    </row>
    <row r="283" spans="1:20" x14ac:dyDescent="0.25">
      <c r="A283" t="s">
        <v>55</v>
      </c>
      <c r="B283">
        <v>18</v>
      </c>
      <c r="C283" t="s">
        <v>25</v>
      </c>
      <c r="D283">
        <f>$D$232</f>
        <v>14</v>
      </c>
      <c r="E283">
        <f>E277+25</f>
        <v>147</v>
      </c>
      <c r="F283">
        <v>196</v>
      </c>
      <c r="G283">
        <f>E283</f>
        <v>147</v>
      </c>
      <c r="I283">
        <v>0.5</v>
      </c>
      <c r="J283">
        <v>0</v>
      </c>
      <c r="K283">
        <v>0</v>
      </c>
      <c r="L283">
        <v>0</v>
      </c>
      <c r="M283" t="s">
        <v>21</v>
      </c>
      <c r="N283" t="str">
        <f t="shared" si="71"/>
        <v>d0d8dd</v>
      </c>
      <c r="O283" t="s">
        <v>25</v>
      </c>
      <c r="Q283">
        <v>4</v>
      </c>
      <c r="R283" t="b">
        <v>0</v>
      </c>
      <c r="S283" t="s">
        <v>119</v>
      </c>
      <c r="T283">
        <v>0</v>
      </c>
    </row>
    <row r="284" spans="1:20" x14ac:dyDescent="0.25">
      <c r="A284" t="s">
        <v>920</v>
      </c>
      <c r="B284">
        <v>18</v>
      </c>
      <c r="C284" t="s">
        <v>19</v>
      </c>
      <c r="D284">
        <v>14</v>
      </c>
      <c r="E284">
        <f>G275+2</f>
        <v>215</v>
      </c>
      <c r="F284">
        <v>196</v>
      </c>
      <c r="G284">
        <f>E284+4</f>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f>D283+2</f>
        <v>16</v>
      </c>
      <c r="E285">
        <f>E283+2</f>
        <v>149</v>
      </c>
      <c r="F285">
        <f>D280-2</f>
        <v>112</v>
      </c>
      <c r="G285">
        <f>E285+5</f>
        <v>154</v>
      </c>
      <c r="H285" t="s">
        <v>102</v>
      </c>
      <c r="I285">
        <v>12</v>
      </c>
      <c r="J285">
        <v>0</v>
      </c>
      <c r="K285">
        <v>0</v>
      </c>
      <c r="L285">
        <v>0</v>
      </c>
      <c r="N285" t="str">
        <f t="shared" ref="N285:N300" si="76">$N$76</f>
        <v>d0d8dd</v>
      </c>
      <c r="O285" t="s">
        <v>25</v>
      </c>
      <c r="Q285">
        <v>3</v>
      </c>
      <c r="R285" t="b">
        <v>1</v>
      </c>
      <c r="S285" t="s">
        <v>119</v>
      </c>
      <c r="T285">
        <v>0</v>
      </c>
    </row>
    <row r="286" spans="1:20" x14ac:dyDescent="0.25">
      <c r="A286" t="s">
        <v>850</v>
      </c>
      <c r="B286">
        <v>18</v>
      </c>
      <c r="C286" t="s">
        <v>19</v>
      </c>
      <c r="D286">
        <f>D277</f>
        <v>113</v>
      </c>
      <c r="E286">
        <f>E285+1</f>
        <v>150</v>
      </c>
      <c r="F286">
        <f>F277</f>
        <v>140</v>
      </c>
      <c r="G286">
        <f t="shared" ref="G286:G288" si="77">E286+3</f>
        <v>153</v>
      </c>
      <c r="H286" t="s">
        <v>20</v>
      </c>
      <c r="I286">
        <v>16</v>
      </c>
      <c r="J286">
        <v>1</v>
      </c>
      <c r="K286">
        <v>0</v>
      </c>
      <c r="L286">
        <v>0</v>
      </c>
      <c r="N286" t="str">
        <f t="shared" si="76"/>
        <v>d0d8dd</v>
      </c>
      <c r="O286" t="s">
        <v>27</v>
      </c>
      <c r="Q286">
        <v>2</v>
      </c>
      <c r="R286" t="b">
        <v>0</v>
      </c>
      <c r="S286" t="s">
        <v>119</v>
      </c>
      <c r="T286">
        <v>0</v>
      </c>
    </row>
    <row r="287" spans="1:20" x14ac:dyDescent="0.25">
      <c r="A287" t="s">
        <v>851</v>
      </c>
      <c r="B287">
        <v>18</v>
      </c>
      <c r="C287" t="s">
        <v>19</v>
      </c>
      <c r="D287">
        <f>D278</f>
        <v>140</v>
      </c>
      <c r="E287">
        <f>E286</f>
        <v>150</v>
      </c>
      <c r="F287">
        <f>F278</f>
        <v>169</v>
      </c>
      <c r="G287">
        <f t="shared" si="77"/>
        <v>153</v>
      </c>
      <c r="H287" t="s">
        <v>20</v>
      </c>
      <c r="I287">
        <v>16</v>
      </c>
      <c r="J287">
        <v>1</v>
      </c>
      <c r="K287">
        <v>0</v>
      </c>
      <c r="L287">
        <v>0</v>
      </c>
      <c r="N287" t="str">
        <f t="shared" si="76"/>
        <v>d0d8dd</v>
      </c>
      <c r="O287" t="s">
        <v>27</v>
      </c>
      <c r="Q287">
        <v>2</v>
      </c>
      <c r="R287" t="b">
        <v>0</v>
      </c>
      <c r="S287" t="s">
        <v>119</v>
      </c>
      <c r="T287">
        <v>0</v>
      </c>
    </row>
    <row r="288" spans="1:20" x14ac:dyDescent="0.25">
      <c r="A288" t="s">
        <v>852</v>
      </c>
      <c r="B288">
        <v>18</v>
      </c>
      <c r="C288" t="s">
        <v>19</v>
      </c>
      <c r="D288">
        <f>D279</f>
        <v>168</v>
      </c>
      <c r="E288">
        <f>E287</f>
        <v>150</v>
      </c>
      <c r="F288">
        <f>F279</f>
        <v>194</v>
      </c>
      <c r="G288">
        <f t="shared" si="77"/>
        <v>153</v>
      </c>
      <c r="H288" t="s">
        <v>20</v>
      </c>
      <c r="I288">
        <v>16</v>
      </c>
      <c r="J288">
        <v>1</v>
      </c>
      <c r="K288">
        <v>0</v>
      </c>
      <c r="L288">
        <v>0</v>
      </c>
      <c r="N288" t="str">
        <f t="shared" si="76"/>
        <v>d0d8dd</v>
      </c>
      <c r="O288" t="s">
        <v>27</v>
      </c>
      <c r="Q288">
        <v>2</v>
      </c>
      <c r="R288" t="b">
        <v>0</v>
      </c>
      <c r="S288" t="s">
        <v>119</v>
      </c>
      <c r="T288">
        <v>0</v>
      </c>
    </row>
    <row r="289" spans="1:20" x14ac:dyDescent="0.25">
      <c r="A289" t="s">
        <v>853</v>
      </c>
      <c r="B289">
        <v>18</v>
      </c>
      <c r="C289" t="s">
        <v>19</v>
      </c>
      <c r="D289">
        <f t="shared" ref="D289:D300" si="78">D285</f>
        <v>16</v>
      </c>
      <c r="E289">
        <f>E285+15</f>
        <v>164</v>
      </c>
      <c r="F289">
        <f t="shared" ref="F289:F300" si="79">F285</f>
        <v>112</v>
      </c>
      <c r="G289">
        <f>E289+5</f>
        <v>169</v>
      </c>
      <c r="H289" t="s">
        <v>102</v>
      </c>
      <c r="I289">
        <v>12</v>
      </c>
      <c r="J289">
        <v>0</v>
      </c>
      <c r="K289">
        <v>0</v>
      </c>
      <c r="L289">
        <v>0</v>
      </c>
      <c r="N289" t="str">
        <f t="shared" si="76"/>
        <v>d0d8dd</v>
      </c>
      <c r="O289" t="s">
        <v>25</v>
      </c>
      <c r="Q289">
        <v>3</v>
      </c>
      <c r="R289" t="b">
        <v>1</v>
      </c>
      <c r="S289" t="s">
        <v>119</v>
      </c>
      <c r="T289">
        <v>0</v>
      </c>
    </row>
    <row r="290" spans="1:20" x14ac:dyDescent="0.25">
      <c r="A290" t="s">
        <v>854</v>
      </c>
      <c r="B290">
        <v>18</v>
      </c>
      <c r="C290" t="s">
        <v>19</v>
      </c>
      <c r="D290">
        <f t="shared" si="78"/>
        <v>113</v>
      </c>
      <c r="E290">
        <f>E289+1</f>
        <v>165</v>
      </c>
      <c r="F290">
        <f t="shared" si="79"/>
        <v>140</v>
      </c>
      <c r="G290">
        <f>E290+3</f>
        <v>168</v>
      </c>
      <c r="H290" t="s">
        <v>20</v>
      </c>
      <c r="I290">
        <v>16</v>
      </c>
      <c r="J290">
        <v>1</v>
      </c>
      <c r="K290">
        <v>0</v>
      </c>
      <c r="L290">
        <v>0</v>
      </c>
      <c r="N290" t="str">
        <f t="shared" si="76"/>
        <v>d0d8dd</v>
      </c>
      <c r="O290" t="s">
        <v>27</v>
      </c>
      <c r="Q290">
        <v>2</v>
      </c>
      <c r="R290" t="b">
        <v>0</v>
      </c>
      <c r="S290" t="s">
        <v>119</v>
      </c>
      <c r="T290">
        <v>0</v>
      </c>
    </row>
    <row r="291" spans="1:20" x14ac:dyDescent="0.25">
      <c r="A291" t="s">
        <v>855</v>
      </c>
      <c r="B291">
        <v>18</v>
      </c>
      <c r="C291" t="s">
        <v>19</v>
      </c>
      <c r="D291">
        <f t="shared" si="78"/>
        <v>140</v>
      </c>
      <c r="E291">
        <f>E290</f>
        <v>165</v>
      </c>
      <c r="F291">
        <f t="shared" si="79"/>
        <v>169</v>
      </c>
      <c r="G291">
        <f t="shared" ref="G291:G292" si="80">E291+3</f>
        <v>168</v>
      </c>
      <c r="H291" t="s">
        <v>20</v>
      </c>
      <c r="I291">
        <v>16</v>
      </c>
      <c r="J291">
        <v>1</v>
      </c>
      <c r="K291">
        <v>0</v>
      </c>
      <c r="L291">
        <v>0</v>
      </c>
      <c r="N291" t="str">
        <f t="shared" si="76"/>
        <v>d0d8dd</v>
      </c>
      <c r="O291" t="s">
        <v>27</v>
      </c>
      <c r="Q291">
        <v>2</v>
      </c>
      <c r="R291" t="b">
        <v>0</v>
      </c>
      <c r="S291" t="s">
        <v>119</v>
      </c>
      <c r="T291">
        <v>0</v>
      </c>
    </row>
    <row r="292" spans="1:20" x14ac:dyDescent="0.25">
      <c r="A292" t="s">
        <v>856</v>
      </c>
      <c r="B292">
        <v>18</v>
      </c>
      <c r="C292" t="s">
        <v>19</v>
      </c>
      <c r="D292">
        <f t="shared" si="78"/>
        <v>168</v>
      </c>
      <c r="E292">
        <f>E291</f>
        <v>165</v>
      </c>
      <c r="F292">
        <f t="shared" si="79"/>
        <v>194</v>
      </c>
      <c r="G292">
        <f t="shared" si="80"/>
        <v>168</v>
      </c>
      <c r="H292" t="s">
        <v>20</v>
      </c>
      <c r="I292">
        <v>16</v>
      </c>
      <c r="J292">
        <v>1</v>
      </c>
      <c r="K292">
        <v>0</v>
      </c>
      <c r="L292">
        <v>0</v>
      </c>
      <c r="N292" t="str">
        <f t="shared" si="76"/>
        <v>d0d8dd</v>
      </c>
      <c r="O292" t="s">
        <v>27</v>
      </c>
      <c r="Q292">
        <v>2</v>
      </c>
      <c r="R292" t="b">
        <v>0</v>
      </c>
      <c r="S292" t="s">
        <v>119</v>
      </c>
      <c r="T292">
        <v>0</v>
      </c>
    </row>
    <row r="293" spans="1:20" x14ac:dyDescent="0.25">
      <c r="A293" t="s">
        <v>880</v>
      </c>
      <c r="B293">
        <v>18</v>
      </c>
      <c r="C293" t="s">
        <v>19</v>
      </c>
      <c r="D293">
        <f t="shared" si="78"/>
        <v>16</v>
      </c>
      <c r="E293">
        <f>E289+15</f>
        <v>179</v>
      </c>
      <c r="F293">
        <f t="shared" si="79"/>
        <v>112</v>
      </c>
      <c r="G293">
        <f>E293+5</f>
        <v>184</v>
      </c>
      <c r="H293" t="s">
        <v>102</v>
      </c>
      <c r="I293">
        <v>12</v>
      </c>
      <c r="J293">
        <v>0</v>
      </c>
      <c r="K293">
        <v>0</v>
      </c>
      <c r="L293">
        <v>0</v>
      </c>
      <c r="N293" t="str">
        <f t="shared" si="76"/>
        <v>d0d8dd</v>
      </c>
      <c r="O293" t="s">
        <v>25</v>
      </c>
      <c r="Q293">
        <v>3</v>
      </c>
      <c r="R293" t="b">
        <v>1</v>
      </c>
      <c r="S293" t="s">
        <v>119</v>
      </c>
      <c r="T293">
        <v>0</v>
      </c>
    </row>
    <row r="294" spans="1:20" x14ac:dyDescent="0.25">
      <c r="A294" t="s">
        <v>881</v>
      </c>
      <c r="B294">
        <v>18</v>
      </c>
      <c r="C294" t="s">
        <v>19</v>
      </c>
      <c r="D294">
        <f t="shared" si="78"/>
        <v>113</v>
      </c>
      <c r="E294">
        <f>E293+1</f>
        <v>180</v>
      </c>
      <c r="F294">
        <f t="shared" si="79"/>
        <v>140</v>
      </c>
      <c r="G294">
        <f t="shared" ref="G294:G296" si="81">E294+3</f>
        <v>183</v>
      </c>
      <c r="H294" t="s">
        <v>20</v>
      </c>
      <c r="I294">
        <v>16</v>
      </c>
      <c r="J294">
        <v>1</v>
      </c>
      <c r="K294">
        <v>0</v>
      </c>
      <c r="L294">
        <v>0</v>
      </c>
      <c r="N294" t="str">
        <f t="shared" si="76"/>
        <v>d0d8dd</v>
      </c>
      <c r="O294" t="s">
        <v>27</v>
      </c>
      <c r="Q294">
        <v>2</v>
      </c>
      <c r="R294" t="b">
        <v>0</v>
      </c>
      <c r="S294" t="s">
        <v>119</v>
      </c>
      <c r="T294">
        <v>0</v>
      </c>
    </row>
    <row r="295" spans="1:20" x14ac:dyDescent="0.25">
      <c r="A295" t="s">
        <v>882</v>
      </c>
      <c r="B295">
        <v>18</v>
      </c>
      <c r="C295" t="s">
        <v>19</v>
      </c>
      <c r="D295">
        <f t="shared" si="78"/>
        <v>140</v>
      </c>
      <c r="E295">
        <f>E294</f>
        <v>180</v>
      </c>
      <c r="F295">
        <f t="shared" si="79"/>
        <v>169</v>
      </c>
      <c r="G295">
        <f t="shared" si="81"/>
        <v>183</v>
      </c>
      <c r="H295" t="s">
        <v>20</v>
      </c>
      <c r="I295">
        <v>16</v>
      </c>
      <c r="J295">
        <v>1</v>
      </c>
      <c r="K295">
        <v>0</v>
      </c>
      <c r="L295">
        <v>0</v>
      </c>
      <c r="N295" t="str">
        <f t="shared" si="76"/>
        <v>d0d8dd</v>
      </c>
      <c r="O295" t="s">
        <v>27</v>
      </c>
      <c r="Q295">
        <v>2</v>
      </c>
      <c r="R295" t="b">
        <v>0</v>
      </c>
      <c r="S295" t="s">
        <v>119</v>
      </c>
      <c r="T295">
        <v>0</v>
      </c>
    </row>
    <row r="296" spans="1:20" x14ac:dyDescent="0.25">
      <c r="A296" t="s">
        <v>883</v>
      </c>
      <c r="B296">
        <v>18</v>
      </c>
      <c r="C296" t="s">
        <v>19</v>
      </c>
      <c r="D296">
        <f t="shared" si="78"/>
        <v>168</v>
      </c>
      <c r="E296">
        <f>E295</f>
        <v>180</v>
      </c>
      <c r="F296">
        <f t="shared" si="79"/>
        <v>194</v>
      </c>
      <c r="G296">
        <f t="shared" si="81"/>
        <v>183</v>
      </c>
      <c r="H296" t="s">
        <v>20</v>
      </c>
      <c r="I296">
        <v>16</v>
      </c>
      <c r="J296">
        <v>1</v>
      </c>
      <c r="K296">
        <v>0</v>
      </c>
      <c r="L296">
        <v>0</v>
      </c>
      <c r="N296" t="str">
        <f t="shared" si="76"/>
        <v>d0d8dd</v>
      </c>
      <c r="O296" t="s">
        <v>27</v>
      </c>
      <c r="Q296">
        <v>2</v>
      </c>
      <c r="R296" t="b">
        <v>0</v>
      </c>
      <c r="S296" t="s">
        <v>119</v>
      </c>
      <c r="T296">
        <v>0</v>
      </c>
    </row>
    <row r="297" spans="1:20" x14ac:dyDescent="0.25">
      <c r="A297" t="s">
        <v>5200</v>
      </c>
      <c r="B297">
        <v>18</v>
      </c>
      <c r="C297" t="s">
        <v>19</v>
      </c>
      <c r="D297">
        <f t="shared" si="78"/>
        <v>16</v>
      </c>
      <c r="E297">
        <f>E293+15</f>
        <v>194</v>
      </c>
      <c r="F297">
        <f t="shared" si="79"/>
        <v>112</v>
      </c>
      <c r="G297">
        <f>E297+5</f>
        <v>199</v>
      </c>
      <c r="H297" t="s">
        <v>102</v>
      </c>
      <c r="I297">
        <v>12</v>
      </c>
      <c r="J297">
        <v>0</v>
      </c>
      <c r="K297">
        <v>0</v>
      </c>
      <c r="L297">
        <v>0</v>
      </c>
      <c r="N297" t="str">
        <f t="shared" si="76"/>
        <v>d0d8dd</v>
      </c>
      <c r="O297" t="s">
        <v>25</v>
      </c>
      <c r="Q297">
        <v>3</v>
      </c>
      <c r="R297" t="b">
        <v>1</v>
      </c>
      <c r="S297" t="s">
        <v>119</v>
      </c>
      <c r="T297">
        <v>0</v>
      </c>
    </row>
    <row r="298" spans="1:20" x14ac:dyDescent="0.25">
      <c r="A298" t="s">
        <v>5201</v>
      </c>
      <c r="B298">
        <v>18</v>
      </c>
      <c r="C298" t="s">
        <v>19</v>
      </c>
      <c r="D298">
        <f t="shared" si="78"/>
        <v>113</v>
      </c>
      <c r="E298">
        <f>E297+1</f>
        <v>195</v>
      </c>
      <c r="F298">
        <f t="shared" si="79"/>
        <v>140</v>
      </c>
      <c r="G298">
        <f t="shared" ref="G298:G300" si="82">E298+3</f>
        <v>198</v>
      </c>
      <c r="H298" t="s">
        <v>20</v>
      </c>
      <c r="I298">
        <v>16</v>
      </c>
      <c r="J298">
        <v>1</v>
      </c>
      <c r="K298">
        <v>0</v>
      </c>
      <c r="L298">
        <v>0</v>
      </c>
      <c r="N298" t="str">
        <f t="shared" si="76"/>
        <v>d0d8dd</v>
      </c>
      <c r="O298" t="s">
        <v>27</v>
      </c>
      <c r="Q298">
        <v>2</v>
      </c>
      <c r="R298" t="b">
        <v>0</v>
      </c>
      <c r="S298" t="s">
        <v>119</v>
      </c>
      <c r="T298">
        <v>0</v>
      </c>
    </row>
    <row r="299" spans="1:20" x14ac:dyDescent="0.25">
      <c r="A299" t="s">
        <v>5202</v>
      </c>
      <c r="B299">
        <v>18</v>
      </c>
      <c r="C299" t="s">
        <v>19</v>
      </c>
      <c r="D299">
        <f t="shared" si="78"/>
        <v>140</v>
      </c>
      <c r="E299">
        <f>E298</f>
        <v>195</v>
      </c>
      <c r="F299">
        <f t="shared" si="79"/>
        <v>169</v>
      </c>
      <c r="G299">
        <f t="shared" si="82"/>
        <v>198</v>
      </c>
      <c r="H299" t="s">
        <v>20</v>
      </c>
      <c r="I299">
        <v>16</v>
      </c>
      <c r="J299">
        <v>1</v>
      </c>
      <c r="K299">
        <v>0</v>
      </c>
      <c r="L299">
        <v>0</v>
      </c>
      <c r="N299" t="str">
        <f t="shared" si="76"/>
        <v>d0d8dd</v>
      </c>
      <c r="O299" t="s">
        <v>27</v>
      </c>
      <c r="Q299">
        <v>2</v>
      </c>
      <c r="R299" t="b">
        <v>0</v>
      </c>
      <c r="S299" t="s">
        <v>119</v>
      </c>
      <c r="T299">
        <v>0</v>
      </c>
    </row>
    <row r="300" spans="1:20" x14ac:dyDescent="0.25">
      <c r="A300" t="s">
        <v>5203</v>
      </c>
      <c r="B300">
        <v>18</v>
      </c>
      <c r="C300" t="s">
        <v>19</v>
      </c>
      <c r="D300">
        <f t="shared" si="78"/>
        <v>168</v>
      </c>
      <c r="E300">
        <f>E299</f>
        <v>195</v>
      </c>
      <c r="F300">
        <f t="shared" si="79"/>
        <v>194</v>
      </c>
      <c r="G300">
        <f t="shared" si="82"/>
        <v>198</v>
      </c>
      <c r="H300" t="s">
        <v>20</v>
      </c>
      <c r="I300">
        <v>16</v>
      </c>
      <c r="J300">
        <v>1</v>
      </c>
      <c r="K300">
        <v>0</v>
      </c>
      <c r="L300">
        <v>0</v>
      </c>
      <c r="N300" t="str">
        <f t="shared" si="76"/>
        <v>d0d8dd</v>
      </c>
      <c r="O300" t="s">
        <v>27</v>
      </c>
      <c r="Q300">
        <v>2</v>
      </c>
      <c r="R300" t="b">
        <v>0</v>
      </c>
      <c r="S300" t="s">
        <v>119</v>
      </c>
      <c r="T300">
        <v>0</v>
      </c>
    </row>
    <row r="301" spans="1:20" x14ac:dyDescent="0.25">
      <c r="A301" t="s">
        <v>895</v>
      </c>
      <c r="B301">
        <v>19</v>
      </c>
      <c r="C301" t="s">
        <v>19</v>
      </c>
      <c r="D301">
        <v>14</v>
      </c>
      <c r="E301">
        <v>20</v>
      </c>
      <c r="F301">
        <v>196</v>
      </c>
      <c r="G301">
        <f>E301+5</f>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f>G301+8</f>
        <v>33</v>
      </c>
      <c r="F302">
        <v>196</v>
      </c>
      <c r="G302">
        <f>E302+5</f>
        <v>38</v>
      </c>
      <c r="H302" t="s">
        <v>102</v>
      </c>
      <c r="I302">
        <v>12</v>
      </c>
      <c r="J302">
        <v>0</v>
      </c>
      <c r="K302">
        <v>0</v>
      </c>
      <c r="L302">
        <v>0</v>
      </c>
      <c r="N302" t="s">
        <v>21</v>
      </c>
      <c r="O302" t="s">
        <v>25</v>
      </c>
      <c r="Q302">
        <v>2</v>
      </c>
      <c r="R302" t="b">
        <v>1</v>
      </c>
      <c r="T302">
        <v>0</v>
      </c>
    </row>
    <row r="303" spans="1:20" x14ac:dyDescent="0.25">
      <c r="A303" t="s">
        <v>5204</v>
      </c>
      <c r="B303">
        <v>19</v>
      </c>
      <c r="C303" t="s">
        <v>26</v>
      </c>
      <c r="D303">
        <v>0</v>
      </c>
      <c r="E303">
        <v>75</v>
      </c>
      <c r="F303">
        <v>210</v>
      </c>
      <c r="G303">
        <f>G316+15</f>
        <v>123</v>
      </c>
      <c r="I303">
        <v>0</v>
      </c>
      <c r="J303">
        <v>1</v>
      </c>
      <c r="K303">
        <v>0</v>
      </c>
      <c r="L303">
        <v>0</v>
      </c>
      <c r="M303" t="str">
        <f>$N$76</f>
        <v>d0d8dd</v>
      </c>
      <c r="N303" t="s">
        <v>918</v>
      </c>
      <c r="O303" t="s">
        <v>25</v>
      </c>
      <c r="Q303">
        <v>1</v>
      </c>
      <c r="R303" t="b">
        <v>0</v>
      </c>
      <c r="S303" t="s">
        <v>119</v>
      </c>
      <c r="T303">
        <v>0</v>
      </c>
    </row>
    <row r="304" spans="1:20" x14ac:dyDescent="0.25">
      <c r="A304" t="s">
        <v>5195</v>
      </c>
      <c r="B304">
        <v>19</v>
      </c>
      <c r="C304" t="s">
        <v>19</v>
      </c>
      <c r="D304">
        <v>14</v>
      </c>
      <c r="E304">
        <f>E303+5</f>
        <v>80</v>
      </c>
      <c r="F304">
        <v>196</v>
      </c>
      <c r="G304">
        <f>E304+3</f>
        <v>83</v>
      </c>
      <c r="H304" t="s">
        <v>102</v>
      </c>
      <c r="I304">
        <v>12</v>
      </c>
      <c r="J304">
        <v>1</v>
      </c>
      <c r="K304">
        <v>0</v>
      </c>
      <c r="L304">
        <v>0</v>
      </c>
      <c r="N304" t="str">
        <f t="shared" ref="N304:N311" si="83">$N$76</f>
        <v>d0d8dd</v>
      </c>
      <c r="O304" t="s">
        <v>25</v>
      </c>
      <c r="Q304">
        <v>3</v>
      </c>
      <c r="R304" t="b">
        <v>0</v>
      </c>
      <c r="S304" t="s">
        <v>119</v>
      </c>
      <c r="T304">
        <v>0</v>
      </c>
    </row>
    <row r="305" spans="1:20" x14ac:dyDescent="0.25">
      <c r="A305" t="s">
        <v>774</v>
      </c>
      <c r="B305">
        <v>19</v>
      </c>
      <c r="C305" t="s">
        <v>19</v>
      </c>
      <c r="D305">
        <f t="shared" ref="D305" si="84">D308-1</f>
        <v>113</v>
      </c>
      <c r="E305">
        <f>E303+2</f>
        <v>77</v>
      </c>
      <c r="F305">
        <f>D309-1</f>
        <v>140</v>
      </c>
      <c r="G305">
        <f>E305+5</f>
        <v>82</v>
      </c>
      <c r="H305" t="s">
        <v>102</v>
      </c>
      <c r="I305">
        <v>10</v>
      </c>
      <c r="J305">
        <v>1</v>
      </c>
      <c r="K305">
        <v>0</v>
      </c>
      <c r="L305">
        <v>0</v>
      </c>
      <c r="N305" t="str">
        <f t="shared" si="83"/>
        <v>d0d8dd</v>
      </c>
      <c r="O305" t="s">
        <v>27</v>
      </c>
      <c r="Q305">
        <v>3</v>
      </c>
      <c r="R305" t="b">
        <v>1</v>
      </c>
      <c r="S305" t="s">
        <v>119</v>
      </c>
      <c r="T305">
        <v>0</v>
      </c>
    </row>
    <row r="306" spans="1:20" x14ac:dyDescent="0.25">
      <c r="A306" t="s">
        <v>775</v>
      </c>
      <c r="B306">
        <v>19</v>
      </c>
      <c r="C306" t="s">
        <v>19</v>
      </c>
      <c r="D306">
        <f>D309-1</f>
        <v>140</v>
      </c>
      <c r="E306">
        <f t="shared" ref="E306:E310" si="85">E305</f>
        <v>77</v>
      </c>
      <c r="F306">
        <f>D310+1</f>
        <v>169</v>
      </c>
      <c r="G306">
        <f>G305</f>
        <v>82</v>
      </c>
      <c r="H306" t="s">
        <v>102</v>
      </c>
      <c r="I306">
        <v>10</v>
      </c>
      <c r="J306">
        <v>1</v>
      </c>
      <c r="K306">
        <v>0</v>
      </c>
      <c r="L306">
        <v>0</v>
      </c>
      <c r="N306" t="str">
        <f t="shared" si="83"/>
        <v>d0d8dd</v>
      </c>
      <c r="O306" t="s">
        <v>27</v>
      </c>
      <c r="Q306">
        <v>3</v>
      </c>
      <c r="R306" t="b">
        <v>1</v>
      </c>
      <c r="S306" t="s">
        <v>119</v>
      </c>
      <c r="T306">
        <v>0</v>
      </c>
    </row>
    <row r="307" spans="1:20" x14ac:dyDescent="0.25">
      <c r="A307" t="s">
        <v>776</v>
      </c>
      <c r="B307">
        <v>19</v>
      </c>
      <c r="C307" t="s">
        <v>19</v>
      </c>
      <c r="D307">
        <f>D310</f>
        <v>168</v>
      </c>
      <c r="E307">
        <f t="shared" si="85"/>
        <v>77</v>
      </c>
      <c r="F307">
        <f>D307+26</f>
        <v>194</v>
      </c>
      <c r="G307">
        <f t="shared" ref="G307" si="86">G306</f>
        <v>82</v>
      </c>
      <c r="H307" t="s">
        <v>102</v>
      </c>
      <c r="I307">
        <v>10</v>
      </c>
      <c r="J307">
        <v>1</v>
      </c>
      <c r="K307">
        <v>0</v>
      </c>
      <c r="L307">
        <v>0</v>
      </c>
      <c r="N307" t="str">
        <f t="shared" si="83"/>
        <v>d0d8dd</v>
      </c>
      <c r="O307" t="s">
        <v>27</v>
      </c>
      <c r="Q307">
        <v>3</v>
      </c>
      <c r="R307" t="b">
        <v>1</v>
      </c>
      <c r="S307" t="s">
        <v>119</v>
      </c>
      <c r="T307">
        <v>0</v>
      </c>
    </row>
    <row r="308" spans="1:20" x14ac:dyDescent="0.25">
      <c r="A308" t="s">
        <v>44</v>
      </c>
      <c r="B308">
        <v>19</v>
      </c>
      <c r="C308" t="s">
        <v>25</v>
      </c>
      <c r="D308">
        <v>114</v>
      </c>
      <c r="E308">
        <f>E303</f>
        <v>75</v>
      </c>
      <c r="F308">
        <f>D308</f>
        <v>114</v>
      </c>
      <c r="G308">
        <f>G303</f>
        <v>123</v>
      </c>
      <c r="I308">
        <v>0.5</v>
      </c>
      <c r="J308">
        <v>0</v>
      </c>
      <c r="K308">
        <v>0</v>
      </c>
      <c r="L308">
        <v>0</v>
      </c>
      <c r="M308" t="s">
        <v>21</v>
      </c>
      <c r="N308" t="str">
        <f t="shared" si="83"/>
        <v>d0d8dd</v>
      </c>
      <c r="O308" t="s">
        <v>25</v>
      </c>
      <c r="Q308">
        <v>4</v>
      </c>
      <c r="R308" t="b">
        <v>0</v>
      </c>
      <c r="S308" t="s">
        <v>119</v>
      </c>
      <c r="T308">
        <v>0</v>
      </c>
    </row>
    <row r="309" spans="1:20" x14ac:dyDescent="0.25">
      <c r="A309" t="s">
        <v>45</v>
      </c>
      <c r="B309">
        <v>19</v>
      </c>
      <c r="C309" t="s">
        <v>25</v>
      </c>
      <c r="D309">
        <f>D308+27</f>
        <v>141</v>
      </c>
      <c r="E309">
        <f t="shared" si="85"/>
        <v>75</v>
      </c>
      <c r="F309">
        <f t="shared" ref="F309:F310" si="87">D309</f>
        <v>141</v>
      </c>
      <c r="G309">
        <f>G308</f>
        <v>123</v>
      </c>
      <c r="I309">
        <v>0.5</v>
      </c>
      <c r="J309">
        <v>0</v>
      </c>
      <c r="K309">
        <v>0</v>
      </c>
      <c r="L309">
        <v>0</v>
      </c>
      <c r="M309" t="s">
        <v>21</v>
      </c>
      <c r="N309" t="str">
        <f t="shared" si="83"/>
        <v>d0d8dd</v>
      </c>
      <c r="O309" t="s">
        <v>25</v>
      </c>
      <c r="Q309">
        <v>4</v>
      </c>
      <c r="R309" t="b">
        <v>0</v>
      </c>
      <c r="S309" t="s">
        <v>119</v>
      </c>
      <c r="T309">
        <v>0</v>
      </c>
    </row>
    <row r="310" spans="1:20" x14ac:dyDescent="0.25">
      <c r="A310" t="s">
        <v>46</v>
      </c>
      <c r="B310">
        <v>19</v>
      </c>
      <c r="C310" t="s">
        <v>25</v>
      </c>
      <c r="D310">
        <f>D309+27</f>
        <v>168</v>
      </c>
      <c r="E310">
        <f t="shared" si="85"/>
        <v>75</v>
      </c>
      <c r="F310">
        <f t="shared" si="87"/>
        <v>168</v>
      </c>
      <c r="G310">
        <f>G309</f>
        <v>123</v>
      </c>
      <c r="I310">
        <v>0.5</v>
      </c>
      <c r="J310">
        <v>0</v>
      </c>
      <c r="K310">
        <v>0</v>
      </c>
      <c r="L310">
        <v>0</v>
      </c>
      <c r="M310" t="s">
        <v>21</v>
      </c>
      <c r="N310" t="str">
        <f t="shared" si="83"/>
        <v>d0d8dd</v>
      </c>
      <c r="O310" t="s">
        <v>25</v>
      </c>
      <c r="Q310">
        <v>4</v>
      </c>
      <c r="R310" t="b">
        <v>0</v>
      </c>
      <c r="S310" t="s">
        <v>119</v>
      </c>
      <c r="T310">
        <v>0</v>
      </c>
    </row>
    <row r="311" spans="1:20" x14ac:dyDescent="0.25">
      <c r="A311" t="s">
        <v>55</v>
      </c>
      <c r="B311">
        <v>19</v>
      </c>
      <c r="C311" t="s">
        <v>25</v>
      </c>
      <c r="D311">
        <f>$D$232</f>
        <v>14</v>
      </c>
      <c r="E311">
        <f>E305+25</f>
        <v>102</v>
      </c>
      <c r="F311">
        <v>196</v>
      </c>
      <c r="G311">
        <f>E311</f>
        <v>102</v>
      </c>
      <c r="I311">
        <v>0.5</v>
      </c>
      <c r="J311">
        <v>0</v>
      </c>
      <c r="K311">
        <v>0</v>
      </c>
      <c r="L311">
        <v>0</v>
      </c>
      <c r="M311" t="s">
        <v>21</v>
      </c>
      <c r="N311" t="str">
        <f t="shared" si="83"/>
        <v>d0d8dd</v>
      </c>
      <c r="O311" t="s">
        <v>25</v>
      </c>
      <c r="Q311">
        <v>4</v>
      </c>
      <c r="R311" t="b">
        <v>0</v>
      </c>
      <c r="S311" t="s">
        <v>119</v>
      </c>
      <c r="T311">
        <v>0</v>
      </c>
    </row>
    <row r="312" spans="1:20" x14ac:dyDescent="0.25">
      <c r="A312" t="s">
        <v>920</v>
      </c>
      <c r="B312">
        <v>19</v>
      </c>
      <c r="C312" t="s">
        <v>19</v>
      </c>
      <c r="D312">
        <f>$D$232</f>
        <v>14</v>
      </c>
      <c r="E312">
        <f>G303+2</f>
        <v>125</v>
      </c>
      <c r="F312">
        <v>196</v>
      </c>
      <c r="G312">
        <f>E312+4</f>
        <v>129</v>
      </c>
      <c r="H312" t="s">
        <v>102</v>
      </c>
      <c r="I312">
        <v>10</v>
      </c>
      <c r="J312">
        <v>0</v>
      </c>
      <c r="K312">
        <v>0</v>
      </c>
      <c r="L312">
        <v>0</v>
      </c>
      <c r="N312" t="s">
        <v>21</v>
      </c>
      <c r="O312" t="s">
        <v>22</v>
      </c>
      <c r="Q312">
        <v>2</v>
      </c>
      <c r="R312" t="b">
        <v>0</v>
      </c>
      <c r="S312" t="s">
        <v>119</v>
      </c>
      <c r="T312">
        <v>0</v>
      </c>
    </row>
    <row r="313" spans="1:20" x14ac:dyDescent="0.25">
      <c r="A313" t="s">
        <v>5196</v>
      </c>
      <c r="B313">
        <v>19</v>
      </c>
      <c r="C313" t="s">
        <v>19</v>
      </c>
      <c r="D313">
        <f>$D$232</f>
        <v>14</v>
      </c>
      <c r="E313">
        <f>E311+2</f>
        <v>104</v>
      </c>
      <c r="F313">
        <f>D308-2</f>
        <v>112</v>
      </c>
      <c r="G313">
        <f>E313+5</f>
        <v>109</v>
      </c>
      <c r="H313" t="s">
        <v>102</v>
      </c>
      <c r="I313">
        <v>12</v>
      </c>
      <c r="J313">
        <v>0</v>
      </c>
      <c r="K313">
        <v>0</v>
      </c>
      <c r="L313">
        <v>0</v>
      </c>
      <c r="N313" t="str">
        <f t="shared" ref="N313:N316" si="88">$N$76</f>
        <v>d0d8dd</v>
      </c>
      <c r="O313" t="s">
        <v>25</v>
      </c>
      <c r="Q313">
        <v>3</v>
      </c>
      <c r="R313" t="b">
        <v>1</v>
      </c>
      <c r="S313" t="s">
        <v>119</v>
      </c>
      <c r="T313">
        <v>0</v>
      </c>
    </row>
    <row r="314" spans="1:20" x14ac:dyDescent="0.25">
      <c r="A314" t="s">
        <v>5197</v>
      </c>
      <c r="B314">
        <v>19</v>
      </c>
      <c r="C314" t="s">
        <v>19</v>
      </c>
      <c r="D314">
        <f>D305</f>
        <v>113</v>
      </c>
      <c r="E314">
        <f>E313+1</f>
        <v>105</v>
      </c>
      <c r="F314">
        <f>F305</f>
        <v>140</v>
      </c>
      <c r="G314">
        <f t="shared" ref="G314:G316" si="89">E314+3</f>
        <v>108</v>
      </c>
      <c r="H314" t="s">
        <v>20</v>
      </c>
      <c r="I314">
        <v>16</v>
      </c>
      <c r="J314">
        <v>1</v>
      </c>
      <c r="K314">
        <v>0</v>
      </c>
      <c r="L314">
        <v>0</v>
      </c>
      <c r="N314" t="str">
        <f t="shared" si="88"/>
        <v>d0d8dd</v>
      </c>
      <c r="O314" t="s">
        <v>27</v>
      </c>
      <c r="Q314">
        <v>2</v>
      </c>
      <c r="R314" t="b">
        <v>0</v>
      </c>
      <c r="S314" t="s">
        <v>119</v>
      </c>
      <c r="T314">
        <v>0</v>
      </c>
    </row>
    <row r="315" spans="1:20" x14ac:dyDescent="0.25">
      <c r="A315" t="s">
        <v>5198</v>
      </c>
      <c r="B315">
        <v>19</v>
      </c>
      <c r="C315" t="s">
        <v>19</v>
      </c>
      <c r="D315">
        <f>D306</f>
        <v>140</v>
      </c>
      <c r="E315">
        <f>E314</f>
        <v>105</v>
      </c>
      <c r="F315">
        <f>F306</f>
        <v>169</v>
      </c>
      <c r="G315">
        <f t="shared" si="89"/>
        <v>108</v>
      </c>
      <c r="H315" t="s">
        <v>20</v>
      </c>
      <c r="I315">
        <v>16</v>
      </c>
      <c r="J315">
        <v>1</v>
      </c>
      <c r="K315">
        <v>0</v>
      </c>
      <c r="L315">
        <v>0</v>
      </c>
      <c r="N315" t="str">
        <f t="shared" si="88"/>
        <v>d0d8dd</v>
      </c>
      <c r="O315" t="s">
        <v>27</v>
      </c>
      <c r="Q315">
        <v>2</v>
      </c>
      <c r="R315" t="b">
        <v>0</v>
      </c>
      <c r="S315" t="s">
        <v>119</v>
      </c>
      <c r="T315">
        <v>0</v>
      </c>
    </row>
    <row r="316" spans="1:20" x14ac:dyDescent="0.25">
      <c r="A316" t="s">
        <v>5199</v>
      </c>
      <c r="B316">
        <v>19</v>
      </c>
      <c r="C316" t="s">
        <v>19</v>
      </c>
      <c r="D316">
        <f>D307</f>
        <v>168</v>
      </c>
      <c r="E316">
        <f>E315</f>
        <v>105</v>
      </c>
      <c r="F316">
        <f>F307</f>
        <v>194</v>
      </c>
      <c r="G316">
        <f t="shared" si="89"/>
        <v>108</v>
      </c>
      <c r="H316" t="s">
        <v>20</v>
      </c>
      <c r="I316">
        <v>16</v>
      </c>
      <c r="J316">
        <v>1</v>
      </c>
      <c r="K316">
        <v>0</v>
      </c>
      <c r="L316">
        <v>0</v>
      </c>
      <c r="N316" t="str">
        <f t="shared" si="88"/>
        <v>d0d8dd</v>
      </c>
      <c r="O316" t="s">
        <v>27</v>
      </c>
      <c r="Q316">
        <v>2</v>
      </c>
      <c r="R316" t="b">
        <v>0</v>
      </c>
      <c r="S316" t="s">
        <v>119</v>
      </c>
      <c r="T316">
        <v>0</v>
      </c>
    </row>
    <row r="317" spans="1:20" x14ac:dyDescent="0.25">
      <c r="A317" t="s">
        <v>1027</v>
      </c>
      <c r="B317">
        <v>19</v>
      </c>
      <c r="C317" t="s">
        <v>24</v>
      </c>
      <c r="D317">
        <v>30</v>
      </c>
      <c r="E317">
        <v>130</v>
      </c>
      <c r="F317">
        <v>180</v>
      </c>
      <c r="G317">
        <f>E317+(F317-D317)</f>
        <v>280</v>
      </c>
      <c r="I317">
        <v>0</v>
      </c>
      <c r="J317">
        <v>0</v>
      </c>
      <c r="K317">
        <v>0</v>
      </c>
      <c r="L317">
        <v>0</v>
      </c>
      <c r="N317" t="s">
        <v>21</v>
      </c>
      <c r="O317" t="s">
        <v>25</v>
      </c>
      <c r="Q317">
        <v>0</v>
      </c>
      <c r="R317" t="b">
        <v>0</v>
      </c>
      <c r="S317" t="s">
        <v>119</v>
      </c>
      <c r="T317">
        <v>0</v>
      </c>
    </row>
    <row r="318" spans="1:20" x14ac:dyDescent="0.25">
      <c r="A318" t="s">
        <v>1028</v>
      </c>
      <c r="B318">
        <v>19</v>
      </c>
      <c r="C318" t="s">
        <v>19</v>
      </c>
      <c r="D318">
        <f>D317</f>
        <v>30</v>
      </c>
      <c r="E318">
        <f>E317</f>
        <v>130</v>
      </c>
      <c r="F318">
        <f>D318+100</f>
        <v>130</v>
      </c>
      <c r="G318">
        <f>G317</f>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f>D317</f>
        <v>30</v>
      </c>
      <c r="E319">
        <f>G317</f>
        <v>280</v>
      </c>
      <c r="F319">
        <f>F317</f>
        <v>180</v>
      </c>
      <c r="G319">
        <f>E319+3</f>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f>E320+5</f>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f>G320+8</f>
        <v>33</v>
      </c>
      <c r="F321">
        <f>$F$273</f>
        <v>196</v>
      </c>
      <c r="G321">
        <f>E321+5</f>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f>E322</f>
        <v>200</v>
      </c>
      <c r="I322">
        <v>0</v>
      </c>
      <c r="J322">
        <v>0</v>
      </c>
      <c r="K322">
        <v>0</v>
      </c>
      <c r="L322">
        <v>0</v>
      </c>
      <c r="N322" t="s">
        <v>21</v>
      </c>
      <c r="O322" t="s">
        <v>25</v>
      </c>
      <c r="Q322">
        <v>2</v>
      </c>
      <c r="R322" t="b">
        <v>0</v>
      </c>
      <c r="S322" t="s">
        <v>119</v>
      </c>
      <c r="T322">
        <v>0</v>
      </c>
    </row>
    <row r="323" spans="1:20" x14ac:dyDescent="0.25">
      <c r="A323" t="s">
        <v>334</v>
      </c>
      <c r="B323">
        <v>20</v>
      </c>
      <c r="C323" t="s">
        <v>19</v>
      </c>
      <c r="D323">
        <f t="shared" ref="D323:D325" si="90">D322</f>
        <v>14</v>
      </c>
      <c r="E323">
        <f>G322+8</f>
        <v>208</v>
      </c>
      <c r="F323">
        <f>F322</f>
        <v>196</v>
      </c>
      <c r="G323">
        <f>E323+4</f>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f t="shared" si="90"/>
        <v>14</v>
      </c>
      <c r="E324">
        <f>G323+2</f>
        <v>214</v>
      </c>
      <c r="F324">
        <f>F323</f>
        <v>196</v>
      </c>
      <c r="G324">
        <f>E324+4</f>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f t="shared" si="90"/>
        <v>14</v>
      </c>
      <c r="E325">
        <f>G324+30</f>
        <v>248</v>
      </c>
      <c r="F325">
        <f>D325+10</f>
        <v>24</v>
      </c>
      <c r="G325">
        <f>E325+(F325-D325)</f>
        <v>258</v>
      </c>
      <c r="I325">
        <v>12</v>
      </c>
      <c r="J325">
        <v>0</v>
      </c>
      <c r="K325">
        <v>0</v>
      </c>
      <c r="L325">
        <v>0</v>
      </c>
      <c r="M325" t="s">
        <v>935</v>
      </c>
      <c r="N325" t="s">
        <v>936</v>
      </c>
      <c r="O325" t="s">
        <v>25</v>
      </c>
      <c r="P325" s="5" t="str">
        <f>"configuration/assets/"&amp;A325&amp;".svg"</f>
        <v>configuration/assets/cc.svg</v>
      </c>
      <c r="Q325">
        <v>2</v>
      </c>
      <c r="R325" t="b">
        <v>1</v>
      </c>
      <c r="T325">
        <v>0</v>
      </c>
    </row>
    <row r="326" spans="1:20" ht="15" customHeight="1" x14ac:dyDescent="0.25">
      <c r="A326" t="s">
        <v>937</v>
      </c>
      <c r="B326">
        <v>20</v>
      </c>
      <c r="C326" t="s">
        <v>24</v>
      </c>
      <c r="D326">
        <f>F325+2</f>
        <v>26</v>
      </c>
      <c r="E326">
        <f>E325</f>
        <v>248</v>
      </c>
      <c r="F326">
        <f>D326+10</f>
        <v>36</v>
      </c>
      <c r="G326">
        <f>E326+(F326-D326)</f>
        <v>258</v>
      </c>
      <c r="I326">
        <v>12</v>
      </c>
      <c r="J326">
        <v>0</v>
      </c>
      <c r="K326">
        <v>0</v>
      </c>
      <c r="L326">
        <v>0</v>
      </c>
      <c r="M326" t="s">
        <v>935</v>
      </c>
      <c r="N326" t="s">
        <v>936</v>
      </c>
      <c r="O326" t="s">
        <v>25</v>
      </c>
      <c r="P326" s="5" t="str">
        <f>"configuration/assets/"&amp;A326&amp;".svg"</f>
        <v>configuration/assets/by.svg</v>
      </c>
      <c r="Q326">
        <v>2</v>
      </c>
      <c r="R326" t="b">
        <v>1</v>
      </c>
      <c r="T326">
        <v>0</v>
      </c>
    </row>
    <row r="327" spans="1:20" ht="15" customHeight="1" x14ac:dyDescent="0.25">
      <c r="A327" t="s">
        <v>938</v>
      </c>
      <c r="B327">
        <v>20</v>
      </c>
      <c r="C327" t="s">
        <v>24</v>
      </c>
      <c r="D327">
        <f>F326+2</f>
        <v>38</v>
      </c>
      <c r="E327">
        <f>E326</f>
        <v>248</v>
      </c>
      <c r="F327">
        <f>D327+10</f>
        <v>48</v>
      </c>
      <c r="G327">
        <f>E327+(F327-D327)</f>
        <v>258</v>
      </c>
      <c r="I327">
        <v>12</v>
      </c>
      <c r="J327">
        <v>0</v>
      </c>
      <c r="K327">
        <v>0</v>
      </c>
      <c r="L327">
        <v>0</v>
      </c>
      <c r="M327" t="s">
        <v>935</v>
      </c>
      <c r="N327" t="s">
        <v>936</v>
      </c>
      <c r="O327" t="s">
        <v>25</v>
      </c>
      <c r="P327" s="5" t="str">
        <f>"configuration/assets/"&amp;A327&amp;".svg"</f>
        <v>configuration/assets/nc.svg</v>
      </c>
      <c r="Q327">
        <v>2</v>
      </c>
      <c r="R327" t="b">
        <v>1</v>
      </c>
      <c r="T327">
        <v>0</v>
      </c>
    </row>
    <row r="328" spans="1:20" ht="18" customHeight="1" x14ac:dyDescent="0.25">
      <c r="A328" t="s">
        <v>115</v>
      </c>
      <c r="B328">
        <v>20</v>
      </c>
      <c r="C328" t="s">
        <v>116</v>
      </c>
      <c r="D328">
        <f>D325</f>
        <v>14</v>
      </c>
      <c r="E328">
        <f>G325+5</f>
        <v>263</v>
      </c>
      <c r="F328">
        <f>F324</f>
        <v>196</v>
      </c>
      <c r="G328">
        <f>E328+3</f>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f>D325</f>
        <v>14</v>
      </c>
      <c r="E329">
        <f>G328+8</f>
        <v>274</v>
      </c>
      <c r="F329">
        <v>196</v>
      </c>
      <c r="G329">
        <f>E329</f>
        <v>274</v>
      </c>
      <c r="I329">
        <v>0</v>
      </c>
      <c r="J329">
        <v>0</v>
      </c>
      <c r="K329">
        <v>0</v>
      </c>
      <c r="L329">
        <v>0</v>
      </c>
      <c r="N329" t="s">
        <v>21</v>
      </c>
      <c r="O329" t="s">
        <v>25</v>
      </c>
      <c r="Q329">
        <v>2</v>
      </c>
      <c r="R329" t="b">
        <v>0</v>
      </c>
      <c r="S329" t="s">
        <v>119</v>
      </c>
      <c r="T329">
        <v>0</v>
      </c>
    </row>
  </sheetData>
  <autoFilter ref="A1:T1"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activeCell="B1" sqref="B1"/>
      <selection pane="bottomLeft" activeCell="A2" sqref="A2"/>
      <selection pane="bottomRight" activeCell="A2" sqref="A2"/>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f>E2+8</f>
        <v>123</v>
      </c>
      <c r="H2" t="s">
        <v>102</v>
      </c>
      <c r="I2">
        <v>30</v>
      </c>
      <c r="J2">
        <v>1</v>
      </c>
      <c r="K2">
        <v>0</v>
      </c>
      <c r="L2">
        <v>0</v>
      </c>
      <c r="M2" t="s">
        <v>884</v>
      </c>
      <c r="N2" t="s">
        <v>21</v>
      </c>
      <c r="O2" t="s">
        <v>25</v>
      </c>
      <c r="Q2">
        <v>0</v>
      </c>
      <c r="R2" t="b">
        <v>1</v>
      </c>
      <c r="S2" t="s">
        <v>119</v>
      </c>
      <c r="T2">
        <v>0</v>
      </c>
    </row>
    <row r="3" spans="1:20" x14ac:dyDescent="0.25">
      <c r="A3" t="s">
        <v>886</v>
      </c>
      <c r="B3">
        <v>1</v>
      </c>
      <c r="C3" t="s">
        <v>19</v>
      </c>
      <c r="D3">
        <f>$D$2</f>
        <v>28</v>
      </c>
      <c r="E3">
        <f>G2+4</f>
        <v>127</v>
      </c>
      <c r="F3">
        <f>$F$2</f>
        <v>200</v>
      </c>
      <c r="G3">
        <f>E3+8</f>
        <v>135</v>
      </c>
      <c r="H3" t="s">
        <v>102</v>
      </c>
      <c r="I3">
        <v>30</v>
      </c>
      <c r="J3">
        <v>1</v>
      </c>
      <c r="K3">
        <v>0</v>
      </c>
      <c r="L3">
        <v>0</v>
      </c>
      <c r="M3" t="s">
        <v>884</v>
      </c>
      <c r="N3" t="s">
        <v>21</v>
      </c>
      <c r="O3" t="s">
        <v>25</v>
      </c>
      <c r="Q3">
        <v>0</v>
      </c>
      <c r="R3" t="b">
        <v>1</v>
      </c>
      <c r="S3" t="s">
        <v>119</v>
      </c>
      <c r="T3">
        <v>0</v>
      </c>
    </row>
    <row r="4" spans="1:20" x14ac:dyDescent="0.25">
      <c r="A4" t="s">
        <v>908</v>
      </c>
      <c r="B4">
        <v>1</v>
      </c>
      <c r="C4" t="s">
        <v>19</v>
      </c>
      <c r="D4">
        <f>$D$2</f>
        <v>28</v>
      </c>
      <c r="E4">
        <f>G3+4</f>
        <v>139</v>
      </c>
      <c r="F4">
        <f>$F$2</f>
        <v>200</v>
      </c>
      <c r="G4">
        <f>E4+8</f>
        <v>147</v>
      </c>
      <c r="H4" t="s">
        <v>102</v>
      </c>
      <c r="I4">
        <v>30</v>
      </c>
      <c r="J4">
        <v>1</v>
      </c>
      <c r="K4">
        <v>0</v>
      </c>
      <c r="L4">
        <v>0</v>
      </c>
      <c r="M4" t="s">
        <v>884</v>
      </c>
      <c r="N4" t="s">
        <v>21</v>
      </c>
      <c r="O4" t="s">
        <v>25</v>
      </c>
      <c r="Q4">
        <v>0</v>
      </c>
      <c r="R4" t="b">
        <v>1</v>
      </c>
      <c r="T4">
        <v>0</v>
      </c>
    </row>
    <row r="5" spans="1:20" x14ac:dyDescent="0.25">
      <c r="A5" t="s">
        <v>18</v>
      </c>
      <c r="B5">
        <v>3</v>
      </c>
      <c r="C5" t="s">
        <v>19</v>
      </c>
      <c r="D5">
        <v>0</v>
      </c>
      <c r="E5">
        <v>10</v>
      </c>
      <c r="F5">
        <f t="shared" ref="F5:F15" si="0">$F$2</f>
        <v>200</v>
      </c>
      <c r="G5">
        <f t="shared" ref="G5:G6" si="1">E5+3</f>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f t="shared" si="0"/>
        <v>200</v>
      </c>
      <c r="G6">
        <f t="shared" si="1"/>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f>$D$2</f>
        <v>28</v>
      </c>
      <c r="E12">
        <f>G4+8</f>
        <v>155</v>
      </c>
      <c r="F12">
        <f t="shared" si="0"/>
        <v>200</v>
      </c>
      <c r="G12">
        <f>E12+8</f>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f>$D$2</f>
        <v>28</v>
      </c>
      <c r="E13">
        <f>G12</f>
        <v>163</v>
      </c>
      <c r="F13">
        <f t="shared" si="0"/>
        <v>200</v>
      </c>
      <c r="G13">
        <f>E13+6</f>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f>$D$2</f>
        <v>28</v>
      </c>
      <c r="E14">
        <f>G13</f>
        <v>169</v>
      </c>
      <c r="F14">
        <f t="shared" si="0"/>
        <v>200</v>
      </c>
      <c r="G14">
        <f>E14+6</f>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f>$D$2</f>
        <v>28</v>
      </c>
      <c r="E15">
        <v>171</v>
      </c>
      <c r="F15">
        <f t="shared" si="0"/>
        <v>200</v>
      </c>
      <c r="G15">
        <f>E15+6</f>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f>$D$2</f>
        <v>28</v>
      </c>
      <c r="E16">
        <f>E17-5</f>
        <v>193</v>
      </c>
      <c r="F16">
        <v>205</v>
      </c>
      <c r="G16">
        <f>E16+5</f>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f t="shared" ref="G21:G26" si="2">E21+5</f>
        <v>25</v>
      </c>
      <c r="H21" t="s">
        <v>102</v>
      </c>
      <c r="I21">
        <v>12</v>
      </c>
      <c r="J21">
        <v>0</v>
      </c>
      <c r="K21">
        <v>0</v>
      </c>
      <c r="L21">
        <v>0</v>
      </c>
      <c r="M21" t="s">
        <v>903</v>
      </c>
      <c r="N21" t="s">
        <v>1023</v>
      </c>
      <c r="O21" t="s">
        <v>25</v>
      </c>
      <c r="Q21">
        <v>3</v>
      </c>
      <c r="R21" t="b">
        <v>1</v>
      </c>
      <c r="S21" t="s">
        <v>119</v>
      </c>
      <c r="T21">
        <v>0</v>
      </c>
    </row>
    <row r="22" spans="1:20" x14ac:dyDescent="0.25">
      <c r="A22" t="s">
        <v>904</v>
      </c>
      <c r="B22">
        <v>2</v>
      </c>
      <c r="C22" t="s">
        <v>19</v>
      </c>
      <c r="D22">
        <f>$D$21</f>
        <v>10</v>
      </c>
      <c r="E22">
        <v>135</v>
      </c>
      <c r="F22">
        <f>$F$21</f>
        <v>196</v>
      </c>
      <c r="G22">
        <f t="shared" si="2"/>
        <v>140</v>
      </c>
      <c r="H22" t="s">
        <v>102</v>
      </c>
      <c r="I22">
        <v>12</v>
      </c>
      <c r="J22">
        <v>0</v>
      </c>
      <c r="K22">
        <v>0</v>
      </c>
      <c r="L22">
        <v>0</v>
      </c>
      <c r="M22" t="s">
        <v>903</v>
      </c>
      <c r="N22" t="s">
        <v>1023</v>
      </c>
      <c r="O22" t="s">
        <v>25</v>
      </c>
      <c r="P22" s="1" t="s">
        <v>905</v>
      </c>
      <c r="Q22">
        <v>2</v>
      </c>
      <c r="R22" t="b">
        <v>1</v>
      </c>
      <c r="T22">
        <v>0</v>
      </c>
    </row>
    <row r="23" spans="1:20" x14ac:dyDescent="0.25">
      <c r="A23" t="s">
        <v>859</v>
      </c>
      <c r="B23">
        <v>2</v>
      </c>
      <c r="C23" t="s">
        <v>19</v>
      </c>
      <c r="D23">
        <f t="shared" ref="D23:D26" si="3">$D$21</f>
        <v>10</v>
      </c>
      <c r="E23">
        <f>G22+6</f>
        <v>146</v>
      </c>
      <c r="F23">
        <f t="shared" ref="F23:F26" si="4">$F$21</f>
        <v>196</v>
      </c>
      <c r="G23">
        <f t="shared" si="2"/>
        <v>151</v>
      </c>
      <c r="H23" t="s">
        <v>102</v>
      </c>
      <c r="I23">
        <v>12</v>
      </c>
      <c r="J23">
        <v>0</v>
      </c>
      <c r="K23">
        <v>0</v>
      </c>
      <c r="L23">
        <v>0</v>
      </c>
      <c r="M23" t="s">
        <v>903</v>
      </c>
      <c r="N23" t="s">
        <v>1023</v>
      </c>
      <c r="O23" t="s">
        <v>25</v>
      </c>
      <c r="P23" s="1"/>
      <c r="Q23">
        <v>2</v>
      </c>
      <c r="R23" t="b">
        <v>1</v>
      </c>
      <c r="T23">
        <v>0</v>
      </c>
    </row>
    <row r="24" spans="1:20" x14ac:dyDescent="0.25">
      <c r="A24" t="s">
        <v>860</v>
      </c>
      <c r="B24">
        <v>2</v>
      </c>
      <c r="C24" t="s">
        <v>19</v>
      </c>
      <c r="D24">
        <f t="shared" si="3"/>
        <v>10</v>
      </c>
      <c r="E24">
        <f>G23+10</f>
        <v>161</v>
      </c>
      <c r="F24">
        <f t="shared" si="4"/>
        <v>196</v>
      </c>
      <c r="G24">
        <f t="shared" si="2"/>
        <v>166</v>
      </c>
      <c r="H24" t="s">
        <v>102</v>
      </c>
      <c r="I24">
        <v>12</v>
      </c>
      <c r="J24">
        <v>0</v>
      </c>
      <c r="K24">
        <v>0</v>
      </c>
      <c r="L24">
        <v>0</v>
      </c>
      <c r="N24" t="s">
        <v>1023</v>
      </c>
      <c r="O24" t="s">
        <v>25</v>
      </c>
      <c r="P24" s="1"/>
      <c r="Q24">
        <v>2</v>
      </c>
      <c r="R24" t="b">
        <v>1</v>
      </c>
      <c r="T24">
        <v>0</v>
      </c>
    </row>
    <row r="25" spans="1:20" x14ac:dyDescent="0.25">
      <c r="A25" t="s">
        <v>385</v>
      </c>
      <c r="B25">
        <v>2</v>
      </c>
      <c r="C25" t="s">
        <v>19</v>
      </c>
      <c r="D25">
        <f t="shared" si="3"/>
        <v>10</v>
      </c>
      <c r="E25">
        <f>G24+10</f>
        <v>176</v>
      </c>
      <c r="F25">
        <f t="shared" si="4"/>
        <v>196</v>
      </c>
      <c r="G25">
        <f t="shared" si="2"/>
        <v>181</v>
      </c>
      <c r="H25" t="s">
        <v>102</v>
      </c>
      <c r="I25">
        <v>12</v>
      </c>
      <c r="J25">
        <v>0</v>
      </c>
      <c r="K25">
        <v>0</v>
      </c>
      <c r="L25">
        <v>0</v>
      </c>
      <c r="M25" t="s">
        <v>903</v>
      </c>
      <c r="N25" t="s">
        <v>1023</v>
      </c>
      <c r="O25" t="s">
        <v>25</v>
      </c>
      <c r="P25" s="1"/>
      <c r="Q25">
        <v>2</v>
      </c>
      <c r="R25" t="b">
        <v>1</v>
      </c>
      <c r="T25">
        <v>0</v>
      </c>
    </row>
    <row r="26" spans="1:20" x14ac:dyDescent="0.25">
      <c r="A26" t="s">
        <v>620</v>
      </c>
      <c r="B26">
        <v>2</v>
      </c>
      <c r="C26" t="s">
        <v>19</v>
      </c>
      <c r="D26">
        <f t="shared" si="3"/>
        <v>10</v>
      </c>
      <c r="E26">
        <f>G25+20</f>
        <v>201</v>
      </c>
      <c r="F26">
        <f t="shared" si="4"/>
        <v>196</v>
      </c>
      <c r="G26">
        <f t="shared" si="2"/>
        <v>206</v>
      </c>
      <c r="H26" t="s">
        <v>102</v>
      </c>
      <c r="I26">
        <v>12</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f t="shared" ref="F28" si="5">$F$2</f>
        <v>200</v>
      </c>
      <c r="G28">
        <f>E28+8</f>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669</v>
      </c>
      <c r="B30">
        <v>3</v>
      </c>
      <c r="C30" t="s">
        <v>19</v>
      </c>
      <c r="D30">
        <f>$D$29</f>
        <v>14</v>
      </c>
      <c r="E30">
        <f>G29+8</f>
        <v>41</v>
      </c>
      <c r="F30">
        <f>$F$29</f>
        <v>196</v>
      </c>
      <c r="G30">
        <f>E30+5</f>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f>E32-5</f>
        <v>225</v>
      </c>
      <c r="F31">
        <v>196</v>
      </c>
      <c r="G31">
        <f>E31+5</f>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f>E32+100</f>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126</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127</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99</v>
      </c>
      <c r="B36">
        <v>-999</v>
      </c>
      <c r="C36" t="s">
        <v>19</v>
      </c>
      <c r="D36">
        <f>$D$29</f>
        <v>14</v>
      </c>
      <c r="E36">
        <f>G35+2</f>
        <v>107</v>
      </c>
      <c r="F36">
        <f>$F$29</f>
        <v>196</v>
      </c>
      <c r="G36">
        <f>E36+5</f>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f>#REF!-5</f>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f t="shared" ref="G38:G47" si="6">E38+5</f>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f>G38+4</f>
        <v>89</v>
      </c>
      <c r="F39">
        <v>196</v>
      </c>
      <c r="G39">
        <f t="shared" si="6"/>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f>G39+26</f>
        <v>120</v>
      </c>
      <c r="F40">
        <v>196</v>
      </c>
      <c r="G40">
        <f t="shared" si="6"/>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f>G40+4</f>
        <v>129</v>
      </c>
      <c r="F41">
        <v>196</v>
      </c>
      <c r="G41">
        <f t="shared" si="6"/>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f>G41+26</f>
        <v>160</v>
      </c>
      <c r="F42">
        <v>196</v>
      </c>
      <c r="G42">
        <f t="shared" si="6"/>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f>G42+4</f>
        <v>169</v>
      </c>
      <c r="F43">
        <v>196</v>
      </c>
      <c r="G43">
        <f t="shared" si="6"/>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f>G43+16</f>
        <v>190</v>
      </c>
      <c r="F44">
        <v>196</v>
      </c>
      <c r="G44">
        <f t="shared" si="6"/>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f>G44+4</f>
        <v>199</v>
      </c>
      <c r="F45">
        <v>196</v>
      </c>
      <c r="G45">
        <f t="shared" si="6"/>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f t="shared" si="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f>G46+8</f>
        <v>33</v>
      </c>
      <c r="F47">
        <v>196</v>
      </c>
      <c r="G47">
        <f t="shared" si="6"/>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f>E48+INT(144*(F48-D48)/192)</f>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f>E49+2</f>
        <v>202</v>
      </c>
      <c r="F50">
        <v>196</v>
      </c>
      <c r="G50">
        <f>E50+5</f>
        <v>207</v>
      </c>
      <c r="H50" t="s">
        <v>102</v>
      </c>
      <c r="I50">
        <v>10</v>
      </c>
      <c r="J50">
        <v>1</v>
      </c>
      <c r="K50">
        <v>0</v>
      </c>
      <c r="L50">
        <v>0</v>
      </c>
      <c r="N50" t="s">
        <v>21</v>
      </c>
      <c r="O50" t="s">
        <v>25</v>
      </c>
      <c r="Q50">
        <v>2</v>
      </c>
      <c r="R50" t="b">
        <v>1</v>
      </c>
      <c r="T50">
        <v>0</v>
      </c>
    </row>
    <row r="51" spans="1:20" x14ac:dyDescent="0.25">
      <c r="A51" t="s">
        <v>995</v>
      </c>
      <c r="B51">
        <v>4</v>
      </c>
      <c r="C51" t="s">
        <v>24</v>
      </c>
      <c r="D51">
        <v>14</v>
      </c>
      <c r="E51">
        <f>E49+10</f>
        <v>210</v>
      </c>
      <c r="F51">
        <f t="shared" ref="F51:G53" si="7">D51+10</f>
        <v>24</v>
      </c>
      <c r="G51">
        <f t="shared" si="7"/>
        <v>220</v>
      </c>
      <c r="I51">
        <v>0</v>
      </c>
      <c r="J51">
        <v>0</v>
      </c>
      <c r="K51">
        <v>0</v>
      </c>
      <c r="L51">
        <v>0</v>
      </c>
      <c r="N51" t="s">
        <v>21</v>
      </c>
      <c r="O51" t="s">
        <v>25</v>
      </c>
      <c r="Q51">
        <v>2</v>
      </c>
      <c r="R51" t="b">
        <v>0</v>
      </c>
      <c r="S51" t="s">
        <v>119</v>
      </c>
      <c r="T51">
        <v>0</v>
      </c>
    </row>
    <row r="52" spans="1:20" x14ac:dyDescent="0.25">
      <c r="A52" t="s">
        <v>996</v>
      </c>
      <c r="B52">
        <v>4</v>
      </c>
      <c r="C52" t="s">
        <v>24</v>
      </c>
      <c r="D52">
        <f>INT(D51+(196-14)/3)+1</f>
        <v>75</v>
      </c>
      <c r="E52">
        <f>E51</f>
        <v>210</v>
      </c>
      <c r="F52">
        <f t="shared" si="7"/>
        <v>85</v>
      </c>
      <c r="G52">
        <f t="shared" si="7"/>
        <v>220</v>
      </c>
      <c r="I52">
        <v>0</v>
      </c>
      <c r="J52">
        <v>0</v>
      </c>
      <c r="K52">
        <v>0</v>
      </c>
      <c r="L52">
        <v>0</v>
      </c>
      <c r="N52" t="s">
        <v>21</v>
      </c>
      <c r="O52" t="s">
        <v>25</v>
      </c>
      <c r="Q52">
        <v>2</v>
      </c>
      <c r="R52" t="b">
        <v>0</v>
      </c>
      <c r="S52" t="s">
        <v>119</v>
      </c>
      <c r="T52">
        <v>0</v>
      </c>
    </row>
    <row r="53" spans="1:20" x14ac:dyDescent="0.25">
      <c r="A53" t="s">
        <v>997</v>
      </c>
      <c r="B53">
        <v>4</v>
      </c>
      <c r="C53" t="s">
        <v>24</v>
      </c>
      <c r="D53">
        <f>D52+D52-D51</f>
        <v>136</v>
      </c>
      <c r="E53">
        <f>E51</f>
        <v>210</v>
      </c>
      <c r="F53">
        <f t="shared" si="7"/>
        <v>146</v>
      </c>
      <c r="G53">
        <f t="shared" si="7"/>
        <v>220</v>
      </c>
      <c r="I53">
        <v>0</v>
      </c>
      <c r="J53">
        <v>0</v>
      </c>
      <c r="K53">
        <v>0</v>
      </c>
      <c r="L53">
        <v>0</v>
      </c>
      <c r="N53" t="s">
        <v>21</v>
      </c>
      <c r="O53" t="s">
        <v>25</v>
      </c>
      <c r="Q53">
        <v>2</v>
      </c>
      <c r="R53" t="b">
        <v>0</v>
      </c>
      <c r="S53" t="s">
        <v>119</v>
      </c>
      <c r="T53">
        <v>0</v>
      </c>
    </row>
    <row r="54" spans="1:20" x14ac:dyDescent="0.25">
      <c r="A54" t="s">
        <v>991</v>
      </c>
      <c r="B54">
        <v>4</v>
      </c>
      <c r="C54" t="s">
        <v>19</v>
      </c>
      <c r="D54">
        <f>D51</f>
        <v>14</v>
      </c>
      <c r="E54">
        <f>E51+12</f>
        <v>222</v>
      </c>
      <c r="F54">
        <f>D52-5</f>
        <v>70</v>
      </c>
      <c r="G54">
        <f>E54+5</f>
        <v>227</v>
      </c>
      <c r="H54" t="s">
        <v>102</v>
      </c>
      <c r="I54">
        <v>10</v>
      </c>
      <c r="J54">
        <v>0</v>
      </c>
      <c r="K54">
        <v>0</v>
      </c>
      <c r="L54">
        <v>0</v>
      </c>
      <c r="N54" t="s">
        <v>21</v>
      </c>
      <c r="O54" t="s">
        <v>25</v>
      </c>
      <c r="Q54">
        <v>2</v>
      </c>
      <c r="R54" t="b">
        <v>1</v>
      </c>
      <c r="T54">
        <v>0</v>
      </c>
    </row>
    <row r="55" spans="1:20" x14ac:dyDescent="0.25">
      <c r="A55" t="s">
        <v>992</v>
      </c>
      <c r="B55">
        <v>4</v>
      </c>
      <c r="C55" t="s">
        <v>19</v>
      </c>
      <c r="D55">
        <f>D52</f>
        <v>75</v>
      </c>
      <c r="E55">
        <f>$E$54</f>
        <v>222</v>
      </c>
      <c r="F55">
        <f>D53-5</f>
        <v>131</v>
      </c>
      <c r="G55">
        <f>E55+5</f>
        <v>227</v>
      </c>
      <c r="H55" t="s">
        <v>102</v>
      </c>
      <c r="I55">
        <v>10</v>
      </c>
      <c r="J55">
        <v>0</v>
      </c>
      <c r="K55">
        <v>0</v>
      </c>
      <c r="L55">
        <v>0</v>
      </c>
      <c r="N55" t="s">
        <v>21</v>
      </c>
      <c r="O55" t="s">
        <v>25</v>
      </c>
      <c r="Q55">
        <v>2</v>
      </c>
      <c r="R55" t="b">
        <v>1</v>
      </c>
      <c r="T55">
        <v>0</v>
      </c>
    </row>
    <row r="56" spans="1:20" x14ac:dyDescent="0.25">
      <c r="A56" t="s">
        <v>993</v>
      </c>
      <c r="B56">
        <v>4</v>
      </c>
      <c r="C56" t="s">
        <v>19</v>
      </c>
      <c r="D56">
        <f>D53</f>
        <v>136</v>
      </c>
      <c r="E56">
        <f>$E$54</f>
        <v>222</v>
      </c>
      <c r="F56">
        <v>196</v>
      </c>
      <c r="G56">
        <f>E56+5</f>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f>D57+6</f>
        <v>20</v>
      </c>
      <c r="E58">
        <f>E57+6</f>
        <v>26</v>
      </c>
      <c r="F58">
        <f>F57-2</f>
        <v>194</v>
      </c>
      <c r="G58">
        <f>E58+5</f>
        <v>31</v>
      </c>
      <c r="H58" t="s">
        <v>102</v>
      </c>
      <c r="I58">
        <v>12</v>
      </c>
      <c r="J58">
        <v>1</v>
      </c>
      <c r="K58">
        <v>0</v>
      </c>
      <c r="L58">
        <v>0</v>
      </c>
      <c r="N58" t="s">
        <v>21</v>
      </c>
      <c r="O58" t="s">
        <v>25</v>
      </c>
      <c r="Q58">
        <v>2</v>
      </c>
      <c r="R58" t="b">
        <v>1</v>
      </c>
      <c r="S58" t="s">
        <v>119</v>
      </c>
      <c r="T58">
        <v>0</v>
      </c>
    </row>
    <row r="59" spans="1:20" x14ac:dyDescent="0.25">
      <c r="A59" t="s">
        <v>804</v>
      </c>
      <c r="B59">
        <v>5</v>
      </c>
      <c r="C59" t="s">
        <v>19</v>
      </c>
      <c r="D59">
        <f>D58</f>
        <v>20</v>
      </c>
      <c r="E59">
        <f>G58+8</f>
        <v>39</v>
      </c>
      <c r="F59">
        <f>F58</f>
        <v>194</v>
      </c>
      <c r="G59">
        <f>E59+5</f>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f>INT(E60+(F60-D60)/832*435)</f>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f>G60-2</f>
        <v>233</v>
      </c>
      <c r="F61">
        <f>INT(D61+(F62-D61)/2-1)</f>
        <v>102</v>
      </c>
      <c r="G61">
        <f>E61+3</f>
        <v>236</v>
      </c>
      <c r="H61" t="s">
        <v>102</v>
      </c>
      <c r="I61">
        <v>8</v>
      </c>
      <c r="J61">
        <v>0</v>
      </c>
      <c r="K61">
        <v>0</v>
      </c>
      <c r="L61">
        <v>0</v>
      </c>
      <c r="M61" t="s">
        <v>884</v>
      </c>
      <c r="O61" t="s">
        <v>25</v>
      </c>
      <c r="Q61">
        <v>3</v>
      </c>
      <c r="R61" t="b">
        <v>1</v>
      </c>
      <c r="T61">
        <v>0</v>
      </c>
    </row>
    <row r="62" spans="1:20" x14ac:dyDescent="0.25">
      <c r="A62" t="s">
        <v>83</v>
      </c>
      <c r="B62">
        <v>5</v>
      </c>
      <c r="C62" t="s">
        <v>19</v>
      </c>
      <c r="D62">
        <f>INT(F63-(F62-D61)/2-1)</f>
        <v>114</v>
      </c>
      <c r="E62">
        <f>E61</f>
        <v>233</v>
      </c>
      <c r="F62">
        <v>129</v>
      </c>
      <c r="G62">
        <f>E62+3</f>
        <v>236</v>
      </c>
      <c r="H62" t="s">
        <v>102</v>
      </c>
      <c r="I62">
        <v>8</v>
      </c>
      <c r="J62">
        <v>0</v>
      </c>
      <c r="K62">
        <v>0</v>
      </c>
      <c r="L62">
        <v>0</v>
      </c>
      <c r="M62" t="s">
        <v>884</v>
      </c>
      <c r="O62" t="s">
        <v>22</v>
      </c>
      <c r="Q62">
        <v>3</v>
      </c>
      <c r="R62" t="b">
        <v>1</v>
      </c>
      <c r="T62">
        <v>0</v>
      </c>
    </row>
    <row r="63" spans="1:20" x14ac:dyDescent="0.25">
      <c r="A63" t="s">
        <v>614</v>
      </c>
      <c r="B63">
        <v>5</v>
      </c>
      <c r="C63" t="s">
        <v>19</v>
      </c>
      <c r="D63">
        <f>D61-12</f>
        <v>66</v>
      </c>
      <c r="E63">
        <f>G60+3</f>
        <v>238</v>
      </c>
      <c r="F63">
        <f>F62+12</f>
        <v>141</v>
      </c>
      <c r="G63">
        <f>E63+3</f>
        <v>241</v>
      </c>
      <c r="H63" t="s">
        <v>102</v>
      </c>
      <c r="I63">
        <v>8</v>
      </c>
      <c r="J63">
        <v>0</v>
      </c>
      <c r="K63">
        <v>1</v>
      </c>
      <c r="L63">
        <v>0</v>
      </c>
      <c r="M63" t="s">
        <v>884</v>
      </c>
      <c r="O63" t="s">
        <v>27</v>
      </c>
      <c r="Q63">
        <v>3</v>
      </c>
      <c r="R63" t="b">
        <v>1</v>
      </c>
      <c r="T63">
        <v>0</v>
      </c>
    </row>
    <row r="64" spans="1:20" x14ac:dyDescent="0.25">
      <c r="A64" t="s">
        <v>972</v>
      </c>
      <c r="B64">
        <v>5</v>
      </c>
      <c r="C64" t="s">
        <v>26</v>
      </c>
      <c r="D64">
        <f>D63-2</f>
        <v>64</v>
      </c>
      <c r="E64">
        <f>E61-9</f>
        <v>224</v>
      </c>
      <c r="F64">
        <f>F63+2</f>
        <v>143</v>
      </c>
      <c r="G64">
        <f>G63+5</f>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f>G65+8</f>
        <v>33</v>
      </c>
      <c r="F66">
        <f>$F$108</f>
        <v>180</v>
      </c>
      <c r="G66">
        <f>E66+5</f>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f>E67+5</f>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f>G67+4</f>
        <v>94</v>
      </c>
      <c r="F68">
        <v>190</v>
      </c>
      <c r="G68">
        <f>INT(E68+(F68-D68)/2078*1889)</f>
        <v>248</v>
      </c>
      <c r="I68">
        <v>0</v>
      </c>
      <c r="J68">
        <v>0</v>
      </c>
      <c r="K68">
        <v>0</v>
      </c>
      <c r="L68">
        <v>0</v>
      </c>
      <c r="N68" t="s">
        <v>21</v>
      </c>
      <c r="O68" t="s">
        <v>25</v>
      </c>
      <c r="Q68">
        <v>2</v>
      </c>
      <c r="R68" t="b">
        <v>0</v>
      </c>
      <c r="S68" t="s">
        <v>119</v>
      </c>
      <c r="T68">
        <v>0</v>
      </c>
    </row>
    <row r="69" spans="1:20" x14ac:dyDescent="0.25">
      <c r="A69" t="s">
        <v>5109</v>
      </c>
      <c r="B69">
        <v>6</v>
      </c>
      <c r="C69" t="s">
        <v>19</v>
      </c>
      <c r="D69">
        <v>14</v>
      </c>
      <c r="E69">
        <f>G68+4</f>
        <v>252</v>
      </c>
      <c r="F69">
        <f>$F$108</f>
        <v>180</v>
      </c>
      <c r="G69">
        <f>E69+8</f>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f>D69</f>
        <v>14</v>
      </c>
      <c r="E70">
        <v>278</v>
      </c>
      <c r="F70">
        <f>F69+1</f>
        <v>181</v>
      </c>
      <c r="G70">
        <f>E70+5</f>
        <v>283</v>
      </c>
      <c r="H70" t="s">
        <v>102</v>
      </c>
      <c r="I70">
        <v>8</v>
      </c>
      <c r="J70">
        <v>0</v>
      </c>
      <c r="K70">
        <v>0</v>
      </c>
      <c r="L70">
        <v>0</v>
      </c>
      <c r="M70" t="s">
        <v>884</v>
      </c>
      <c r="N70" t="s">
        <v>21</v>
      </c>
      <c r="O70" t="s">
        <v>25</v>
      </c>
      <c r="Q70">
        <v>3</v>
      </c>
      <c r="R70" t="b">
        <v>1</v>
      </c>
      <c r="T70">
        <v>0</v>
      </c>
    </row>
    <row r="71" spans="1:20" x14ac:dyDescent="0.25">
      <c r="A71" t="s">
        <v>826</v>
      </c>
      <c r="B71">
        <v>-999</v>
      </c>
      <c r="C71" t="s">
        <v>19</v>
      </c>
      <c r="D71">
        <f>D69</f>
        <v>14</v>
      </c>
      <c r="E71">
        <f>E72+15</f>
        <v>35</v>
      </c>
      <c r="F71">
        <v>208</v>
      </c>
      <c r="G71">
        <f>E71+8</f>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f>E72+5</f>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f>INT(E73+(F73-D73)/80*100)</f>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f>D74+91</f>
        <v>101</v>
      </c>
      <c r="G74">
        <f>E74+70</f>
        <v>80</v>
      </c>
      <c r="I74">
        <v>0</v>
      </c>
      <c r="J74">
        <v>0</v>
      </c>
      <c r="K74">
        <v>0</v>
      </c>
      <c r="L74">
        <v>0</v>
      </c>
      <c r="N74" t="s">
        <v>21</v>
      </c>
      <c r="O74" t="s">
        <v>25</v>
      </c>
      <c r="Q74">
        <v>1</v>
      </c>
      <c r="R74" t="b">
        <v>0</v>
      </c>
      <c r="S74" t="s">
        <v>119</v>
      </c>
      <c r="T74">
        <v>0</v>
      </c>
    </row>
    <row r="75" spans="1:20" x14ac:dyDescent="0.25">
      <c r="A75" t="s">
        <v>824</v>
      </c>
      <c r="B75">
        <v>7</v>
      </c>
      <c r="C75" t="s">
        <v>19</v>
      </c>
      <c r="D75">
        <v>14</v>
      </c>
      <c r="E75">
        <f>G73</f>
        <v>227</v>
      </c>
      <c r="F75">
        <v>196</v>
      </c>
      <c r="G75">
        <f>E75+5</f>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f>G75+8</f>
        <v>240</v>
      </c>
      <c r="F76">
        <v>196</v>
      </c>
      <c r="G76">
        <f>E76+5</f>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f>E77+5</f>
        <v>25</v>
      </c>
      <c r="H77" t="s">
        <v>102</v>
      </c>
      <c r="I77">
        <v>12</v>
      </c>
      <c r="J77">
        <v>1</v>
      </c>
      <c r="K77">
        <v>0</v>
      </c>
      <c r="L77">
        <v>0</v>
      </c>
      <c r="N77" t="s">
        <v>21</v>
      </c>
      <c r="O77" t="s">
        <v>25</v>
      </c>
      <c r="Q77">
        <v>3</v>
      </c>
      <c r="R77" t="b">
        <v>0</v>
      </c>
      <c r="S77" t="s">
        <v>119</v>
      </c>
      <c r="T77">
        <v>0</v>
      </c>
    </row>
    <row r="78" spans="1:20" x14ac:dyDescent="0.25">
      <c r="A78" t="s">
        <v>949</v>
      </c>
      <c r="B78">
        <v>8</v>
      </c>
      <c r="C78" t="s">
        <v>19</v>
      </c>
      <c r="D78">
        <f>D79-11</f>
        <v>29</v>
      </c>
      <c r="E78">
        <f>G77+8</f>
        <v>33</v>
      </c>
      <c r="F78">
        <v>196</v>
      </c>
      <c r="G78">
        <f>E78+5</f>
        <v>38</v>
      </c>
      <c r="H78" t="s">
        <v>102</v>
      </c>
      <c r="I78">
        <v>10</v>
      </c>
      <c r="J78">
        <v>1</v>
      </c>
      <c r="K78">
        <v>0</v>
      </c>
      <c r="L78">
        <v>0</v>
      </c>
      <c r="N78" t="s">
        <v>21</v>
      </c>
      <c r="O78" t="s">
        <v>25</v>
      </c>
      <c r="P78" s="1"/>
      <c r="Q78">
        <v>1</v>
      </c>
      <c r="R78" t="b">
        <v>0</v>
      </c>
      <c r="S78" t="s">
        <v>119</v>
      </c>
      <c r="T78">
        <v>0</v>
      </c>
    </row>
    <row r="79" spans="1:20" x14ac:dyDescent="0.25">
      <c r="A79" t="s">
        <v>830</v>
      </c>
      <c r="B79">
        <v>8</v>
      </c>
      <c r="C79" t="s">
        <v>24</v>
      </c>
      <c r="D79">
        <f>F80</f>
        <v>40</v>
      </c>
      <c r="E79">
        <f>G78+2</f>
        <v>40</v>
      </c>
      <c r="F79">
        <v>104</v>
      </c>
      <c r="G79">
        <f>INT(E79+(F79-D79)/296*192)</f>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f>E79-2</f>
        <v>38</v>
      </c>
      <c r="F80">
        <v>40</v>
      </c>
      <c r="G80">
        <f t="shared" ref="G80:G85" si="8">E80+5</f>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f>G80+3</f>
        <v>46</v>
      </c>
      <c r="F81">
        <v>40</v>
      </c>
      <c r="G81">
        <f t="shared" si="8"/>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f>G81+3</f>
        <v>54</v>
      </c>
      <c r="F82">
        <v>40</v>
      </c>
      <c r="G82">
        <f t="shared" si="8"/>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f>G82+3</f>
        <v>62</v>
      </c>
      <c r="F83">
        <v>40</v>
      </c>
      <c r="G83">
        <f t="shared" si="8"/>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f>G83+3</f>
        <v>70</v>
      </c>
      <c r="F84">
        <v>40</v>
      </c>
      <c r="G84">
        <f t="shared" si="8"/>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f>G84+3</f>
        <v>78</v>
      </c>
      <c r="F85">
        <v>40</v>
      </c>
      <c r="G85">
        <f t="shared" si="8"/>
        <v>83</v>
      </c>
      <c r="H85" t="s">
        <v>102</v>
      </c>
      <c r="I85">
        <v>10</v>
      </c>
      <c r="J85">
        <v>0</v>
      </c>
      <c r="K85">
        <v>0</v>
      </c>
      <c r="L85">
        <v>0</v>
      </c>
      <c r="N85" t="s">
        <v>21</v>
      </c>
      <c r="O85" t="s">
        <v>22</v>
      </c>
      <c r="P85" s="26"/>
      <c r="Q85">
        <v>3</v>
      </c>
      <c r="R85" t="b">
        <v>0</v>
      </c>
      <c r="S85" t="s">
        <v>119</v>
      </c>
      <c r="T85">
        <v>0</v>
      </c>
    </row>
    <row r="86" spans="1:20" x14ac:dyDescent="0.25">
      <c r="A86" t="s">
        <v>926</v>
      </c>
      <c r="B86">
        <v>8</v>
      </c>
      <c r="C86" t="s">
        <v>19</v>
      </c>
      <c r="D86">
        <f>F79+5</f>
        <v>109</v>
      </c>
      <c r="E86">
        <f>E79+5</f>
        <v>45</v>
      </c>
      <c r="F86">
        <v>196</v>
      </c>
      <c r="G86">
        <f>E86+3</f>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f>D79+16</f>
        <v>56</v>
      </c>
      <c r="E87">
        <f>G79+1</f>
        <v>82</v>
      </c>
      <c r="F87">
        <v>196</v>
      </c>
      <c r="G87">
        <f>E87+8</f>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f>G87+10</f>
        <v>100</v>
      </c>
      <c r="F88">
        <v>170</v>
      </c>
      <c r="G88">
        <f>E88</f>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f>INT(E89+(F89-D89)/11*10)</f>
        <v>285</v>
      </c>
      <c r="I89">
        <v>0</v>
      </c>
      <c r="J89">
        <v>0</v>
      </c>
      <c r="K89">
        <v>0</v>
      </c>
      <c r="L89">
        <v>0</v>
      </c>
      <c r="N89" t="s">
        <v>21</v>
      </c>
      <c r="O89" t="s">
        <v>25</v>
      </c>
      <c r="Q89">
        <v>2</v>
      </c>
      <c r="R89" t="b">
        <v>0</v>
      </c>
      <c r="S89" t="s">
        <v>119</v>
      </c>
      <c r="T89">
        <v>0</v>
      </c>
    </row>
    <row r="90" spans="1:20" x14ac:dyDescent="0.25">
      <c r="A90" t="s">
        <v>271</v>
      </c>
      <c r="B90">
        <v>8</v>
      </c>
      <c r="C90" t="s">
        <v>19</v>
      </c>
      <c r="D90">
        <v>14</v>
      </c>
      <c r="E90">
        <f>G87+20</f>
        <v>110</v>
      </c>
      <c r="F90">
        <v>196</v>
      </c>
      <c r="G90">
        <f>E90+8</f>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f>E91+5</f>
        <v>25</v>
      </c>
      <c r="H91" t="s">
        <v>102</v>
      </c>
      <c r="I91">
        <v>12</v>
      </c>
      <c r="J91">
        <v>1</v>
      </c>
      <c r="K91">
        <v>0</v>
      </c>
      <c r="L91">
        <v>0</v>
      </c>
      <c r="N91" t="s">
        <v>21</v>
      </c>
      <c r="O91" t="s">
        <v>25</v>
      </c>
      <c r="Q91">
        <v>3</v>
      </c>
      <c r="R91" t="b">
        <v>0</v>
      </c>
      <c r="S91" t="s">
        <v>119</v>
      </c>
      <c r="T91">
        <v>0</v>
      </c>
    </row>
    <row r="92" spans="1:20" x14ac:dyDescent="0.25">
      <c r="A92" t="s">
        <v>949</v>
      </c>
      <c r="B92">
        <v>9</v>
      </c>
      <c r="C92" t="s">
        <v>19</v>
      </c>
      <c r="D92">
        <f>D93-11</f>
        <v>29</v>
      </c>
      <c r="E92">
        <f>G91+8</f>
        <v>33</v>
      </c>
      <c r="F92">
        <v>196</v>
      </c>
      <c r="G92">
        <f>E92+5</f>
        <v>38</v>
      </c>
      <c r="H92" t="s">
        <v>102</v>
      </c>
      <c r="I92">
        <v>10</v>
      </c>
      <c r="J92">
        <v>1</v>
      </c>
      <c r="K92">
        <v>0</v>
      </c>
      <c r="L92">
        <v>0</v>
      </c>
      <c r="N92" t="s">
        <v>21</v>
      </c>
      <c r="O92" t="s">
        <v>25</v>
      </c>
      <c r="P92" s="1"/>
      <c r="Q92">
        <v>1</v>
      </c>
      <c r="R92" t="b">
        <v>0</v>
      </c>
      <c r="S92" t="s">
        <v>119</v>
      </c>
      <c r="T92">
        <v>0</v>
      </c>
    </row>
    <row r="93" spans="1:20" x14ac:dyDescent="0.25">
      <c r="A93" t="s">
        <v>830</v>
      </c>
      <c r="B93">
        <v>9</v>
      </c>
      <c r="C93" t="s">
        <v>24</v>
      </c>
      <c r="D93">
        <f>F94</f>
        <v>40</v>
      </c>
      <c r="E93">
        <f>G92+2</f>
        <v>40</v>
      </c>
      <c r="F93">
        <v>104</v>
      </c>
      <c r="G93">
        <f>INT(E93+(F93-D93)/296*192)</f>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f>E93-2</f>
        <v>38</v>
      </c>
      <c r="F94">
        <v>40</v>
      </c>
      <c r="G94">
        <f t="shared" ref="G94:G99" si="9">E94+5</f>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f>G94+3</f>
        <v>46</v>
      </c>
      <c r="F95">
        <v>40</v>
      </c>
      <c r="G95">
        <f t="shared" si="9"/>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f>G95+3</f>
        <v>54</v>
      </c>
      <c r="F96">
        <v>40</v>
      </c>
      <c r="G96">
        <f t="shared" si="9"/>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f>G96+3</f>
        <v>62</v>
      </c>
      <c r="F97">
        <v>40</v>
      </c>
      <c r="G97">
        <f t="shared" si="9"/>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f>G97+3</f>
        <v>70</v>
      </c>
      <c r="F98">
        <v>40</v>
      </c>
      <c r="G98">
        <f t="shared" si="9"/>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f>G98+3</f>
        <v>78</v>
      </c>
      <c r="F99">
        <v>40</v>
      </c>
      <c r="G99">
        <f t="shared" si="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f>F93+5</f>
        <v>109</v>
      </c>
      <c r="E100">
        <f>E93+5</f>
        <v>45</v>
      </c>
      <c r="F100">
        <v>196</v>
      </c>
      <c r="G100">
        <f>E100+3</f>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f>D93+16</f>
        <v>56</v>
      </c>
      <c r="E101">
        <f>G93+1</f>
        <v>82</v>
      </c>
      <c r="F101">
        <v>196</v>
      </c>
      <c r="G101">
        <f>E101+8</f>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f>G101+10</f>
        <v>100</v>
      </c>
      <c r="F102">
        <v>170</v>
      </c>
      <c r="G102">
        <f>E102</f>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f>INT(E103+(F103-D103)/11*10)</f>
        <v>285</v>
      </c>
      <c r="I103">
        <v>0</v>
      </c>
      <c r="J103">
        <v>0</v>
      </c>
      <c r="K103">
        <v>0</v>
      </c>
      <c r="L103">
        <v>0</v>
      </c>
      <c r="N103" t="s">
        <v>21</v>
      </c>
      <c r="O103" t="s">
        <v>25</v>
      </c>
      <c r="Q103">
        <v>2</v>
      </c>
      <c r="R103" t="b">
        <v>0</v>
      </c>
      <c r="S103" t="s">
        <v>119</v>
      </c>
      <c r="T103">
        <v>0</v>
      </c>
    </row>
    <row r="104" spans="1:20" x14ac:dyDescent="0.25">
      <c r="A104" t="s">
        <v>272</v>
      </c>
      <c r="B104">
        <v>9</v>
      </c>
      <c r="C104" t="s">
        <v>19</v>
      </c>
      <c r="D104">
        <v>14</v>
      </c>
      <c r="E104">
        <f>G101+20</f>
        <v>110</v>
      </c>
      <c r="F104">
        <v>196</v>
      </c>
      <c r="G104">
        <f>E104+8</f>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f>E105+5</f>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f>G105+8</f>
        <v>33</v>
      </c>
      <c r="F106">
        <v>196</v>
      </c>
      <c r="G106">
        <f>E106+5</f>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f>INT(E107+(F107-D107)/11*10)</f>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f>G107+8</f>
        <v>253</v>
      </c>
      <c r="F108">
        <v>180</v>
      </c>
      <c r="G108">
        <f>E108+8</f>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f>E109+5</f>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f>G109+8</f>
        <v>33</v>
      </c>
      <c r="F110">
        <v>196</v>
      </c>
      <c r="G110">
        <f>E110+5</f>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f>INT(E111+(F111-D111)/11*10)</f>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f>G111+8</f>
        <v>253</v>
      </c>
      <c r="F112">
        <v>180</v>
      </c>
      <c r="G112">
        <f>E112+8</f>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f>E115</f>
        <v>200</v>
      </c>
      <c r="I115">
        <v>0</v>
      </c>
      <c r="J115">
        <v>0</v>
      </c>
      <c r="K115">
        <v>0</v>
      </c>
      <c r="L115">
        <v>0</v>
      </c>
      <c r="N115" t="s">
        <v>21</v>
      </c>
      <c r="O115" t="s">
        <v>25</v>
      </c>
      <c r="Q115">
        <v>2</v>
      </c>
      <c r="R115" t="b">
        <v>0</v>
      </c>
      <c r="S115" t="s">
        <v>119</v>
      </c>
      <c r="T115">
        <v>0</v>
      </c>
    </row>
    <row r="116" spans="1:20" x14ac:dyDescent="0.25">
      <c r="A116" t="s">
        <v>334</v>
      </c>
      <c r="B116">
        <v>12</v>
      </c>
      <c r="C116" t="s">
        <v>19</v>
      </c>
      <c r="D116">
        <f t="shared" ref="D116:D118" si="10">D115</f>
        <v>14</v>
      </c>
      <c r="E116">
        <f>G115+8</f>
        <v>208</v>
      </c>
      <c r="F116">
        <f>F115</f>
        <v>196</v>
      </c>
      <c r="G116">
        <f>E116+4</f>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f t="shared" si="10"/>
        <v>14</v>
      </c>
      <c r="E117">
        <f>G116+2</f>
        <v>214</v>
      </c>
      <c r="F117">
        <f>F116</f>
        <v>196</v>
      </c>
      <c r="G117">
        <f>E117+4</f>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f t="shared" si="10"/>
        <v>14</v>
      </c>
      <c r="E118">
        <f>G117+30</f>
        <v>248</v>
      </c>
      <c r="F118">
        <f>D118+10</f>
        <v>24</v>
      </c>
      <c r="G118">
        <f>E118+(F118-D118)</f>
        <v>258</v>
      </c>
      <c r="I118">
        <v>12</v>
      </c>
      <c r="J118">
        <v>0</v>
      </c>
      <c r="K118">
        <v>0</v>
      </c>
      <c r="L118">
        <v>0</v>
      </c>
      <c r="M118" t="s">
        <v>935</v>
      </c>
      <c r="N118" t="s">
        <v>936</v>
      </c>
      <c r="O118" t="s">
        <v>25</v>
      </c>
      <c r="P118" s="5" t="str">
        <f>"configuration/assets/"&amp;A118&amp;".svg"</f>
        <v>configuration/assets/cc.svg</v>
      </c>
      <c r="Q118">
        <v>2</v>
      </c>
      <c r="R118" t="b">
        <v>1</v>
      </c>
      <c r="T118">
        <v>0</v>
      </c>
    </row>
    <row r="119" spans="1:20" x14ac:dyDescent="0.25">
      <c r="A119" t="s">
        <v>937</v>
      </c>
      <c r="B119">
        <v>12</v>
      </c>
      <c r="C119" t="s">
        <v>24</v>
      </c>
      <c r="D119">
        <f>F118+2</f>
        <v>26</v>
      </c>
      <c r="E119">
        <f>E118</f>
        <v>248</v>
      </c>
      <c r="F119">
        <f>D119+10</f>
        <v>36</v>
      </c>
      <c r="G119">
        <f>E119+(F119-D119)</f>
        <v>258</v>
      </c>
      <c r="I119">
        <v>12</v>
      </c>
      <c r="J119">
        <v>0</v>
      </c>
      <c r="K119">
        <v>0</v>
      </c>
      <c r="L119">
        <v>0</v>
      </c>
      <c r="M119" t="s">
        <v>935</v>
      </c>
      <c r="N119" t="s">
        <v>936</v>
      </c>
      <c r="O119" t="s">
        <v>25</v>
      </c>
      <c r="P119" s="5" t="str">
        <f>"configuration/assets/"&amp;A119&amp;".svg"</f>
        <v>configuration/assets/by.svg</v>
      </c>
      <c r="Q119">
        <v>2</v>
      </c>
      <c r="R119" t="b">
        <v>1</v>
      </c>
      <c r="T119">
        <v>0</v>
      </c>
    </row>
    <row r="120" spans="1:20" x14ac:dyDescent="0.25">
      <c r="A120" t="s">
        <v>938</v>
      </c>
      <c r="B120">
        <v>12</v>
      </c>
      <c r="C120" t="s">
        <v>24</v>
      </c>
      <c r="D120">
        <f>F119+2</f>
        <v>38</v>
      </c>
      <c r="E120">
        <f>E119</f>
        <v>248</v>
      </c>
      <c r="F120">
        <f>D120+10</f>
        <v>48</v>
      </c>
      <c r="G120">
        <f>E120+(F120-D120)</f>
        <v>258</v>
      </c>
      <c r="I120">
        <v>12</v>
      </c>
      <c r="J120">
        <v>0</v>
      </c>
      <c r="K120">
        <v>0</v>
      </c>
      <c r="L120">
        <v>0</v>
      </c>
      <c r="M120" t="s">
        <v>935</v>
      </c>
      <c r="N120" t="s">
        <v>936</v>
      </c>
      <c r="O120" t="s">
        <v>25</v>
      </c>
      <c r="P120" s="5" t="str">
        <f>"configuration/assets/"&amp;A120&amp;".svg"</f>
        <v>configuration/assets/nc.svg</v>
      </c>
      <c r="Q120">
        <v>2</v>
      </c>
      <c r="R120" t="b">
        <v>1</v>
      </c>
      <c r="T120">
        <v>0</v>
      </c>
    </row>
    <row r="121" spans="1:20" ht="15" customHeight="1" x14ac:dyDescent="0.25">
      <c r="A121" t="s">
        <v>115</v>
      </c>
      <c r="B121">
        <v>12</v>
      </c>
      <c r="C121" t="s">
        <v>116</v>
      </c>
      <c r="D121">
        <f>D118</f>
        <v>14</v>
      </c>
      <c r="E121">
        <f>G118+5</f>
        <v>263</v>
      </c>
      <c r="F121">
        <f>F117</f>
        <v>196</v>
      </c>
      <c r="G121">
        <f>E121+3</f>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f>D118</f>
        <v>14</v>
      </c>
      <c r="E122">
        <f>G121+8</f>
        <v>274</v>
      </c>
      <c r="F122">
        <v>196</v>
      </c>
      <c r="G122">
        <f>E122</f>
        <v>274</v>
      </c>
      <c r="I122">
        <v>0</v>
      </c>
      <c r="J122">
        <v>0</v>
      </c>
      <c r="K122">
        <v>0</v>
      </c>
      <c r="L122">
        <v>0</v>
      </c>
      <c r="N122" t="s">
        <v>21</v>
      </c>
      <c r="O122" t="s">
        <v>25</v>
      </c>
      <c r="Q122">
        <v>2</v>
      </c>
      <c r="R122" t="b">
        <v>0</v>
      </c>
      <c r="S122" t="s">
        <v>119</v>
      </c>
      <c r="T122">
        <v>0</v>
      </c>
    </row>
  </sheetData>
  <autoFilter ref="A1:T48"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activeCell="B1" sqref="B1"/>
      <selection pane="bottomLeft" activeCell="A2" sqref="A2"/>
      <selection pane="bottomRight" activeCell="A2" sqref="A2"/>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f>E2+8</f>
        <v>123</v>
      </c>
      <c r="H2" t="s">
        <v>102</v>
      </c>
      <c r="I2">
        <v>30</v>
      </c>
      <c r="J2">
        <v>1</v>
      </c>
      <c r="K2">
        <v>0</v>
      </c>
      <c r="L2">
        <v>0</v>
      </c>
      <c r="M2" t="s">
        <v>884</v>
      </c>
      <c r="N2" t="s">
        <v>21</v>
      </c>
      <c r="O2" t="s">
        <v>25</v>
      </c>
      <c r="Q2">
        <v>0</v>
      </c>
      <c r="R2" t="b">
        <v>1</v>
      </c>
      <c r="S2" t="s">
        <v>119</v>
      </c>
      <c r="T2">
        <v>0</v>
      </c>
    </row>
    <row r="3" spans="1:20" x14ac:dyDescent="0.25">
      <c r="A3" t="s">
        <v>886</v>
      </c>
      <c r="B3">
        <v>1</v>
      </c>
      <c r="C3" t="s">
        <v>19</v>
      </c>
      <c r="D3">
        <f>$D$2</f>
        <v>28</v>
      </c>
      <c r="E3">
        <f>G2+4</f>
        <v>127</v>
      </c>
      <c r="F3">
        <f>$F$2</f>
        <v>200</v>
      </c>
      <c r="G3">
        <f>E3+8</f>
        <v>135</v>
      </c>
      <c r="H3" t="s">
        <v>102</v>
      </c>
      <c r="I3">
        <v>30</v>
      </c>
      <c r="J3">
        <v>1</v>
      </c>
      <c r="K3">
        <v>0</v>
      </c>
      <c r="L3">
        <v>0</v>
      </c>
      <c r="M3" t="s">
        <v>884</v>
      </c>
      <c r="N3" t="s">
        <v>21</v>
      </c>
      <c r="O3" t="s">
        <v>25</v>
      </c>
      <c r="Q3">
        <v>0</v>
      </c>
      <c r="R3" t="b">
        <v>1</v>
      </c>
      <c r="S3" t="s">
        <v>119</v>
      </c>
      <c r="T3">
        <v>0</v>
      </c>
    </row>
    <row r="4" spans="1:20" x14ac:dyDescent="0.25">
      <c r="A4" t="s">
        <v>908</v>
      </c>
      <c r="B4">
        <v>1</v>
      </c>
      <c r="C4" t="s">
        <v>19</v>
      </c>
      <c r="D4">
        <f>$D$2</f>
        <v>28</v>
      </c>
      <c r="E4">
        <f>G3+4</f>
        <v>139</v>
      </c>
      <c r="F4">
        <f>$F$2</f>
        <v>200</v>
      </c>
      <c r="G4">
        <f>E4+8</f>
        <v>147</v>
      </c>
      <c r="H4" t="s">
        <v>102</v>
      </c>
      <c r="I4">
        <v>30</v>
      </c>
      <c r="J4">
        <v>1</v>
      </c>
      <c r="K4">
        <v>0</v>
      </c>
      <c r="L4">
        <v>0</v>
      </c>
      <c r="M4" t="s">
        <v>884</v>
      </c>
      <c r="N4" t="s">
        <v>21</v>
      </c>
      <c r="O4" t="s">
        <v>25</v>
      </c>
      <c r="Q4">
        <v>0</v>
      </c>
      <c r="R4" t="b">
        <v>1</v>
      </c>
      <c r="T4">
        <v>0</v>
      </c>
    </row>
    <row r="5" spans="1:20" x14ac:dyDescent="0.25">
      <c r="A5" t="s">
        <v>18</v>
      </c>
      <c r="B5">
        <v>3</v>
      </c>
      <c r="C5" t="s">
        <v>19</v>
      </c>
      <c r="D5">
        <v>0</v>
      </c>
      <c r="E5">
        <v>10</v>
      </c>
      <c r="F5">
        <f t="shared" ref="F5:F15" si="0">$F$2</f>
        <v>200</v>
      </c>
      <c r="G5">
        <f t="shared" ref="G5:G6" si="1">E5+3</f>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f t="shared" si="0"/>
        <v>200</v>
      </c>
      <c r="G6">
        <f t="shared" si="1"/>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f t="shared" si="0"/>
        <v>200</v>
      </c>
      <c r="G7">
        <f>E7+3</f>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f t="shared" si="0"/>
        <v>200</v>
      </c>
      <c r="G8">
        <f>E8+3</f>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f t="shared" si="0"/>
        <v>200</v>
      </c>
      <c r="G9">
        <f>E9+3</f>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f t="shared" si="0"/>
        <v>200</v>
      </c>
      <c r="G10">
        <f>E10+3</f>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f t="shared" si="0"/>
        <v>200</v>
      </c>
      <c r="G11">
        <f>E11+3</f>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f>$D$2</f>
        <v>28</v>
      </c>
      <c r="E12">
        <f>G4+8</f>
        <v>155</v>
      </c>
      <c r="F12">
        <f t="shared" si="0"/>
        <v>200</v>
      </c>
      <c r="G12">
        <f>E12+8</f>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f>$D$2</f>
        <v>28</v>
      </c>
      <c r="E13">
        <f>G12</f>
        <v>163</v>
      </c>
      <c r="F13">
        <f t="shared" si="0"/>
        <v>200</v>
      </c>
      <c r="G13">
        <f>E13+6</f>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f>$D$2</f>
        <v>28</v>
      </c>
      <c r="E14">
        <f>G13</f>
        <v>169</v>
      </c>
      <c r="F14">
        <f t="shared" si="0"/>
        <v>200</v>
      </c>
      <c r="G14">
        <f>E14+6</f>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f>$D$2</f>
        <v>28</v>
      </c>
      <c r="E15">
        <v>171</v>
      </c>
      <c r="F15">
        <f t="shared" si="0"/>
        <v>200</v>
      </c>
      <c r="G15">
        <f>E15+6</f>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f>$D$2</f>
        <v>28</v>
      </c>
      <c r="E16">
        <f>E17-5</f>
        <v>193</v>
      </c>
      <c r="F16">
        <v>200</v>
      </c>
      <c r="G16">
        <f>E16+5</f>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f>G17-100</f>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f>E18+5</f>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f>D20+106</f>
        <v>196</v>
      </c>
      <c r="G20">
        <f>E20+30</f>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f t="shared" ref="G21:G26" si="2">E21+5</f>
        <v>25</v>
      </c>
      <c r="H21" t="s">
        <v>102</v>
      </c>
      <c r="I21">
        <v>12</v>
      </c>
      <c r="J21">
        <v>0</v>
      </c>
      <c r="K21">
        <v>0</v>
      </c>
      <c r="L21">
        <v>0</v>
      </c>
      <c r="M21" t="s">
        <v>903</v>
      </c>
      <c r="N21" t="s">
        <v>1024</v>
      </c>
      <c r="O21" t="s">
        <v>25</v>
      </c>
      <c r="Q21">
        <v>3</v>
      </c>
      <c r="R21" t="b">
        <v>1</v>
      </c>
      <c r="S21" t="s">
        <v>119</v>
      </c>
      <c r="T21">
        <v>0</v>
      </c>
    </row>
    <row r="22" spans="1:20" x14ac:dyDescent="0.25">
      <c r="A22" t="s">
        <v>904</v>
      </c>
      <c r="B22">
        <v>2</v>
      </c>
      <c r="C22" t="s">
        <v>19</v>
      </c>
      <c r="D22">
        <f>$D$21</f>
        <v>10</v>
      </c>
      <c r="E22">
        <v>135</v>
      </c>
      <c r="F22">
        <f>$F$21</f>
        <v>196</v>
      </c>
      <c r="G22">
        <f t="shared" si="2"/>
        <v>140</v>
      </c>
      <c r="H22" t="s">
        <v>102</v>
      </c>
      <c r="I22">
        <v>12</v>
      </c>
      <c r="J22">
        <v>0</v>
      </c>
      <c r="K22">
        <v>0</v>
      </c>
      <c r="L22">
        <v>0</v>
      </c>
      <c r="M22" t="s">
        <v>903</v>
      </c>
      <c r="N22" t="s">
        <v>1024</v>
      </c>
      <c r="O22" t="s">
        <v>25</v>
      </c>
      <c r="P22" s="1" t="s">
        <v>905</v>
      </c>
      <c r="Q22">
        <v>2</v>
      </c>
      <c r="R22" t="b">
        <v>1</v>
      </c>
      <c r="T22">
        <v>0</v>
      </c>
    </row>
    <row r="23" spans="1:20" x14ac:dyDescent="0.25">
      <c r="A23" t="s">
        <v>859</v>
      </c>
      <c r="B23">
        <v>2</v>
      </c>
      <c r="C23" t="s">
        <v>19</v>
      </c>
      <c r="D23">
        <f t="shared" ref="D23:D26" si="3">$D$21</f>
        <v>10</v>
      </c>
      <c r="E23">
        <f>G22+6</f>
        <v>146</v>
      </c>
      <c r="F23">
        <f t="shared" ref="F23:F26" si="4">$F$21</f>
        <v>196</v>
      </c>
      <c r="G23">
        <f t="shared" si="2"/>
        <v>151</v>
      </c>
      <c r="H23" t="s">
        <v>102</v>
      </c>
      <c r="I23">
        <v>12</v>
      </c>
      <c r="J23">
        <v>0</v>
      </c>
      <c r="K23">
        <v>0</v>
      </c>
      <c r="L23">
        <v>0</v>
      </c>
      <c r="M23" t="s">
        <v>903</v>
      </c>
      <c r="N23" t="s">
        <v>1024</v>
      </c>
      <c r="O23" t="s">
        <v>25</v>
      </c>
      <c r="P23" s="1"/>
      <c r="Q23">
        <v>2</v>
      </c>
      <c r="R23" t="b">
        <v>1</v>
      </c>
      <c r="T23">
        <v>0</v>
      </c>
    </row>
    <row r="24" spans="1:20" x14ac:dyDescent="0.25">
      <c r="A24" t="s">
        <v>860</v>
      </c>
      <c r="B24">
        <v>2</v>
      </c>
      <c r="C24" t="s">
        <v>19</v>
      </c>
      <c r="D24">
        <f t="shared" si="3"/>
        <v>10</v>
      </c>
      <c r="E24">
        <f>G23+10</f>
        <v>161</v>
      </c>
      <c r="F24">
        <f t="shared" si="4"/>
        <v>196</v>
      </c>
      <c r="G24">
        <f t="shared" si="2"/>
        <v>166</v>
      </c>
      <c r="H24" t="s">
        <v>102</v>
      </c>
      <c r="I24">
        <v>12</v>
      </c>
      <c r="J24">
        <v>0</v>
      </c>
      <c r="K24">
        <v>0</v>
      </c>
      <c r="L24">
        <v>0</v>
      </c>
      <c r="N24" t="s">
        <v>1024</v>
      </c>
      <c r="O24" t="s">
        <v>25</v>
      </c>
      <c r="P24" s="1"/>
      <c r="Q24">
        <v>2</v>
      </c>
      <c r="R24" t="b">
        <v>1</v>
      </c>
      <c r="T24">
        <v>0</v>
      </c>
    </row>
    <row r="25" spans="1:20" x14ac:dyDescent="0.25">
      <c r="A25" t="s">
        <v>385</v>
      </c>
      <c r="B25">
        <v>2</v>
      </c>
      <c r="C25" t="s">
        <v>19</v>
      </c>
      <c r="D25">
        <f t="shared" si="3"/>
        <v>10</v>
      </c>
      <c r="E25">
        <f>G24+10</f>
        <v>176</v>
      </c>
      <c r="F25">
        <f t="shared" si="4"/>
        <v>196</v>
      </c>
      <c r="G25">
        <f t="shared" si="2"/>
        <v>181</v>
      </c>
      <c r="H25" t="s">
        <v>102</v>
      </c>
      <c r="I25">
        <v>12</v>
      </c>
      <c r="J25">
        <v>0</v>
      </c>
      <c r="K25">
        <v>0</v>
      </c>
      <c r="L25">
        <v>0</v>
      </c>
      <c r="M25" t="s">
        <v>903</v>
      </c>
      <c r="N25" t="s">
        <v>1024</v>
      </c>
      <c r="O25" t="s">
        <v>25</v>
      </c>
      <c r="P25" s="1"/>
      <c r="Q25">
        <v>2</v>
      </c>
      <c r="R25" t="b">
        <v>1</v>
      </c>
      <c r="T25">
        <v>0</v>
      </c>
    </row>
    <row r="26" spans="1:20" x14ac:dyDescent="0.25">
      <c r="A26" t="s">
        <v>620</v>
      </c>
      <c r="B26">
        <v>2</v>
      </c>
      <c r="C26" t="s">
        <v>19</v>
      </c>
      <c r="D26">
        <f t="shared" si="3"/>
        <v>10</v>
      </c>
      <c r="E26">
        <f>G25+20</f>
        <v>201</v>
      </c>
      <c r="F26">
        <f t="shared" si="4"/>
        <v>196</v>
      </c>
      <c r="G26">
        <f t="shared" si="2"/>
        <v>206</v>
      </c>
      <c r="H26" t="s">
        <v>102</v>
      </c>
      <c r="I26">
        <v>12</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f t="shared" ref="F28" si="5">$F$2</f>
        <v>200</v>
      </c>
      <c r="G28">
        <f>E28+8</f>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f>G28</f>
        <v>28</v>
      </c>
      <c r="F29">
        <v>196</v>
      </c>
      <c r="G29">
        <f>E29+5</f>
        <v>33</v>
      </c>
      <c r="H29" t="s">
        <v>102</v>
      </c>
      <c r="I29">
        <v>14</v>
      </c>
      <c r="J29">
        <v>0</v>
      </c>
      <c r="K29">
        <v>0</v>
      </c>
      <c r="L29">
        <v>0</v>
      </c>
      <c r="N29" t="s">
        <v>21</v>
      </c>
      <c r="O29" t="s">
        <v>25</v>
      </c>
      <c r="Q29">
        <v>3</v>
      </c>
      <c r="R29" t="b">
        <v>1</v>
      </c>
      <c r="S29" t="s">
        <v>119</v>
      </c>
      <c r="T29">
        <v>0</v>
      </c>
    </row>
    <row r="30" spans="1:20" x14ac:dyDescent="0.25">
      <c r="A30" t="s">
        <v>669</v>
      </c>
      <c r="B30">
        <v>3</v>
      </c>
      <c r="C30" t="s">
        <v>19</v>
      </c>
      <c r="D30">
        <f>$D$29</f>
        <v>14</v>
      </c>
      <c r="E30">
        <f>G29+8</f>
        <v>41</v>
      </c>
      <c r="F30">
        <f>$F$29</f>
        <v>196</v>
      </c>
      <c r="G30">
        <f>E30+5</f>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f>E32-5</f>
        <v>215</v>
      </c>
      <c r="F31">
        <v>196</v>
      </c>
      <c r="G31">
        <f>E31+5</f>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f>E32+100</f>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f>E33+5</f>
        <v>216</v>
      </c>
      <c r="H33" t="s">
        <v>102</v>
      </c>
      <c r="I33">
        <v>12</v>
      </c>
      <c r="J33">
        <v>0</v>
      </c>
      <c r="K33">
        <v>1</v>
      </c>
      <c r="L33">
        <v>0</v>
      </c>
      <c r="N33" t="s">
        <v>21</v>
      </c>
      <c r="O33" t="s">
        <v>25</v>
      </c>
      <c r="Q33">
        <v>0</v>
      </c>
      <c r="R33" t="b">
        <v>1</v>
      </c>
      <c r="S33" t="s">
        <v>119</v>
      </c>
      <c r="T33">
        <v>0</v>
      </c>
    </row>
    <row r="34" spans="1:20" x14ac:dyDescent="0.25">
      <c r="A34" t="s">
        <v>126</v>
      </c>
      <c r="B34">
        <v>-999</v>
      </c>
      <c r="C34" t="s">
        <v>19</v>
      </c>
      <c r="D34">
        <f>$D$29</f>
        <v>14</v>
      </c>
      <c r="E34">
        <f>E30+28</f>
        <v>69</v>
      </c>
      <c r="F34">
        <f>$F$29</f>
        <v>196</v>
      </c>
      <c r="G34">
        <f>E34+4</f>
        <v>73</v>
      </c>
      <c r="H34" t="s">
        <v>102</v>
      </c>
      <c r="I34">
        <v>9</v>
      </c>
      <c r="J34">
        <v>0</v>
      </c>
      <c r="K34">
        <v>0</v>
      </c>
      <c r="L34">
        <v>0</v>
      </c>
      <c r="N34" t="s">
        <v>21</v>
      </c>
      <c r="O34" t="s">
        <v>25</v>
      </c>
      <c r="Q34">
        <v>3</v>
      </c>
      <c r="R34" t="b">
        <v>1</v>
      </c>
      <c r="S34" t="s">
        <v>119</v>
      </c>
      <c r="T34">
        <v>0</v>
      </c>
    </row>
    <row r="35" spans="1:20" x14ac:dyDescent="0.25">
      <c r="A35" t="s">
        <v>127</v>
      </c>
      <c r="B35">
        <v>-999</v>
      </c>
      <c r="C35" t="s">
        <v>19</v>
      </c>
      <c r="D35">
        <f>$D$29</f>
        <v>14</v>
      </c>
      <c r="E35">
        <v>100</v>
      </c>
      <c r="F35">
        <f>$F$29</f>
        <v>196</v>
      </c>
      <c r="G35">
        <f>E35+5</f>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f>E69-5</f>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f t="shared" ref="G37:G46" si="6">E37+5</f>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f>G37+4</f>
        <v>90</v>
      </c>
      <c r="F38">
        <v>196</v>
      </c>
      <c r="G38">
        <f t="shared" si="6"/>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f>G38+26</f>
        <v>121</v>
      </c>
      <c r="F39">
        <v>196</v>
      </c>
      <c r="G39">
        <f t="shared" si="6"/>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f>G39+4</f>
        <v>130</v>
      </c>
      <c r="F40">
        <v>196</v>
      </c>
      <c r="G40">
        <f t="shared" si="6"/>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f>G40+12</f>
        <v>147</v>
      </c>
      <c r="F41">
        <v>196</v>
      </c>
      <c r="G41">
        <f t="shared" si="6"/>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f>G41+4</f>
        <v>156</v>
      </c>
      <c r="F42">
        <v>196</v>
      </c>
      <c r="G42">
        <f t="shared" si="6"/>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f>G42+28</f>
        <v>189</v>
      </c>
      <c r="F43">
        <v>196</v>
      </c>
      <c r="G43">
        <f t="shared" si="6"/>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f>G43+4</f>
        <v>198</v>
      </c>
      <c r="F44">
        <v>196</v>
      </c>
      <c r="G44">
        <f t="shared" si="6"/>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f t="shared" si="6"/>
        <v>25</v>
      </c>
      <c r="H45" t="s">
        <v>102</v>
      </c>
      <c r="I45">
        <v>14</v>
      </c>
      <c r="J45">
        <v>1</v>
      </c>
      <c r="K45">
        <v>0</v>
      </c>
      <c r="L45">
        <v>0</v>
      </c>
      <c r="N45" t="s">
        <v>21</v>
      </c>
      <c r="O45" t="s">
        <v>25</v>
      </c>
      <c r="Q45">
        <v>3</v>
      </c>
      <c r="R45" t="b">
        <v>1</v>
      </c>
      <c r="S45" t="s">
        <v>119</v>
      </c>
      <c r="T45">
        <v>0</v>
      </c>
    </row>
    <row r="46" spans="1:20" x14ac:dyDescent="0.25">
      <c r="A46" t="s">
        <v>801</v>
      </c>
      <c r="B46">
        <v>4</v>
      </c>
      <c r="C46" t="s">
        <v>19</v>
      </c>
      <c r="D46">
        <f>$D$64</f>
        <v>14</v>
      </c>
      <c r="E46">
        <f>G45+8</f>
        <v>33</v>
      </c>
      <c r="F46">
        <f>$F$64</f>
        <v>196</v>
      </c>
      <c r="G46">
        <f t="shared" si="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f>G50+12</f>
        <v>152</v>
      </c>
      <c r="I47">
        <v>0</v>
      </c>
      <c r="J47">
        <v>1</v>
      </c>
      <c r="K47">
        <v>0</v>
      </c>
      <c r="L47">
        <v>0</v>
      </c>
      <c r="M47" t="s">
        <v>665</v>
      </c>
      <c r="N47" t="s">
        <v>665</v>
      </c>
      <c r="O47" t="s">
        <v>25</v>
      </c>
      <c r="Q47">
        <v>1</v>
      </c>
      <c r="R47" t="b">
        <v>0</v>
      </c>
      <c r="S47" t="s">
        <v>119</v>
      </c>
      <c r="T47">
        <v>0</v>
      </c>
    </row>
    <row r="48" spans="1:20" x14ac:dyDescent="0.25">
      <c r="A48" t="s">
        <v>35</v>
      </c>
      <c r="B48">
        <v>4</v>
      </c>
      <c r="C48" t="s">
        <v>19</v>
      </c>
      <c r="D48">
        <f>D47+10</f>
        <v>40</v>
      </c>
      <c r="E48">
        <f>E47+8</f>
        <v>93</v>
      </c>
      <c r="F48">
        <f>F47-10</f>
        <v>160</v>
      </c>
      <c r="G48">
        <f>E48+5</f>
        <v>98</v>
      </c>
      <c r="H48" t="s">
        <v>102</v>
      </c>
      <c r="I48">
        <v>16</v>
      </c>
      <c r="J48">
        <v>1</v>
      </c>
      <c r="K48">
        <v>0</v>
      </c>
      <c r="L48">
        <v>0</v>
      </c>
      <c r="N48" t="s">
        <v>665</v>
      </c>
      <c r="O48" t="s">
        <v>27</v>
      </c>
      <c r="Q48">
        <v>3</v>
      </c>
      <c r="R48" t="b">
        <v>1</v>
      </c>
      <c r="S48" t="s">
        <v>119</v>
      </c>
      <c r="T48">
        <v>0</v>
      </c>
    </row>
    <row r="49" spans="1:20" x14ac:dyDescent="0.25">
      <c r="A49" t="s">
        <v>104</v>
      </c>
      <c r="B49">
        <v>4</v>
      </c>
      <c r="C49" t="s">
        <v>19</v>
      </c>
      <c r="D49">
        <f>D50</f>
        <v>40</v>
      </c>
      <c r="E49">
        <f>G48+8</f>
        <v>106</v>
      </c>
      <c r="F49">
        <f>F50</f>
        <v>160</v>
      </c>
      <c r="G49">
        <f>E49+8</f>
        <v>114</v>
      </c>
      <c r="H49" t="s">
        <v>102</v>
      </c>
      <c r="I49">
        <v>16</v>
      </c>
      <c r="J49">
        <v>0</v>
      </c>
      <c r="K49">
        <v>1</v>
      </c>
      <c r="L49">
        <v>0</v>
      </c>
      <c r="N49" t="s">
        <v>665</v>
      </c>
      <c r="O49" t="s">
        <v>27</v>
      </c>
      <c r="Q49">
        <v>2</v>
      </c>
      <c r="R49" t="b">
        <v>1</v>
      </c>
      <c r="S49" t="s">
        <v>119</v>
      </c>
      <c r="T49">
        <v>0</v>
      </c>
    </row>
    <row r="50" spans="1:20" x14ac:dyDescent="0.25">
      <c r="A50" t="s">
        <v>56</v>
      </c>
      <c r="B50">
        <v>4</v>
      </c>
      <c r="C50" t="s">
        <v>19</v>
      </c>
      <c r="D50">
        <f>D48</f>
        <v>40</v>
      </c>
      <c r="E50">
        <f>G49+20</f>
        <v>134</v>
      </c>
      <c r="F50">
        <f>F48</f>
        <v>160</v>
      </c>
      <c r="G50">
        <f>E50+6</f>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f>G47+30</f>
        <v>182</v>
      </c>
      <c r="F51">
        <v>170</v>
      </c>
      <c r="G51">
        <f>G54+12</f>
        <v>249</v>
      </c>
      <c r="I51">
        <v>0</v>
      </c>
      <c r="J51">
        <v>1</v>
      </c>
      <c r="K51">
        <v>0</v>
      </c>
      <c r="L51">
        <v>0</v>
      </c>
      <c r="M51" t="s">
        <v>967</v>
      </c>
      <c r="N51" t="s">
        <v>967</v>
      </c>
      <c r="O51" t="s">
        <v>25</v>
      </c>
      <c r="Q51">
        <v>1</v>
      </c>
      <c r="R51" t="b">
        <v>0</v>
      </c>
      <c r="S51" t="s">
        <v>119</v>
      </c>
      <c r="T51">
        <v>0</v>
      </c>
    </row>
    <row r="52" spans="1:20" x14ac:dyDescent="0.25">
      <c r="A52" t="s">
        <v>36</v>
      </c>
      <c r="B52">
        <v>4</v>
      </c>
      <c r="C52" t="s">
        <v>19</v>
      </c>
      <c r="D52">
        <f>D51+10</f>
        <v>40</v>
      </c>
      <c r="E52">
        <f>E51+8</f>
        <v>190</v>
      </c>
      <c r="F52">
        <f>F51-10</f>
        <v>160</v>
      </c>
      <c r="G52">
        <f>E52+5</f>
        <v>195</v>
      </c>
      <c r="H52" t="s">
        <v>102</v>
      </c>
      <c r="I52">
        <v>16</v>
      </c>
      <c r="J52">
        <v>1</v>
      </c>
      <c r="K52">
        <v>0</v>
      </c>
      <c r="L52">
        <v>0</v>
      </c>
      <c r="N52" t="s">
        <v>967</v>
      </c>
      <c r="O52" t="s">
        <v>27</v>
      </c>
      <c r="Q52">
        <v>3</v>
      </c>
      <c r="R52" t="b">
        <v>1</v>
      </c>
      <c r="S52" t="s">
        <v>119</v>
      </c>
      <c r="T52">
        <v>0</v>
      </c>
    </row>
    <row r="53" spans="1:20" x14ac:dyDescent="0.25">
      <c r="A53" t="s">
        <v>105</v>
      </c>
      <c r="B53">
        <v>4</v>
      </c>
      <c r="C53" t="s">
        <v>19</v>
      </c>
      <c r="D53">
        <f>D54</f>
        <v>40</v>
      </c>
      <c r="E53">
        <f>G52+8</f>
        <v>203</v>
      </c>
      <c r="F53">
        <f>F54</f>
        <v>160</v>
      </c>
      <c r="G53">
        <f>E53+8</f>
        <v>211</v>
      </c>
      <c r="H53" t="s">
        <v>102</v>
      </c>
      <c r="I53">
        <v>16</v>
      </c>
      <c r="J53">
        <v>0</v>
      </c>
      <c r="K53">
        <v>1</v>
      </c>
      <c r="L53">
        <v>0</v>
      </c>
      <c r="N53" t="s">
        <v>967</v>
      </c>
      <c r="O53" t="s">
        <v>27</v>
      </c>
      <c r="Q53">
        <v>2</v>
      </c>
      <c r="R53" t="b">
        <v>1</v>
      </c>
      <c r="S53" t="s">
        <v>119</v>
      </c>
      <c r="T53">
        <v>0</v>
      </c>
    </row>
    <row r="54" spans="1:20" x14ac:dyDescent="0.25">
      <c r="A54" t="s">
        <v>57</v>
      </c>
      <c r="B54">
        <v>4</v>
      </c>
      <c r="C54" t="s">
        <v>19</v>
      </c>
      <c r="D54">
        <f>D52</f>
        <v>40</v>
      </c>
      <c r="E54">
        <f>G53+20</f>
        <v>231</v>
      </c>
      <c r="F54">
        <f>F52</f>
        <v>160</v>
      </c>
      <c r="G54">
        <f>E54+6</f>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f>G62+8</f>
        <v>244</v>
      </c>
      <c r="I55">
        <v>0</v>
      </c>
      <c r="J55">
        <v>0</v>
      </c>
      <c r="K55">
        <v>0</v>
      </c>
      <c r="L55">
        <v>0</v>
      </c>
      <c r="N55" t="s">
        <v>21</v>
      </c>
      <c r="O55" t="s">
        <v>25</v>
      </c>
      <c r="Q55">
        <v>1</v>
      </c>
      <c r="R55" t="b">
        <v>0</v>
      </c>
      <c r="S55" t="s">
        <v>119</v>
      </c>
      <c r="T55">
        <v>0</v>
      </c>
    </row>
    <row r="56" spans="1:20" x14ac:dyDescent="0.25">
      <c r="A56" t="s">
        <v>805</v>
      </c>
      <c r="B56">
        <v>5</v>
      </c>
      <c r="C56" t="s">
        <v>19</v>
      </c>
      <c r="D56">
        <f>D55+6</f>
        <v>20</v>
      </c>
      <c r="E56">
        <f>E55+6</f>
        <v>51</v>
      </c>
      <c r="F56">
        <f>F55-2</f>
        <v>194</v>
      </c>
      <c r="G56">
        <f>E56+5</f>
        <v>56</v>
      </c>
      <c r="H56" t="s">
        <v>102</v>
      </c>
      <c r="I56">
        <v>12</v>
      </c>
      <c r="J56">
        <v>1</v>
      </c>
      <c r="K56">
        <v>0</v>
      </c>
      <c r="L56">
        <v>0</v>
      </c>
      <c r="N56" t="s">
        <v>21</v>
      </c>
      <c r="O56" t="s">
        <v>25</v>
      </c>
      <c r="Q56">
        <v>2</v>
      </c>
      <c r="R56" t="b">
        <v>1</v>
      </c>
      <c r="S56" t="s">
        <v>119</v>
      </c>
      <c r="T56">
        <v>0</v>
      </c>
    </row>
    <row r="57" spans="1:20" x14ac:dyDescent="0.25">
      <c r="A57" t="s">
        <v>804</v>
      </c>
      <c r="B57">
        <v>5</v>
      </c>
      <c r="C57" t="s">
        <v>19</v>
      </c>
      <c r="D57">
        <f>D56</f>
        <v>20</v>
      </c>
      <c r="E57">
        <f>G56+8</f>
        <v>64</v>
      </c>
      <c r="F57">
        <f>F56</f>
        <v>194</v>
      </c>
      <c r="G57">
        <f>E57+5</f>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f>E55+85</f>
        <v>130</v>
      </c>
      <c r="F58">
        <v>196</v>
      </c>
      <c r="G58">
        <f>INT(E58+(F58-D58)/832*435)</f>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f>G58-2</f>
        <v>223</v>
      </c>
      <c r="F59">
        <f>INT(D59+(F60-D59)/2-1)</f>
        <v>102</v>
      </c>
      <c r="G59">
        <f>E59+3</f>
        <v>226</v>
      </c>
      <c r="H59" t="s">
        <v>102</v>
      </c>
      <c r="I59">
        <v>8</v>
      </c>
      <c r="J59">
        <v>0</v>
      </c>
      <c r="K59">
        <v>0</v>
      </c>
      <c r="L59">
        <v>0</v>
      </c>
      <c r="M59" t="s">
        <v>884</v>
      </c>
      <c r="O59" t="s">
        <v>25</v>
      </c>
      <c r="Q59">
        <v>3</v>
      </c>
      <c r="R59" t="b">
        <v>1</v>
      </c>
      <c r="T59">
        <v>0</v>
      </c>
    </row>
    <row r="60" spans="1:20" x14ac:dyDescent="0.25">
      <c r="A60" t="s">
        <v>83</v>
      </c>
      <c r="B60">
        <v>5</v>
      </c>
      <c r="C60" t="s">
        <v>19</v>
      </c>
      <c r="D60">
        <f>INT(F61-(F60-D59)/2-1)</f>
        <v>114</v>
      </c>
      <c r="E60">
        <f>E59</f>
        <v>223</v>
      </c>
      <c r="F60">
        <v>129</v>
      </c>
      <c r="G60">
        <f>E60+3</f>
        <v>226</v>
      </c>
      <c r="H60" t="s">
        <v>102</v>
      </c>
      <c r="I60">
        <v>8</v>
      </c>
      <c r="J60">
        <v>0</v>
      </c>
      <c r="K60">
        <v>0</v>
      </c>
      <c r="L60">
        <v>0</v>
      </c>
      <c r="M60" t="s">
        <v>884</v>
      </c>
      <c r="O60" t="s">
        <v>22</v>
      </c>
      <c r="Q60">
        <v>3</v>
      </c>
      <c r="R60" t="b">
        <v>1</v>
      </c>
      <c r="T60">
        <v>0</v>
      </c>
    </row>
    <row r="61" spans="1:20" x14ac:dyDescent="0.25">
      <c r="A61" t="s">
        <v>614</v>
      </c>
      <c r="B61">
        <v>5</v>
      </c>
      <c r="C61" t="s">
        <v>19</v>
      </c>
      <c r="D61">
        <f>D59-12</f>
        <v>66</v>
      </c>
      <c r="E61">
        <f>G58+3</f>
        <v>228</v>
      </c>
      <c r="F61">
        <f>F60+12</f>
        <v>141</v>
      </c>
      <c r="G61">
        <f>E61+3</f>
        <v>231</v>
      </c>
      <c r="H61" t="s">
        <v>102</v>
      </c>
      <c r="I61">
        <v>8</v>
      </c>
      <c r="J61">
        <v>0</v>
      </c>
      <c r="K61">
        <v>1</v>
      </c>
      <c r="L61">
        <v>0</v>
      </c>
      <c r="M61" t="s">
        <v>884</v>
      </c>
      <c r="O61" t="s">
        <v>27</v>
      </c>
      <c r="Q61">
        <v>3</v>
      </c>
      <c r="R61" t="b">
        <v>1</v>
      </c>
      <c r="T61">
        <v>0</v>
      </c>
    </row>
    <row r="62" spans="1:20" x14ac:dyDescent="0.25">
      <c r="A62" t="s">
        <v>1026</v>
      </c>
      <c r="B62">
        <v>5</v>
      </c>
      <c r="C62" t="s">
        <v>26</v>
      </c>
      <c r="D62">
        <f>D61-2</f>
        <v>64</v>
      </c>
      <c r="E62">
        <f>E59-9</f>
        <v>214</v>
      </c>
      <c r="F62">
        <f>F61+2</f>
        <v>143</v>
      </c>
      <c r="G62">
        <f>G61+5</f>
        <v>236</v>
      </c>
      <c r="I62">
        <v>0</v>
      </c>
      <c r="J62">
        <v>0</v>
      </c>
      <c r="K62">
        <v>0</v>
      </c>
      <c r="L62">
        <v>0</v>
      </c>
      <c r="O62" t="s">
        <v>25</v>
      </c>
      <c r="Q62">
        <v>1</v>
      </c>
      <c r="R62" t="b">
        <v>0</v>
      </c>
      <c r="S62" t="s">
        <v>119</v>
      </c>
      <c r="T62">
        <v>0</v>
      </c>
    </row>
    <row r="63" spans="1:20" x14ac:dyDescent="0.25">
      <c r="A63" t="s">
        <v>777</v>
      </c>
      <c r="B63">
        <v>6</v>
      </c>
      <c r="C63" t="s">
        <v>19</v>
      </c>
      <c r="D63">
        <v>14</v>
      </c>
      <c r="E63">
        <v>20</v>
      </c>
      <c r="F63">
        <v>196</v>
      </c>
      <c r="G63">
        <f>E63+5</f>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f>G63+8</f>
        <v>33</v>
      </c>
      <c r="F64">
        <v>196</v>
      </c>
      <c r="G64">
        <f>E64+5</f>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f>G94+16</f>
        <v>198</v>
      </c>
      <c r="I65">
        <v>0</v>
      </c>
      <c r="J65">
        <v>1</v>
      </c>
      <c r="K65">
        <v>0</v>
      </c>
      <c r="L65">
        <v>0</v>
      </c>
      <c r="M65" t="s">
        <v>918</v>
      </c>
      <c r="N65" t="str">
        <f>$M$65</f>
        <v>d0d8dd</v>
      </c>
      <c r="O65" t="s">
        <v>25</v>
      </c>
      <c r="Q65">
        <v>1</v>
      </c>
      <c r="R65" t="b">
        <v>0</v>
      </c>
      <c r="S65" t="s">
        <v>119</v>
      </c>
      <c r="T65">
        <v>0</v>
      </c>
    </row>
    <row r="66" spans="1:20" x14ac:dyDescent="0.25">
      <c r="A66" t="s">
        <v>770</v>
      </c>
      <c r="B66">
        <v>6</v>
      </c>
      <c r="C66" t="s">
        <v>19</v>
      </c>
      <c r="D66">
        <v>14</v>
      </c>
      <c r="E66">
        <f>E65+5</f>
        <v>90</v>
      </c>
      <c r="F66">
        <v>196</v>
      </c>
      <c r="G66">
        <f>E66+3</f>
        <v>93</v>
      </c>
      <c r="H66" t="s">
        <v>102</v>
      </c>
      <c r="I66">
        <v>12</v>
      </c>
      <c r="J66">
        <v>1</v>
      </c>
      <c r="K66">
        <v>0</v>
      </c>
      <c r="L66">
        <v>0</v>
      </c>
      <c r="N66" t="str">
        <f t="shared" ref="N66:N73" si="7">$M$65</f>
        <v>d0d8dd</v>
      </c>
      <c r="O66" t="s">
        <v>25</v>
      </c>
      <c r="Q66">
        <v>3</v>
      </c>
      <c r="R66" t="b">
        <v>0</v>
      </c>
      <c r="S66" t="s">
        <v>119</v>
      </c>
      <c r="T66">
        <v>0</v>
      </c>
    </row>
    <row r="67" spans="1:20" x14ac:dyDescent="0.25">
      <c r="A67" t="s">
        <v>774</v>
      </c>
      <c r="B67">
        <v>6</v>
      </c>
      <c r="C67" t="s">
        <v>19</v>
      </c>
      <c r="D67">
        <f t="shared" ref="D67" si="8">D70-1</f>
        <v>113</v>
      </c>
      <c r="E67">
        <f>E65+2</f>
        <v>87</v>
      </c>
      <c r="F67">
        <f>D71-1</f>
        <v>140</v>
      </c>
      <c r="G67">
        <f>E67+5</f>
        <v>92</v>
      </c>
      <c r="H67" t="s">
        <v>102</v>
      </c>
      <c r="I67">
        <v>10</v>
      </c>
      <c r="J67">
        <v>1</v>
      </c>
      <c r="K67">
        <v>0</v>
      </c>
      <c r="L67">
        <v>0</v>
      </c>
      <c r="N67" t="str">
        <f t="shared" si="7"/>
        <v>d0d8dd</v>
      </c>
      <c r="O67" t="s">
        <v>27</v>
      </c>
      <c r="Q67">
        <v>3</v>
      </c>
      <c r="R67" t="b">
        <v>1</v>
      </c>
      <c r="S67" t="s">
        <v>119</v>
      </c>
      <c r="T67">
        <v>0</v>
      </c>
    </row>
    <row r="68" spans="1:20" x14ac:dyDescent="0.25">
      <c r="A68" t="s">
        <v>775</v>
      </c>
      <c r="B68">
        <v>6</v>
      </c>
      <c r="C68" t="s">
        <v>19</v>
      </c>
      <c r="D68">
        <f>D71-1</f>
        <v>140</v>
      </c>
      <c r="E68">
        <f t="shared" ref="E68:E72" si="9">E67</f>
        <v>87</v>
      </c>
      <c r="F68">
        <f>D72+1</f>
        <v>169</v>
      </c>
      <c r="G68">
        <f>G67</f>
        <v>92</v>
      </c>
      <c r="H68" t="s">
        <v>102</v>
      </c>
      <c r="I68">
        <v>10</v>
      </c>
      <c r="J68">
        <v>1</v>
      </c>
      <c r="K68">
        <v>0</v>
      </c>
      <c r="L68">
        <v>0</v>
      </c>
      <c r="N68" t="str">
        <f t="shared" si="7"/>
        <v>d0d8dd</v>
      </c>
      <c r="O68" t="s">
        <v>27</v>
      </c>
      <c r="Q68">
        <v>3</v>
      </c>
      <c r="R68" t="b">
        <v>1</v>
      </c>
      <c r="S68" t="s">
        <v>119</v>
      </c>
      <c r="T68">
        <v>0</v>
      </c>
    </row>
    <row r="69" spans="1:20" x14ac:dyDescent="0.25">
      <c r="A69" t="s">
        <v>776</v>
      </c>
      <c r="B69">
        <v>6</v>
      </c>
      <c r="C69" t="s">
        <v>19</v>
      </c>
      <c r="D69">
        <f>D72</f>
        <v>168</v>
      </c>
      <c r="E69">
        <f t="shared" si="9"/>
        <v>87</v>
      </c>
      <c r="F69">
        <f>D69+26</f>
        <v>194</v>
      </c>
      <c r="G69">
        <f t="shared" ref="G69" si="10">G68</f>
        <v>92</v>
      </c>
      <c r="H69" t="s">
        <v>102</v>
      </c>
      <c r="I69">
        <v>10</v>
      </c>
      <c r="J69">
        <v>1</v>
      </c>
      <c r="K69">
        <v>0</v>
      </c>
      <c r="L69">
        <v>0</v>
      </c>
      <c r="N69" t="str">
        <f t="shared" si="7"/>
        <v>d0d8dd</v>
      </c>
      <c r="O69" t="s">
        <v>27</v>
      </c>
      <c r="Q69">
        <v>3</v>
      </c>
      <c r="R69" t="b">
        <v>1</v>
      </c>
      <c r="S69" t="s">
        <v>119</v>
      </c>
      <c r="T69">
        <v>0</v>
      </c>
    </row>
    <row r="70" spans="1:20" x14ac:dyDescent="0.25">
      <c r="A70" t="s">
        <v>44</v>
      </c>
      <c r="B70">
        <v>6</v>
      </c>
      <c r="C70" t="s">
        <v>25</v>
      </c>
      <c r="D70">
        <v>114</v>
      </c>
      <c r="E70">
        <f>E65</f>
        <v>85</v>
      </c>
      <c r="F70">
        <f>D70</f>
        <v>114</v>
      </c>
      <c r="G70">
        <f>G65</f>
        <v>198</v>
      </c>
      <c r="I70">
        <v>0.5</v>
      </c>
      <c r="J70">
        <v>0</v>
      </c>
      <c r="K70">
        <v>0</v>
      </c>
      <c r="L70">
        <v>0</v>
      </c>
      <c r="M70" t="s">
        <v>21</v>
      </c>
      <c r="N70" t="str">
        <f t="shared" si="7"/>
        <v>d0d8dd</v>
      </c>
      <c r="O70" t="s">
        <v>25</v>
      </c>
      <c r="Q70">
        <v>4</v>
      </c>
      <c r="R70" t="b">
        <v>0</v>
      </c>
      <c r="S70" t="s">
        <v>119</v>
      </c>
      <c r="T70">
        <v>0</v>
      </c>
    </row>
    <row r="71" spans="1:20" x14ac:dyDescent="0.25">
      <c r="A71" t="s">
        <v>45</v>
      </c>
      <c r="B71">
        <v>6</v>
      </c>
      <c r="C71" t="s">
        <v>25</v>
      </c>
      <c r="D71">
        <f>D70+27</f>
        <v>141</v>
      </c>
      <c r="E71">
        <f t="shared" si="9"/>
        <v>85</v>
      </c>
      <c r="F71">
        <f t="shared" ref="F71:F72" si="11">D71</f>
        <v>141</v>
      </c>
      <c r="G71">
        <f>G70</f>
        <v>198</v>
      </c>
      <c r="I71">
        <v>0.5</v>
      </c>
      <c r="J71">
        <v>0</v>
      </c>
      <c r="K71">
        <v>0</v>
      </c>
      <c r="L71">
        <v>0</v>
      </c>
      <c r="M71" t="s">
        <v>21</v>
      </c>
      <c r="N71" t="str">
        <f t="shared" si="7"/>
        <v>d0d8dd</v>
      </c>
      <c r="O71" t="s">
        <v>25</v>
      </c>
      <c r="Q71">
        <v>4</v>
      </c>
      <c r="R71" t="b">
        <v>0</v>
      </c>
      <c r="S71" t="s">
        <v>119</v>
      </c>
      <c r="T71">
        <v>0</v>
      </c>
    </row>
    <row r="72" spans="1:20" x14ac:dyDescent="0.25">
      <c r="A72" t="s">
        <v>46</v>
      </c>
      <c r="B72">
        <v>6</v>
      </c>
      <c r="C72" t="s">
        <v>25</v>
      </c>
      <c r="D72">
        <f>D71+27</f>
        <v>168</v>
      </c>
      <c r="E72">
        <f t="shared" si="9"/>
        <v>85</v>
      </c>
      <c r="F72">
        <f t="shared" si="11"/>
        <v>168</v>
      </c>
      <c r="G72">
        <f>G71</f>
        <v>198</v>
      </c>
      <c r="I72">
        <v>0.5</v>
      </c>
      <c r="J72">
        <v>0</v>
      </c>
      <c r="K72">
        <v>0</v>
      </c>
      <c r="L72">
        <v>0</v>
      </c>
      <c r="M72" t="s">
        <v>21</v>
      </c>
      <c r="N72" t="str">
        <f t="shared" si="7"/>
        <v>d0d8dd</v>
      </c>
      <c r="O72" t="s">
        <v>25</v>
      </c>
      <c r="Q72">
        <v>4</v>
      </c>
      <c r="R72" t="b">
        <v>0</v>
      </c>
      <c r="S72" t="s">
        <v>119</v>
      </c>
      <c r="T72">
        <v>0</v>
      </c>
    </row>
    <row r="73" spans="1:20" x14ac:dyDescent="0.25">
      <c r="A73" t="s">
        <v>55</v>
      </c>
      <c r="B73">
        <v>6</v>
      </c>
      <c r="C73" t="s">
        <v>25</v>
      </c>
      <c r="D73">
        <v>14</v>
      </c>
      <c r="E73">
        <f>E67+25</f>
        <v>112</v>
      </c>
      <c r="F73">
        <v>196</v>
      </c>
      <c r="G73">
        <f>E73</f>
        <v>112</v>
      </c>
      <c r="I73">
        <v>0.5</v>
      </c>
      <c r="J73">
        <v>0</v>
      </c>
      <c r="K73">
        <v>0</v>
      </c>
      <c r="L73">
        <v>0</v>
      </c>
      <c r="M73" t="s">
        <v>21</v>
      </c>
      <c r="N73" t="str">
        <f t="shared" si="7"/>
        <v>d0d8dd</v>
      </c>
      <c r="O73" t="s">
        <v>25</v>
      </c>
      <c r="Q73">
        <v>4</v>
      </c>
      <c r="R73" t="b">
        <v>0</v>
      </c>
      <c r="S73" t="s">
        <v>119</v>
      </c>
      <c r="T73">
        <v>0</v>
      </c>
    </row>
    <row r="74" spans="1:20" x14ac:dyDescent="0.25">
      <c r="A74" t="s">
        <v>920</v>
      </c>
      <c r="B74">
        <v>6</v>
      </c>
      <c r="C74" t="s">
        <v>19</v>
      </c>
      <c r="D74">
        <f>D70</f>
        <v>114</v>
      </c>
      <c r="E74">
        <f>G65+2</f>
        <v>200</v>
      </c>
      <c r="F74">
        <v>196</v>
      </c>
      <c r="G74">
        <f>E74+4</f>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f>E73+2</f>
        <v>114</v>
      </c>
      <c r="F75">
        <f>D70-2</f>
        <v>112</v>
      </c>
      <c r="G75">
        <f>E75+5</f>
        <v>119</v>
      </c>
      <c r="H75" t="s">
        <v>102</v>
      </c>
      <c r="I75">
        <v>12</v>
      </c>
      <c r="J75">
        <v>0</v>
      </c>
      <c r="K75">
        <v>0</v>
      </c>
      <c r="L75">
        <v>0</v>
      </c>
      <c r="N75" t="str">
        <f t="shared" ref="N75:N94" si="12">$M$65</f>
        <v>d0d8dd</v>
      </c>
      <c r="O75" t="s">
        <v>25</v>
      </c>
      <c r="Q75">
        <v>3</v>
      </c>
      <c r="R75" t="b">
        <v>1</v>
      </c>
      <c r="S75" t="s">
        <v>119</v>
      </c>
      <c r="T75">
        <v>0</v>
      </c>
    </row>
    <row r="76" spans="1:20" x14ac:dyDescent="0.25">
      <c r="A76" t="s">
        <v>730</v>
      </c>
      <c r="B76">
        <v>6</v>
      </c>
      <c r="C76" t="s">
        <v>19</v>
      </c>
      <c r="D76">
        <f>D67</f>
        <v>113</v>
      </c>
      <c r="E76">
        <f>E75+1</f>
        <v>115</v>
      </c>
      <c r="F76">
        <f>F67</f>
        <v>140</v>
      </c>
      <c r="G76">
        <f t="shared" ref="G76:G94" si="13">E76+3</f>
        <v>118</v>
      </c>
      <c r="H76" t="s">
        <v>20</v>
      </c>
      <c r="I76">
        <v>16</v>
      </c>
      <c r="J76">
        <v>1</v>
      </c>
      <c r="K76">
        <v>0</v>
      </c>
      <c r="L76">
        <v>0</v>
      </c>
      <c r="N76" t="str">
        <f t="shared" si="12"/>
        <v>d0d8dd</v>
      </c>
      <c r="O76" t="s">
        <v>27</v>
      </c>
      <c r="Q76">
        <v>2</v>
      </c>
      <c r="R76" t="b">
        <v>0</v>
      </c>
      <c r="S76" t="s">
        <v>119</v>
      </c>
      <c r="T76">
        <v>0</v>
      </c>
    </row>
    <row r="77" spans="1:20" x14ac:dyDescent="0.25">
      <c r="A77" t="s">
        <v>731</v>
      </c>
      <c r="B77">
        <v>6</v>
      </c>
      <c r="C77" t="s">
        <v>19</v>
      </c>
      <c r="D77">
        <f>D68</f>
        <v>140</v>
      </c>
      <c r="E77">
        <f>E76</f>
        <v>115</v>
      </c>
      <c r="F77">
        <f>F68</f>
        <v>169</v>
      </c>
      <c r="G77">
        <f t="shared" si="13"/>
        <v>118</v>
      </c>
      <c r="H77" t="s">
        <v>20</v>
      </c>
      <c r="I77">
        <v>16</v>
      </c>
      <c r="J77">
        <v>1</v>
      </c>
      <c r="K77">
        <v>0</v>
      </c>
      <c r="L77">
        <v>0</v>
      </c>
      <c r="N77" t="str">
        <f t="shared" si="12"/>
        <v>d0d8dd</v>
      </c>
      <c r="O77" t="s">
        <v>27</v>
      </c>
      <c r="Q77">
        <v>2</v>
      </c>
      <c r="R77" t="b">
        <v>0</v>
      </c>
      <c r="S77" t="s">
        <v>119</v>
      </c>
      <c r="T77">
        <v>0</v>
      </c>
    </row>
    <row r="78" spans="1:20" x14ac:dyDescent="0.25">
      <c r="A78" t="s">
        <v>732</v>
      </c>
      <c r="B78">
        <v>6</v>
      </c>
      <c r="C78" t="s">
        <v>19</v>
      </c>
      <c r="D78">
        <f>D69</f>
        <v>168</v>
      </c>
      <c r="E78">
        <f>E77</f>
        <v>115</v>
      </c>
      <c r="F78">
        <f>F69</f>
        <v>194</v>
      </c>
      <c r="G78">
        <f t="shared" si="13"/>
        <v>118</v>
      </c>
      <c r="H78" t="s">
        <v>20</v>
      </c>
      <c r="I78">
        <v>16</v>
      </c>
      <c r="J78">
        <v>1</v>
      </c>
      <c r="K78">
        <v>0</v>
      </c>
      <c r="L78">
        <v>0</v>
      </c>
      <c r="N78" t="str">
        <f t="shared" si="12"/>
        <v>d0d8dd</v>
      </c>
      <c r="O78" t="s">
        <v>27</v>
      </c>
      <c r="Q78">
        <v>2</v>
      </c>
      <c r="R78" t="b">
        <v>0</v>
      </c>
      <c r="S78" t="s">
        <v>119</v>
      </c>
      <c r="T78">
        <v>0</v>
      </c>
    </row>
    <row r="79" spans="1:20" x14ac:dyDescent="0.25">
      <c r="A79" t="s">
        <v>733</v>
      </c>
      <c r="B79">
        <v>6</v>
      </c>
      <c r="C79" t="s">
        <v>19</v>
      </c>
      <c r="D79">
        <f t="shared" ref="D79:D94" si="14">D75</f>
        <v>14</v>
      </c>
      <c r="E79">
        <f>E75+16</f>
        <v>130</v>
      </c>
      <c r="F79">
        <f t="shared" ref="F79:F94" si="15">F75</f>
        <v>112</v>
      </c>
      <c r="G79">
        <f>E79+5</f>
        <v>135</v>
      </c>
      <c r="H79" t="s">
        <v>102</v>
      </c>
      <c r="I79">
        <v>12</v>
      </c>
      <c r="J79">
        <v>0</v>
      </c>
      <c r="K79">
        <v>0</v>
      </c>
      <c r="L79">
        <v>0</v>
      </c>
      <c r="N79" t="str">
        <f t="shared" si="12"/>
        <v>d0d8dd</v>
      </c>
      <c r="O79" t="s">
        <v>25</v>
      </c>
      <c r="Q79">
        <v>3</v>
      </c>
      <c r="R79" t="b">
        <v>1</v>
      </c>
      <c r="S79" t="s">
        <v>119</v>
      </c>
      <c r="T79">
        <v>0</v>
      </c>
    </row>
    <row r="80" spans="1:20" x14ac:dyDescent="0.25">
      <c r="A80" t="s">
        <v>734</v>
      </c>
      <c r="B80">
        <v>6</v>
      </c>
      <c r="C80" t="s">
        <v>19</v>
      </c>
      <c r="D80">
        <f t="shared" si="14"/>
        <v>113</v>
      </c>
      <c r="E80">
        <f>E79+1</f>
        <v>131</v>
      </c>
      <c r="F80">
        <f t="shared" si="15"/>
        <v>140</v>
      </c>
      <c r="G80">
        <f>E80+3</f>
        <v>134</v>
      </c>
      <c r="H80" t="s">
        <v>20</v>
      </c>
      <c r="I80">
        <v>16</v>
      </c>
      <c r="J80">
        <v>1</v>
      </c>
      <c r="K80">
        <v>0</v>
      </c>
      <c r="L80">
        <v>0</v>
      </c>
      <c r="N80" t="str">
        <f t="shared" si="12"/>
        <v>d0d8dd</v>
      </c>
      <c r="O80" t="s">
        <v>27</v>
      </c>
      <c r="Q80">
        <v>2</v>
      </c>
      <c r="R80" t="b">
        <v>0</v>
      </c>
      <c r="S80" t="s">
        <v>119</v>
      </c>
      <c r="T80">
        <v>0</v>
      </c>
    </row>
    <row r="81" spans="1:20" x14ac:dyDescent="0.25">
      <c r="A81" t="s">
        <v>735</v>
      </c>
      <c r="B81">
        <v>6</v>
      </c>
      <c r="C81" t="s">
        <v>19</v>
      </c>
      <c r="D81">
        <f t="shared" si="14"/>
        <v>140</v>
      </c>
      <c r="E81">
        <f>E80</f>
        <v>131</v>
      </c>
      <c r="F81">
        <f t="shared" si="15"/>
        <v>169</v>
      </c>
      <c r="G81">
        <f t="shared" si="13"/>
        <v>134</v>
      </c>
      <c r="H81" t="s">
        <v>20</v>
      </c>
      <c r="I81">
        <v>16</v>
      </c>
      <c r="J81">
        <v>1</v>
      </c>
      <c r="K81">
        <v>0</v>
      </c>
      <c r="L81">
        <v>0</v>
      </c>
      <c r="N81" t="str">
        <f t="shared" si="12"/>
        <v>d0d8dd</v>
      </c>
      <c r="O81" t="s">
        <v>27</v>
      </c>
      <c r="Q81">
        <v>2</v>
      </c>
      <c r="R81" t="b">
        <v>0</v>
      </c>
      <c r="S81" t="s">
        <v>119</v>
      </c>
      <c r="T81">
        <v>0</v>
      </c>
    </row>
    <row r="82" spans="1:20" x14ac:dyDescent="0.25">
      <c r="A82" t="s">
        <v>736</v>
      </c>
      <c r="B82">
        <v>6</v>
      </c>
      <c r="C82" t="s">
        <v>19</v>
      </c>
      <c r="D82">
        <f t="shared" si="14"/>
        <v>168</v>
      </c>
      <c r="E82">
        <f>E81</f>
        <v>131</v>
      </c>
      <c r="F82">
        <f t="shared" si="15"/>
        <v>194</v>
      </c>
      <c r="G82">
        <f t="shared" si="13"/>
        <v>134</v>
      </c>
      <c r="H82" t="s">
        <v>20</v>
      </c>
      <c r="I82">
        <v>16</v>
      </c>
      <c r="J82">
        <v>1</v>
      </c>
      <c r="K82">
        <v>0</v>
      </c>
      <c r="L82">
        <v>0</v>
      </c>
      <c r="N82" t="str">
        <f t="shared" si="12"/>
        <v>d0d8dd</v>
      </c>
      <c r="O82" t="s">
        <v>27</v>
      </c>
      <c r="Q82">
        <v>2</v>
      </c>
      <c r="R82" t="b">
        <v>0</v>
      </c>
      <c r="S82" t="s">
        <v>119</v>
      </c>
      <c r="T82">
        <v>0</v>
      </c>
    </row>
    <row r="83" spans="1:20" x14ac:dyDescent="0.25">
      <c r="A83" t="s">
        <v>737</v>
      </c>
      <c r="B83">
        <v>6</v>
      </c>
      <c r="C83" t="s">
        <v>19</v>
      </c>
      <c r="D83">
        <f t="shared" si="14"/>
        <v>14</v>
      </c>
      <c r="E83">
        <f>E79+16</f>
        <v>146</v>
      </c>
      <c r="F83">
        <f t="shared" si="15"/>
        <v>112</v>
      </c>
      <c r="G83">
        <f>E83+5</f>
        <v>151</v>
      </c>
      <c r="H83" t="s">
        <v>102</v>
      </c>
      <c r="I83">
        <v>12</v>
      </c>
      <c r="J83">
        <v>0</v>
      </c>
      <c r="K83">
        <v>0</v>
      </c>
      <c r="L83">
        <v>0</v>
      </c>
      <c r="N83" t="str">
        <f t="shared" si="12"/>
        <v>d0d8dd</v>
      </c>
      <c r="O83" t="s">
        <v>25</v>
      </c>
      <c r="Q83">
        <v>3</v>
      </c>
      <c r="R83" t="b">
        <v>1</v>
      </c>
      <c r="S83" t="s">
        <v>119</v>
      </c>
      <c r="T83">
        <v>0</v>
      </c>
    </row>
    <row r="84" spans="1:20" x14ac:dyDescent="0.25">
      <c r="A84" t="s">
        <v>738</v>
      </c>
      <c r="B84">
        <v>6</v>
      </c>
      <c r="C84" t="s">
        <v>19</v>
      </c>
      <c r="D84">
        <f t="shared" si="14"/>
        <v>113</v>
      </c>
      <c r="E84">
        <f>E83+1</f>
        <v>147</v>
      </c>
      <c r="F84">
        <f t="shared" si="15"/>
        <v>140</v>
      </c>
      <c r="G84">
        <f t="shared" si="13"/>
        <v>150</v>
      </c>
      <c r="H84" t="s">
        <v>20</v>
      </c>
      <c r="I84">
        <v>16</v>
      </c>
      <c r="J84">
        <v>1</v>
      </c>
      <c r="K84">
        <v>0</v>
      </c>
      <c r="L84">
        <v>0</v>
      </c>
      <c r="N84" t="str">
        <f t="shared" si="12"/>
        <v>d0d8dd</v>
      </c>
      <c r="O84" t="s">
        <v>27</v>
      </c>
      <c r="Q84">
        <v>2</v>
      </c>
      <c r="R84" t="b">
        <v>0</v>
      </c>
      <c r="S84" t="s">
        <v>119</v>
      </c>
      <c r="T84">
        <v>0</v>
      </c>
    </row>
    <row r="85" spans="1:20" x14ac:dyDescent="0.25">
      <c r="A85" t="s">
        <v>739</v>
      </c>
      <c r="B85">
        <v>6</v>
      </c>
      <c r="C85" t="s">
        <v>19</v>
      </c>
      <c r="D85">
        <f t="shared" si="14"/>
        <v>140</v>
      </c>
      <c r="E85">
        <f>E84</f>
        <v>147</v>
      </c>
      <c r="F85">
        <f t="shared" si="15"/>
        <v>169</v>
      </c>
      <c r="G85">
        <f t="shared" si="13"/>
        <v>150</v>
      </c>
      <c r="H85" t="s">
        <v>20</v>
      </c>
      <c r="I85">
        <v>16</v>
      </c>
      <c r="J85">
        <v>1</v>
      </c>
      <c r="K85">
        <v>0</v>
      </c>
      <c r="L85">
        <v>0</v>
      </c>
      <c r="N85" t="str">
        <f t="shared" si="12"/>
        <v>d0d8dd</v>
      </c>
      <c r="O85" t="s">
        <v>27</v>
      </c>
      <c r="Q85">
        <v>2</v>
      </c>
      <c r="R85" t="b">
        <v>0</v>
      </c>
      <c r="S85" t="s">
        <v>119</v>
      </c>
      <c r="T85">
        <v>0</v>
      </c>
    </row>
    <row r="86" spans="1:20" x14ac:dyDescent="0.25">
      <c r="A86" t="s">
        <v>740</v>
      </c>
      <c r="B86">
        <v>6</v>
      </c>
      <c r="C86" t="s">
        <v>19</v>
      </c>
      <c r="D86">
        <f t="shared" si="14"/>
        <v>168</v>
      </c>
      <c r="E86">
        <f>E85</f>
        <v>147</v>
      </c>
      <c r="F86">
        <f t="shared" si="15"/>
        <v>194</v>
      </c>
      <c r="G86">
        <f t="shared" si="13"/>
        <v>150</v>
      </c>
      <c r="H86" t="s">
        <v>20</v>
      </c>
      <c r="I86">
        <v>16</v>
      </c>
      <c r="J86">
        <v>1</v>
      </c>
      <c r="K86">
        <v>0</v>
      </c>
      <c r="L86">
        <v>0</v>
      </c>
      <c r="N86" t="str">
        <f t="shared" si="12"/>
        <v>d0d8dd</v>
      </c>
      <c r="O86" t="s">
        <v>27</v>
      </c>
      <c r="Q86">
        <v>2</v>
      </c>
      <c r="R86" t="b">
        <v>0</v>
      </c>
      <c r="S86" t="s">
        <v>119</v>
      </c>
      <c r="T86">
        <v>0</v>
      </c>
    </row>
    <row r="87" spans="1:20" x14ac:dyDescent="0.25">
      <c r="A87" t="s">
        <v>741</v>
      </c>
      <c r="B87">
        <v>6</v>
      </c>
      <c r="C87" t="s">
        <v>19</v>
      </c>
      <c r="D87">
        <f t="shared" si="14"/>
        <v>14</v>
      </c>
      <c r="E87">
        <f>E83+16</f>
        <v>162</v>
      </c>
      <c r="F87">
        <f t="shared" si="15"/>
        <v>112</v>
      </c>
      <c r="G87">
        <f>E87+5</f>
        <v>167</v>
      </c>
      <c r="H87" t="s">
        <v>102</v>
      </c>
      <c r="I87">
        <v>12</v>
      </c>
      <c r="J87">
        <v>0</v>
      </c>
      <c r="K87">
        <v>0</v>
      </c>
      <c r="L87">
        <v>0</v>
      </c>
      <c r="N87" t="str">
        <f t="shared" si="12"/>
        <v>d0d8dd</v>
      </c>
      <c r="O87" t="s">
        <v>25</v>
      </c>
      <c r="Q87">
        <v>3</v>
      </c>
      <c r="R87" t="b">
        <v>1</v>
      </c>
      <c r="S87" t="s">
        <v>119</v>
      </c>
      <c r="T87">
        <v>0</v>
      </c>
    </row>
    <row r="88" spans="1:20" x14ac:dyDescent="0.25">
      <c r="A88" t="s">
        <v>742</v>
      </c>
      <c r="B88">
        <v>6</v>
      </c>
      <c r="C88" t="s">
        <v>19</v>
      </c>
      <c r="D88">
        <f t="shared" si="14"/>
        <v>113</v>
      </c>
      <c r="E88">
        <f>E87+1</f>
        <v>163</v>
      </c>
      <c r="F88">
        <f t="shared" si="15"/>
        <v>140</v>
      </c>
      <c r="G88">
        <f t="shared" si="13"/>
        <v>166</v>
      </c>
      <c r="H88" t="s">
        <v>20</v>
      </c>
      <c r="I88">
        <v>16</v>
      </c>
      <c r="J88">
        <v>1</v>
      </c>
      <c r="K88">
        <v>0</v>
      </c>
      <c r="L88">
        <v>0</v>
      </c>
      <c r="N88" t="str">
        <f t="shared" si="12"/>
        <v>d0d8dd</v>
      </c>
      <c r="O88" t="s">
        <v>27</v>
      </c>
      <c r="Q88">
        <v>2</v>
      </c>
      <c r="R88" t="b">
        <v>0</v>
      </c>
      <c r="S88" t="s">
        <v>119</v>
      </c>
      <c r="T88">
        <v>0</v>
      </c>
    </row>
    <row r="89" spans="1:20" x14ac:dyDescent="0.25">
      <c r="A89" t="s">
        <v>743</v>
      </c>
      <c r="B89">
        <v>6</v>
      </c>
      <c r="C89" t="s">
        <v>19</v>
      </c>
      <c r="D89">
        <f t="shared" si="14"/>
        <v>140</v>
      </c>
      <c r="E89">
        <f>E88</f>
        <v>163</v>
      </c>
      <c r="F89">
        <f t="shared" si="15"/>
        <v>169</v>
      </c>
      <c r="G89">
        <f t="shared" si="13"/>
        <v>166</v>
      </c>
      <c r="H89" t="s">
        <v>20</v>
      </c>
      <c r="I89">
        <v>16</v>
      </c>
      <c r="J89">
        <v>1</v>
      </c>
      <c r="K89">
        <v>0</v>
      </c>
      <c r="L89">
        <v>0</v>
      </c>
      <c r="N89" t="str">
        <f t="shared" si="12"/>
        <v>d0d8dd</v>
      </c>
      <c r="O89" t="s">
        <v>27</v>
      </c>
      <c r="Q89">
        <v>2</v>
      </c>
      <c r="R89" t="b">
        <v>0</v>
      </c>
      <c r="S89" t="s">
        <v>119</v>
      </c>
      <c r="T89">
        <v>0</v>
      </c>
    </row>
    <row r="90" spans="1:20" x14ac:dyDescent="0.25">
      <c r="A90" t="s">
        <v>744</v>
      </c>
      <c r="B90">
        <v>6</v>
      </c>
      <c r="C90" t="s">
        <v>19</v>
      </c>
      <c r="D90">
        <f t="shared" si="14"/>
        <v>168</v>
      </c>
      <c r="E90">
        <f>E89</f>
        <v>163</v>
      </c>
      <c r="F90">
        <f t="shared" si="15"/>
        <v>194</v>
      </c>
      <c r="G90">
        <f t="shared" si="13"/>
        <v>166</v>
      </c>
      <c r="H90" t="s">
        <v>20</v>
      </c>
      <c r="I90">
        <v>16</v>
      </c>
      <c r="J90">
        <v>1</v>
      </c>
      <c r="K90">
        <v>0</v>
      </c>
      <c r="L90">
        <v>0</v>
      </c>
      <c r="N90" t="str">
        <f t="shared" si="12"/>
        <v>d0d8dd</v>
      </c>
      <c r="O90" t="s">
        <v>27</v>
      </c>
      <c r="Q90">
        <v>2</v>
      </c>
      <c r="R90" t="b">
        <v>0</v>
      </c>
      <c r="S90" t="s">
        <v>119</v>
      </c>
      <c r="T90">
        <v>0</v>
      </c>
    </row>
    <row r="91" spans="1:20" x14ac:dyDescent="0.25">
      <c r="A91" t="s">
        <v>745</v>
      </c>
      <c r="B91">
        <v>6</v>
      </c>
      <c r="C91" t="s">
        <v>19</v>
      </c>
      <c r="D91">
        <f t="shared" si="14"/>
        <v>14</v>
      </c>
      <c r="E91">
        <f>E87+16</f>
        <v>178</v>
      </c>
      <c r="F91">
        <f t="shared" si="15"/>
        <v>112</v>
      </c>
      <c r="G91">
        <f>E91+5</f>
        <v>183</v>
      </c>
      <c r="H91" t="s">
        <v>102</v>
      </c>
      <c r="I91">
        <v>12</v>
      </c>
      <c r="J91">
        <v>0</v>
      </c>
      <c r="K91">
        <v>0</v>
      </c>
      <c r="L91">
        <v>0</v>
      </c>
      <c r="N91" t="str">
        <f t="shared" si="12"/>
        <v>d0d8dd</v>
      </c>
      <c r="O91" t="s">
        <v>25</v>
      </c>
      <c r="Q91">
        <v>3</v>
      </c>
      <c r="R91" t="b">
        <v>1</v>
      </c>
      <c r="S91" t="s">
        <v>119</v>
      </c>
      <c r="T91">
        <v>0</v>
      </c>
    </row>
    <row r="92" spans="1:20" x14ac:dyDescent="0.25">
      <c r="A92" t="s">
        <v>746</v>
      </c>
      <c r="B92">
        <v>6</v>
      </c>
      <c r="C92" t="s">
        <v>19</v>
      </c>
      <c r="D92">
        <f t="shared" si="14"/>
        <v>113</v>
      </c>
      <c r="E92">
        <f>E91+1</f>
        <v>179</v>
      </c>
      <c r="F92">
        <f t="shared" si="15"/>
        <v>140</v>
      </c>
      <c r="G92">
        <f t="shared" si="13"/>
        <v>182</v>
      </c>
      <c r="H92" t="s">
        <v>20</v>
      </c>
      <c r="I92">
        <v>16</v>
      </c>
      <c r="J92">
        <v>1</v>
      </c>
      <c r="K92">
        <v>0</v>
      </c>
      <c r="L92">
        <v>0</v>
      </c>
      <c r="N92" t="str">
        <f t="shared" si="12"/>
        <v>d0d8dd</v>
      </c>
      <c r="O92" t="s">
        <v>27</v>
      </c>
      <c r="Q92">
        <v>2</v>
      </c>
      <c r="R92" t="b">
        <v>0</v>
      </c>
      <c r="S92" t="s">
        <v>119</v>
      </c>
      <c r="T92">
        <v>0</v>
      </c>
    </row>
    <row r="93" spans="1:20" x14ac:dyDescent="0.25">
      <c r="A93" t="s">
        <v>747</v>
      </c>
      <c r="B93">
        <v>6</v>
      </c>
      <c r="C93" t="s">
        <v>19</v>
      </c>
      <c r="D93">
        <f t="shared" si="14"/>
        <v>140</v>
      </c>
      <c r="E93">
        <f>E92</f>
        <v>179</v>
      </c>
      <c r="F93">
        <f t="shared" si="15"/>
        <v>169</v>
      </c>
      <c r="G93">
        <f t="shared" si="13"/>
        <v>182</v>
      </c>
      <c r="H93" t="s">
        <v>20</v>
      </c>
      <c r="I93">
        <v>16</v>
      </c>
      <c r="J93">
        <v>1</v>
      </c>
      <c r="K93">
        <v>0</v>
      </c>
      <c r="L93">
        <v>0</v>
      </c>
      <c r="N93" t="str">
        <f t="shared" si="12"/>
        <v>d0d8dd</v>
      </c>
      <c r="O93" t="s">
        <v>27</v>
      </c>
      <c r="Q93">
        <v>2</v>
      </c>
      <c r="R93" t="b">
        <v>0</v>
      </c>
      <c r="S93" t="s">
        <v>119</v>
      </c>
      <c r="T93">
        <v>0</v>
      </c>
    </row>
    <row r="94" spans="1:20" x14ac:dyDescent="0.25">
      <c r="A94" t="s">
        <v>748</v>
      </c>
      <c r="B94">
        <v>6</v>
      </c>
      <c r="C94" t="s">
        <v>19</v>
      </c>
      <c r="D94">
        <f t="shared" si="14"/>
        <v>168</v>
      </c>
      <c r="E94">
        <f>E93</f>
        <v>179</v>
      </c>
      <c r="F94">
        <f t="shared" si="15"/>
        <v>194</v>
      </c>
      <c r="G94">
        <f t="shared" si="13"/>
        <v>182</v>
      </c>
      <c r="H94" t="s">
        <v>20</v>
      </c>
      <c r="I94">
        <v>16</v>
      </c>
      <c r="J94">
        <v>1</v>
      </c>
      <c r="K94">
        <v>0</v>
      </c>
      <c r="L94">
        <v>0</v>
      </c>
      <c r="N94" t="str">
        <f t="shared" si="12"/>
        <v>d0d8dd</v>
      </c>
      <c r="O94" t="s">
        <v>27</v>
      </c>
      <c r="Q94">
        <v>2</v>
      </c>
      <c r="R94" t="b">
        <v>0</v>
      </c>
      <c r="S94" t="s">
        <v>119</v>
      </c>
      <c r="T94">
        <v>0</v>
      </c>
    </row>
    <row r="95" spans="1:20" x14ac:dyDescent="0.25">
      <c r="A95" t="s">
        <v>827</v>
      </c>
      <c r="B95">
        <v>-999</v>
      </c>
      <c r="C95" t="s">
        <v>19</v>
      </c>
      <c r="D95">
        <v>127</v>
      </c>
      <c r="E95">
        <v>13</v>
      </c>
      <c r="F95">
        <v>205</v>
      </c>
      <c r="G95">
        <f>E95+5</f>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f>E96+5</f>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f>G96+8</f>
        <v>228</v>
      </c>
      <c r="F97">
        <f>$F$96</f>
        <v>196</v>
      </c>
      <c r="G97">
        <f>E97+5</f>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f>G175+12</f>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f>E99+5</f>
        <v>25</v>
      </c>
      <c r="H99" t="s">
        <v>102</v>
      </c>
      <c r="I99">
        <v>12</v>
      </c>
      <c r="J99">
        <v>1</v>
      </c>
      <c r="K99">
        <v>0</v>
      </c>
      <c r="L99">
        <v>0</v>
      </c>
      <c r="N99" t="s">
        <v>21</v>
      </c>
      <c r="O99" t="s">
        <v>25</v>
      </c>
      <c r="Q99">
        <v>3</v>
      </c>
      <c r="R99" t="b">
        <v>1</v>
      </c>
      <c r="S99" t="s">
        <v>119</v>
      </c>
      <c r="T99">
        <v>0</v>
      </c>
    </row>
    <row r="100" spans="1:20" x14ac:dyDescent="0.25">
      <c r="A100" t="s">
        <v>774</v>
      </c>
      <c r="B100">
        <v>7</v>
      </c>
      <c r="C100" t="s">
        <v>19</v>
      </c>
      <c r="D100">
        <f t="shared" ref="D100" si="16">D103-1</f>
        <v>113</v>
      </c>
      <c r="E100">
        <f>E98+2</f>
        <v>32</v>
      </c>
      <c r="F100">
        <f>D104-1</f>
        <v>140</v>
      </c>
      <c r="G100">
        <f>E100+5</f>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f>D104-1</f>
        <v>140</v>
      </c>
      <c r="E101">
        <f t="shared" ref="E101:E102" si="17">E100</f>
        <v>32</v>
      </c>
      <c r="F101">
        <f>D105+1</f>
        <v>169</v>
      </c>
      <c r="G101">
        <f>G100</f>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f>D105</f>
        <v>168</v>
      </c>
      <c r="E102">
        <f t="shared" si="17"/>
        <v>32</v>
      </c>
      <c r="F102">
        <f>D102+26</f>
        <v>194</v>
      </c>
      <c r="G102">
        <f t="shared" ref="G102" si="18">G101</f>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f>E98</f>
        <v>30</v>
      </c>
      <c r="F103">
        <f>D103</f>
        <v>114</v>
      </c>
      <c r="G103">
        <f>G98</f>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f>D103+27</f>
        <v>141</v>
      </c>
      <c r="E104">
        <f t="shared" ref="E104:E105" si="19">E103</f>
        <v>30</v>
      </c>
      <c r="F104">
        <f t="shared" ref="F104:F105" si="20">D104</f>
        <v>141</v>
      </c>
      <c r="G104">
        <f>G103</f>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f>D104+27</f>
        <v>168</v>
      </c>
      <c r="E105">
        <f t="shared" si="19"/>
        <v>30</v>
      </c>
      <c r="F105">
        <f t="shared" si="20"/>
        <v>168</v>
      </c>
      <c r="G105">
        <f>G104</f>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f>E100+25</f>
        <v>57</v>
      </c>
      <c r="F106">
        <v>196</v>
      </c>
      <c r="G106">
        <f>E106</f>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f>D103</f>
        <v>114</v>
      </c>
      <c r="E107">
        <f>G98+2</f>
        <v>269</v>
      </c>
      <c r="F107">
        <v>196</v>
      </c>
      <c r="G107">
        <f>E107+4</f>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f>E106+2</f>
        <v>59</v>
      </c>
      <c r="F108">
        <f>D103-2</f>
        <v>112</v>
      </c>
      <c r="G108">
        <f>E108+5</f>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f>D100</f>
        <v>113</v>
      </c>
      <c r="E109">
        <f>E108+1</f>
        <v>60</v>
      </c>
      <c r="F109">
        <f>F100</f>
        <v>140</v>
      </c>
      <c r="G109">
        <f t="shared" ref="G109:G111" si="21">E109+3</f>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f>D101</f>
        <v>140</v>
      </c>
      <c r="E110">
        <f>E109</f>
        <v>60</v>
      </c>
      <c r="F110">
        <f>F101</f>
        <v>169</v>
      </c>
      <c r="G110">
        <f t="shared" si="21"/>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f>D102</f>
        <v>168</v>
      </c>
      <c r="E111">
        <f>E110</f>
        <v>60</v>
      </c>
      <c r="F111">
        <f>F102</f>
        <v>194</v>
      </c>
      <c r="G111">
        <f t="shared" si="2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f t="shared" ref="D112:D172" si="22">D108</f>
        <v>14</v>
      </c>
      <c r="E112">
        <f>E108+12</f>
        <v>71</v>
      </c>
      <c r="F112">
        <f t="shared" ref="F112:F175" si="23">F108</f>
        <v>112</v>
      </c>
      <c r="G112">
        <f>E112+5</f>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f t="shared" si="22"/>
        <v>113</v>
      </c>
      <c r="E113">
        <f>E112+1</f>
        <v>72</v>
      </c>
      <c r="F113">
        <f t="shared" si="23"/>
        <v>140</v>
      </c>
      <c r="G113">
        <f>E113+3</f>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f t="shared" si="22"/>
        <v>140</v>
      </c>
      <c r="E114">
        <f>E113</f>
        <v>72</v>
      </c>
      <c r="F114">
        <f t="shared" si="23"/>
        <v>169</v>
      </c>
      <c r="G114">
        <f t="shared" ref="G114:G115" si="24">E114+3</f>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f t="shared" si="22"/>
        <v>168</v>
      </c>
      <c r="E115">
        <f>E114</f>
        <v>72</v>
      </c>
      <c r="F115">
        <f t="shared" si="23"/>
        <v>194</v>
      </c>
      <c r="G115">
        <f t="shared" si="24"/>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f t="shared" si="22"/>
        <v>14</v>
      </c>
      <c r="E116">
        <f>E112+12</f>
        <v>83</v>
      </c>
      <c r="F116">
        <f t="shared" si="23"/>
        <v>112</v>
      </c>
      <c r="G116">
        <f>E116+5</f>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f t="shared" si="22"/>
        <v>113</v>
      </c>
      <c r="E117">
        <f>E116+1</f>
        <v>84</v>
      </c>
      <c r="F117">
        <f t="shared" si="23"/>
        <v>140</v>
      </c>
      <c r="G117">
        <f t="shared" ref="G117:G119" si="25">E117+3</f>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f t="shared" si="22"/>
        <v>140</v>
      </c>
      <c r="E118">
        <f>E117</f>
        <v>84</v>
      </c>
      <c r="F118">
        <f t="shared" si="23"/>
        <v>169</v>
      </c>
      <c r="G118">
        <f t="shared" si="25"/>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f t="shared" si="22"/>
        <v>168</v>
      </c>
      <c r="E119">
        <f>E118</f>
        <v>84</v>
      </c>
      <c r="F119">
        <f t="shared" si="23"/>
        <v>194</v>
      </c>
      <c r="G119">
        <f t="shared" si="25"/>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f t="shared" si="22"/>
        <v>14</v>
      </c>
      <c r="E120">
        <f>E116+12</f>
        <v>95</v>
      </c>
      <c r="F120">
        <f t="shared" si="23"/>
        <v>112</v>
      </c>
      <c r="G120">
        <f>E120+5</f>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f t="shared" si="22"/>
        <v>113</v>
      </c>
      <c r="E121">
        <f>E120+1</f>
        <v>96</v>
      </c>
      <c r="F121">
        <f t="shared" si="23"/>
        <v>140</v>
      </c>
      <c r="G121">
        <f t="shared" ref="G121:G123" si="26">E121+3</f>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f t="shared" si="22"/>
        <v>140</v>
      </c>
      <c r="E122">
        <f>E121</f>
        <v>96</v>
      </c>
      <c r="F122">
        <f t="shared" si="23"/>
        <v>169</v>
      </c>
      <c r="G122">
        <f t="shared" si="26"/>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f t="shared" si="22"/>
        <v>168</v>
      </c>
      <c r="E123">
        <f>E122</f>
        <v>96</v>
      </c>
      <c r="F123">
        <f t="shared" si="23"/>
        <v>194</v>
      </c>
      <c r="G123">
        <f t="shared" si="26"/>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f t="shared" si="22"/>
        <v>14</v>
      </c>
      <c r="E124">
        <f>E120+12</f>
        <v>107</v>
      </c>
      <c r="F124">
        <f t="shared" si="23"/>
        <v>112</v>
      </c>
      <c r="G124">
        <f>E124+5</f>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f t="shared" si="22"/>
        <v>113</v>
      </c>
      <c r="E125">
        <f>E124+1</f>
        <v>108</v>
      </c>
      <c r="F125">
        <f t="shared" si="23"/>
        <v>140</v>
      </c>
      <c r="G125">
        <f t="shared" ref="G125:G127" si="27">E125+3</f>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f t="shared" si="22"/>
        <v>140</v>
      </c>
      <c r="E126">
        <f>E125</f>
        <v>108</v>
      </c>
      <c r="F126">
        <f t="shared" si="23"/>
        <v>169</v>
      </c>
      <c r="G126">
        <f t="shared" si="27"/>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f t="shared" si="22"/>
        <v>168</v>
      </c>
      <c r="E127">
        <f>E126</f>
        <v>108</v>
      </c>
      <c r="F127">
        <f t="shared" si="23"/>
        <v>194</v>
      </c>
      <c r="G127">
        <f t="shared" si="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f t="shared" si="22"/>
        <v>14</v>
      </c>
      <c r="E128">
        <f>E124+12</f>
        <v>119</v>
      </c>
      <c r="F128">
        <f t="shared" si="23"/>
        <v>112</v>
      </c>
      <c r="G128">
        <f>E128+5</f>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f t="shared" si="22"/>
        <v>113</v>
      </c>
      <c r="E129">
        <f>E128+1</f>
        <v>120</v>
      </c>
      <c r="F129">
        <f t="shared" si="23"/>
        <v>140</v>
      </c>
      <c r="G129">
        <f t="shared" ref="G129:G131" si="28">E129+3</f>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f t="shared" si="22"/>
        <v>140</v>
      </c>
      <c r="E130">
        <f>E129</f>
        <v>120</v>
      </c>
      <c r="F130">
        <f t="shared" si="23"/>
        <v>169</v>
      </c>
      <c r="G130">
        <f t="shared" si="28"/>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f t="shared" si="22"/>
        <v>168</v>
      </c>
      <c r="E131">
        <f>E130</f>
        <v>120</v>
      </c>
      <c r="F131">
        <f t="shared" si="23"/>
        <v>194</v>
      </c>
      <c r="G131">
        <f t="shared" si="28"/>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f t="shared" si="22"/>
        <v>14</v>
      </c>
      <c r="E132">
        <f>E128+12</f>
        <v>131</v>
      </c>
      <c r="F132">
        <f t="shared" si="23"/>
        <v>112</v>
      </c>
      <c r="G132">
        <f>E132+5</f>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f t="shared" si="22"/>
        <v>113</v>
      </c>
      <c r="E133">
        <f>E132+1</f>
        <v>132</v>
      </c>
      <c r="F133">
        <f t="shared" si="23"/>
        <v>140</v>
      </c>
      <c r="G133">
        <f t="shared" ref="G133:G135" si="29">E133+3</f>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f t="shared" si="22"/>
        <v>140</v>
      </c>
      <c r="E134">
        <f>E133</f>
        <v>132</v>
      </c>
      <c r="F134">
        <f t="shared" si="23"/>
        <v>169</v>
      </c>
      <c r="G134">
        <f t="shared" si="29"/>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f t="shared" si="22"/>
        <v>168</v>
      </c>
      <c r="E135">
        <f>E134</f>
        <v>132</v>
      </c>
      <c r="F135">
        <f t="shared" si="23"/>
        <v>194</v>
      </c>
      <c r="G135">
        <f t="shared" si="29"/>
        <v>135</v>
      </c>
      <c r="H135" t="s">
        <v>20</v>
      </c>
      <c r="I135">
        <v>16</v>
      </c>
      <c r="J135">
        <v>1</v>
      </c>
      <c r="K135">
        <v>0</v>
      </c>
      <c r="L135">
        <v>0</v>
      </c>
      <c r="N135" t="s">
        <v>918</v>
      </c>
      <c r="O135" t="s">
        <v>27</v>
      </c>
      <c r="Q135">
        <v>2</v>
      </c>
      <c r="R135" t="b">
        <v>0</v>
      </c>
      <c r="S135" t="s">
        <v>119</v>
      </c>
      <c r="T135">
        <v>0</v>
      </c>
    </row>
    <row r="136" spans="1:20" x14ac:dyDescent="0.25">
      <c r="A136" t="str">
        <f>_xlfn.CONCAT("policy_checklist2_text",1+_xlfn.NUMBERVALUE(SUBSTITUTE(A132,"policy_checklist2_text","")))</f>
        <v>policy_checklist2_text8</v>
      </c>
      <c r="B136">
        <v>7</v>
      </c>
      <c r="C136" t="s">
        <v>19</v>
      </c>
      <c r="D136">
        <f t="shared" si="22"/>
        <v>14</v>
      </c>
      <c r="E136">
        <f>E132+12</f>
        <v>143</v>
      </c>
      <c r="F136">
        <f t="shared" si="23"/>
        <v>112</v>
      </c>
      <c r="G136">
        <f>E136+5</f>
        <v>148</v>
      </c>
      <c r="H136" t="s">
        <v>102</v>
      </c>
      <c r="I136">
        <v>12</v>
      </c>
      <c r="J136">
        <v>0</v>
      </c>
      <c r="K136">
        <v>0</v>
      </c>
      <c r="L136">
        <v>0</v>
      </c>
      <c r="N136" t="s">
        <v>918</v>
      </c>
      <c r="O136" t="s">
        <v>25</v>
      </c>
      <c r="Q136">
        <v>3</v>
      </c>
      <c r="R136" t="b">
        <v>1</v>
      </c>
      <c r="S136" t="s">
        <v>119</v>
      </c>
      <c r="T136">
        <v>0</v>
      </c>
    </row>
    <row r="137" spans="1:20" x14ac:dyDescent="0.25">
      <c r="A137" t="str">
        <f>A136&amp;"_response1"</f>
        <v>policy_checklist2_text8_response1</v>
      </c>
      <c r="B137">
        <v>7</v>
      </c>
      <c r="C137" t="s">
        <v>19</v>
      </c>
      <c r="D137">
        <f t="shared" si="22"/>
        <v>113</v>
      </c>
      <c r="E137">
        <f>E136+1</f>
        <v>144</v>
      </c>
      <c r="F137">
        <f t="shared" si="23"/>
        <v>140</v>
      </c>
      <c r="G137">
        <f t="shared" ref="G137:G139" si="30">E137+3</f>
        <v>147</v>
      </c>
      <c r="H137" t="s">
        <v>20</v>
      </c>
      <c r="I137">
        <v>16</v>
      </c>
      <c r="J137">
        <v>1</v>
      </c>
      <c r="K137">
        <v>0</v>
      </c>
      <c r="L137">
        <v>0</v>
      </c>
      <c r="N137" t="s">
        <v>918</v>
      </c>
      <c r="O137" t="s">
        <v>27</v>
      </c>
      <c r="Q137">
        <v>2</v>
      </c>
      <c r="R137" t="b">
        <v>0</v>
      </c>
      <c r="S137" t="s">
        <v>119</v>
      </c>
      <c r="T137">
        <v>0</v>
      </c>
    </row>
    <row r="138" spans="1:20" x14ac:dyDescent="0.25">
      <c r="A138" t="str">
        <f>A136&amp;"_response2"</f>
        <v>policy_checklist2_text8_response2</v>
      </c>
      <c r="B138">
        <v>7</v>
      </c>
      <c r="C138" t="s">
        <v>19</v>
      </c>
      <c r="D138">
        <f t="shared" si="22"/>
        <v>140</v>
      </c>
      <c r="E138">
        <f>E137</f>
        <v>144</v>
      </c>
      <c r="F138">
        <f t="shared" si="23"/>
        <v>169</v>
      </c>
      <c r="G138">
        <f t="shared" si="30"/>
        <v>147</v>
      </c>
      <c r="H138" t="s">
        <v>20</v>
      </c>
      <c r="I138">
        <v>16</v>
      </c>
      <c r="J138">
        <v>1</v>
      </c>
      <c r="K138">
        <v>0</v>
      </c>
      <c r="L138">
        <v>0</v>
      </c>
      <c r="N138" t="s">
        <v>918</v>
      </c>
      <c r="O138" t="s">
        <v>27</v>
      </c>
      <c r="Q138">
        <v>2</v>
      </c>
      <c r="R138" t="b">
        <v>0</v>
      </c>
      <c r="S138" t="s">
        <v>119</v>
      </c>
      <c r="T138">
        <v>0</v>
      </c>
    </row>
    <row r="139" spans="1:20" x14ac:dyDescent="0.25">
      <c r="A139" t="str">
        <f>A136&amp;"_response3"</f>
        <v>policy_checklist2_text8_response3</v>
      </c>
      <c r="B139">
        <v>7</v>
      </c>
      <c r="C139" t="s">
        <v>19</v>
      </c>
      <c r="D139">
        <f t="shared" si="22"/>
        <v>168</v>
      </c>
      <c r="E139">
        <f>E138</f>
        <v>144</v>
      </c>
      <c r="F139">
        <f t="shared" si="23"/>
        <v>194</v>
      </c>
      <c r="G139">
        <f t="shared" si="30"/>
        <v>147</v>
      </c>
      <c r="H139" t="s">
        <v>20</v>
      </c>
      <c r="I139">
        <v>16</v>
      </c>
      <c r="J139">
        <v>1</v>
      </c>
      <c r="K139">
        <v>0</v>
      </c>
      <c r="L139">
        <v>0</v>
      </c>
      <c r="N139" t="s">
        <v>918</v>
      </c>
      <c r="O139" t="s">
        <v>27</v>
      </c>
      <c r="Q139">
        <v>2</v>
      </c>
      <c r="R139" t="b">
        <v>0</v>
      </c>
      <c r="S139" t="s">
        <v>119</v>
      </c>
      <c r="T139">
        <v>0</v>
      </c>
    </row>
    <row r="140" spans="1:20" x14ac:dyDescent="0.25">
      <c r="A140" t="str">
        <f>_xlfn.CONCAT("policy_checklist2_text",1+_xlfn.NUMBERVALUE(SUBSTITUTE(A136,"policy_checklist2_text","")))</f>
        <v>policy_checklist2_text9</v>
      </c>
      <c r="B140">
        <v>7</v>
      </c>
      <c r="C140" t="s">
        <v>19</v>
      </c>
      <c r="D140">
        <f t="shared" si="22"/>
        <v>14</v>
      </c>
      <c r="E140">
        <f>E136+12</f>
        <v>155</v>
      </c>
      <c r="F140">
        <f t="shared" si="23"/>
        <v>112</v>
      </c>
      <c r="G140">
        <f>E140+5</f>
        <v>160</v>
      </c>
      <c r="H140" t="s">
        <v>102</v>
      </c>
      <c r="I140">
        <v>12</v>
      </c>
      <c r="J140">
        <v>0</v>
      </c>
      <c r="K140">
        <v>0</v>
      </c>
      <c r="L140">
        <v>0</v>
      </c>
      <c r="N140" t="s">
        <v>918</v>
      </c>
      <c r="O140" t="s">
        <v>25</v>
      </c>
      <c r="Q140">
        <v>3</v>
      </c>
      <c r="R140" t="b">
        <v>1</v>
      </c>
      <c r="S140" t="s">
        <v>119</v>
      </c>
      <c r="T140">
        <v>0</v>
      </c>
    </row>
    <row r="141" spans="1:20" x14ac:dyDescent="0.25">
      <c r="A141" t="str">
        <f>A140&amp;"_response1"</f>
        <v>policy_checklist2_text9_response1</v>
      </c>
      <c r="B141">
        <v>7</v>
      </c>
      <c r="C141" t="s">
        <v>19</v>
      </c>
      <c r="D141">
        <f t="shared" si="22"/>
        <v>113</v>
      </c>
      <c r="E141">
        <f>E140+1</f>
        <v>156</v>
      </c>
      <c r="F141">
        <f t="shared" si="23"/>
        <v>140</v>
      </c>
      <c r="G141">
        <f t="shared" ref="G141:G143" si="31">E141+3</f>
        <v>159</v>
      </c>
      <c r="H141" t="s">
        <v>20</v>
      </c>
      <c r="I141">
        <v>16</v>
      </c>
      <c r="J141">
        <v>1</v>
      </c>
      <c r="K141">
        <v>0</v>
      </c>
      <c r="L141">
        <v>0</v>
      </c>
      <c r="N141" t="s">
        <v>918</v>
      </c>
      <c r="O141" t="s">
        <v>27</v>
      </c>
      <c r="Q141">
        <v>2</v>
      </c>
      <c r="R141" t="b">
        <v>0</v>
      </c>
      <c r="S141" t="s">
        <v>119</v>
      </c>
      <c r="T141">
        <v>0</v>
      </c>
    </row>
    <row r="142" spans="1:20" x14ac:dyDescent="0.25">
      <c r="A142" t="str">
        <f>A140&amp;"_response2"</f>
        <v>policy_checklist2_text9_response2</v>
      </c>
      <c r="B142">
        <v>7</v>
      </c>
      <c r="C142" t="s">
        <v>19</v>
      </c>
      <c r="D142">
        <f t="shared" si="22"/>
        <v>140</v>
      </c>
      <c r="E142">
        <f>E141</f>
        <v>156</v>
      </c>
      <c r="F142">
        <f t="shared" si="23"/>
        <v>169</v>
      </c>
      <c r="G142">
        <f t="shared" si="31"/>
        <v>159</v>
      </c>
      <c r="H142" t="s">
        <v>20</v>
      </c>
      <c r="I142">
        <v>16</v>
      </c>
      <c r="J142">
        <v>1</v>
      </c>
      <c r="K142">
        <v>0</v>
      </c>
      <c r="L142">
        <v>0</v>
      </c>
      <c r="N142" t="s">
        <v>918</v>
      </c>
      <c r="O142" t="s">
        <v>27</v>
      </c>
      <c r="Q142">
        <v>2</v>
      </c>
      <c r="R142" t="b">
        <v>0</v>
      </c>
      <c r="S142" t="s">
        <v>119</v>
      </c>
      <c r="T142">
        <v>0</v>
      </c>
    </row>
    <row r="143" spans="1:20" x14ac:dyDescent="0.25">
      <c r="A143" t="str">
        <f>A140&amp;"_response3"</f>
        <v>policy_checklist2_text9_response3</v>
      </c>
      <c r="B143">
        <v>7</v>
      </c>
      <c r="C143" t="s">
        <v>19</v>
      </c>
      <c r="D143">
        <f t="shared" si="22"/>
        <v>168</v>
      </c>
      <c r="E143">
        <f>E142</f>
        <v>156</v>
      </c>
      <c r="F143">
        <f t="shared" si="23"/>
        <v>194</v>
      </c>
      <c r="G143">
        <f t="shared" si="31"/>
        <v>159</v>
      </c>
      <c r="H143" t="s">
        <v>20</v>
      </c>
      <c r="I143">
        <v>16</v>
      </c>
      <c r="J143">
        <v>1</v>
      </c>
      <c r="K143">
        <v>0</v>
      </c>
      <c r="L143">
        <v>0</v>
      </c>
      <c r="N143" t="s">
        <v>918</v>
      </c>
      <c r="O143" t="s">
        <v>27</v>
      </c>
      <c r="Q143">
        <v>2</v>
      </c>
      <c r="R143" t="b">
        <v>0</v>
      </c>
      <c r="S143" t="s">
        <v>119</v>
      </c>
      <c r="T143">
        <v>0</v>
      </c>
    </row>
    <row r="144" spans="1:20" x14ac:dyDescent="0.25">
      <c r="A144" t="str">
        <f>_xlfn.CONCAT("policy_checklist2_text",1+_xlfn.NUMBERVALUE(SUBSTITUTE(A140,"policy_checklist2_text","")))</f>
        <v>policy_checklist2_text10</v>
      </c>
      <c r="B144">
        <v>7</v>
      </c>
      <c r="C144" t="s">
        <v>19</v>
      </c>
      <c r="D144">
        <f t="shared" si="22"/>
        <v>14</v>
      </c>
      <c r="E144">
        <f>E140+12</f>
        <v>167</v>
      </c>
      <c r="F144">
        <f t="shared" si="23"/>
        <v>112</v>
      </c>
      <c r="G144">
        <f>E144+5</f>
        <v>172</v>
      </c>
      <c r="H144" t="s">
        <v>102</v>
      </c>
      <c r="I144">
        <v>12</v>
      </c>
      <c r="J144">
        <v>0</v>
      </c>
      <c r="K144">
        <v>0</v>
      </c>
      <c r="L144">
        <v>0</v>
      </c>
      <c r="N144" t="s">
        <v>918</v>
      </c>
      <c r="O144" t="s">
        <v>25</v>
      </c>
      <c r="Q144">
        <v>3</v>
      </c>
      <c r="R144" t="b">
        <v>1</v>
      </c>
      <c r="S144" t="s">
        <v>119</v>
      </c>
      <c r="T144">
        <v>0</v>
      </c>
    </row>
    <row r="145" spans="1:20" x14ac:dyDescent="0.25">
      <c r="A145" t="str">
        <f>A144&amp;"_response1"</f>
        <v>policy_checklist2_text10_response1</v>
      </c>
      <c r="B145">
        <v>7</v>
      </c>
      <c r="C145" t="s">
        <v>19</v>
      </c>
      <c r="D145">
        <f t="shared" si="22"/>
        <v>113</v>
      </c>
      <c r="E145">
        <f>E144+1</f>
        <v>168</v>
      </c>
      <c r="F145">
        <f t="shared" si="23"/>
        <v>140</v>
      </c>
      <c r="G145">
        <f t="shared" ref="G145:G147" si="32">E145+3</f>
        <v>171</v>
      </c>
      <c r="H145" t="s">
        <v>20</v>
      </c>
      <c r="I145">
        <v>16</v>
      </c>
      <c r="J145">
        <v>1</v>
      </c>
      <c r="K145">
        <v>0</v>
      </c>
      <c r="L145">
        <v>0</v>
      </c>
      <c r="N145" t="s">
        <v>918</v>
      </c>
      <c r="O145" t="s">
        <v>27</v>
      </c>
      <c r="Q145">
        <v>2</v>
      </c>
      <c r="R145" t="b">
        <v>0</v>
      </c>
      <c r="S145" t="s">
        <v>119</v>
      </c>
      <c r="T145">
        <v>0</v>
      </c>
    </row>
    <row r="146" spans="1:20" x14ac:dyDescent="0.25">
      <c r="A146" t="str">
        <f>A144&amp;"_response2"</f>
        <v>policy_checklist2_text10_response2</v>
      </c>
      <c r="B146">
        <v>7</v>
      </c>
      <c r="C146" t="s">
        <v>19</v>
      </c>
      <c r="D146">
        <f t="shared" si="22"/>
        <v>140</v>
      </c>
      <c r="E146">
        <f>E145</f>
        <v>168</v>
      </c>
      <c r="F146">
        <f t="shared" si="23"/>
        <v>169</v>
      </c>
      <c r="G146">
        <f t="shared" si="32"/>
        <v>171</v>
      </c>
      <c r="H146" t="s">
        <v>20</v>
      </c>
      <c r="I146">
        <v>16</v>
      </c>
      <c r="J146">
        <v>1</v>
      </c>
      <c r="K146">
        <v>0</v>
      </c>
      <c r="L146">
        <v>0</v>
      </c>
      <c r="N146" t="s">
        <v>918</v>
      </c>
      <c r="O146" t="s">
        <v>27</v>
      </c>
      <c r="Q146">
        <v>2</v>
      </c>
      <c r="R146" t="b">
        <v>0</v>
      </c>
      <c r="S146" t="s">
        <v>119</v>
      </c>
      <c r="T146">
        <v>0</v>
      </c>
    </row>
    <row r="147" spans="1:20" x14ac:dyDescent="0.25">
      <c r="A147" t="str">
        <f>A144&amp;"_response3"</f>
        <v>policy_checklist2_text10_response3</v>
      </c>
      <c r="B147">
        <v>7</v>
      </c>
      <c r="C147" t="s">
        <v>19</v>
      </c>
      <c r="D147">
        <f t="shared" si="22"/>
        <v>168</v>
      </c>
      <c r="E147">
        <f>E146</f>
        <v>168</v>
      </c>
      <c r="F147">
        <f t="shared" si="23"/>
        <v>194</v>
      </c>
      <c r="G147">
        <f t="shared" si="32"/>
        <v>171</v>
      </c>
      <c r="H147" t="s">
        <v>20</v>
      </c>
      <c r="I147">
        <v>16</v>
      </c>
      <c r="J147">
        <v>1</v>
      </c>
      <c r="K147">
        <v>0</v>
      </c>
      <c r="L147">
        <v>0</v>
      </c>
      <c r="N147" t="s">
        <v>918</v>
      </c>
      <c r="O147" t="s">
        <v>27</v>
      </c>
      <c r="Q147">
        <v>2</v>
      </c>
      <c r="R147" t="b">
        <v>0</v>
      </c>
      <c r="S147" t="s">
        <v>119</v>
      </c>
      <c r="T147">
        <v>0</v>
      </c>
    </row>
    <row r="148" spans="1:20" x14ac:dyDescent="0.25">
      <c r="A148" t="str">
        <f>_xlfn.CONCAT("policy_checklist2_text",1+_xlfn.NUMBERVALUE(SUBSTITUTE(A144,"policy_checklist2_text","")))</f>
        <v>policy_checklist2_text11</v>
      </c>
      <c r="B148">
        <v>7</v>
      </c>
      <c r="C148" t="s">
        <v>19</v>
      </c>
      <c r="D148">
        <f t="shared" si="22"/>
        <v>14</v>
      </c>
      <c r="E148">
        <f>E144+12</f>
        <v>179</v>
      </c>
      <c r="F148">
        <f t="shared" si="23"/>
        <v>112</v>
      </c>
      <c r="G148">
        <f>E148+5</f>
        <v>184</v>
      </c>
      <c r="H148" t="s">
        <v>102</v>
      </c>
      <c r="I148">
        <v>12</v>
      </c>
      <c r="J148">
        <v>0</v>
      </c>
      <c r="K148">
        <v>0</v>
      </c>
      <c r="L148">
        <v>0</v>
      </c>
      <c r="N148" t="s">
        <v>918</v>
      </c>
      <c r="O148" t="s">
        <v>25</v>
      </c>
      <c r="Q148">
        <v>3</v>
      </c>
      <c r="R148" t="b">
        <v>1</v>
      </c>
      <c r="S148" t="s">
        <v>119</v>
      </c>
      <c r="T148">
        <v>0</v>
      </c>
    </row>
    <row r="149" spans="1:20" x14ac:dyDescent="0.25">
      <c r="A149" t="str">
        <f>A148&amp;"_response1"</f>
        <v>policy_checklist2_text11_response1</v>
      </c>
      <c r="B149">
        <v>7</v>
      </c>
      <c r="C149" t="s">
        <v>19</v>
      </c>
      <c r="D149">
        <f t="shared" si="22"/>
        <v>113</v>
      </c>
      <c r="E149">
        <f>E148+1</f>
        <v>180</v>
      </c>
      <c r="F149">
        <f t="shared" si="23"/>
        <v>140</v>
      </c>
      <c r="G149">
        <f t="shared" ref="G149:G151" si="33">E149+3</f>
        <v>183</v>
      </c>
      <c r="H149" t="s">
        <v>20</v>
      </c>
      <c r="I149">
        <v>16</v>
      </c>
      <c r="J149">
        <v>1</v>
      </c>
      <c r="K149">
        <v>0</v>
      </c>
      <c r="L149">
        <v>0</v>
      </c>
      <c r="N149" t="s">
        <v>918</v>
      </c>
      <c r="O149" t="s">
        <v>27</v>
      </c>
      <c r="Q149">
        <v>2</v>
      </c>
      <c r="R149" t="b">
        <v>0</v>
      </c>
      <c r="S149" t="s">
        <v>119</v>
      </c>
      <c r="T149">
        <v>0</v>
      </c>
    </row>
    <row r="150" spans="1:20" x14ac:dyDescent="0.25">
      <c r="A150" t="str">
        <f>A148&amp;"_response2"</f>
        <v>policy_checklist2_text11_response2</v>
      </c>
      <c r="B150">
        <v>7</v>
      </c>
      <c r="C150" t="s">
        <v>19</v>
      </c>
      <c r="D150">
        <f t="shared" si="22"/>
        <v>140</v>
      </c>
      <c r="E150">
        <f>E149</f>
        <v>180</v>
      </c>
      <c r="F150">
        <f t="shared" si="23"/>
        <v>169</v>
      </c>
      <c r="G150">
        <f t="shared" si="33"/>
        <v>183</v>
      </c>
      <c r="H150" t="s">
        <v>20</v>
      </c>
      <c r="I150">
        <v>16</v>
      </c>
      <c r="J150">
        <v>1</v>
      </c>
      <c r="K150">
        <v>0</v>
      </c>
      <c r="L150">
        <v>0</v>
      </c>
      <c r="N150" t="s">
        <v>918</v>
      </c>
      <c r="O150" t="s">
        <v>27</v>
      </c>
      <c r="Q150">
        <v>2</v>
      </c>
      <c r="R150" t="b">
        <v>0</v>
      </c>
      <c r="S150" t="s">
        <v>119</v>
      </c>
      <c r="T150">
        <v>0</v>
      </c>
    </row>
    <row r="151" spans="1:20" x14ac:dyDescent="0.25">
      <c r="A151" t="str">
        <f>A148&amp;"_response3"</f>
        <v>policy_checklist2_text11_response3</v>
      </c>
      <c r="B151">
        <v>7</v>
      </c>
      <c r="C151" t="s">
        <v>19</v>
      </c>
      <c r="D151">
        <f t="shared" si="22"/>
        <v>168</v>
      </c>
      <c r="E151">
        <f>E150</f>
        <v>180</v>
      </c>
      <c r="F151">
        <f t="shared" si="23"/>
        <v>194</v>
      </c>
      <c r="G151">
        <f t="shared" si="33"/>
        <v>183</v>
      </c>
      <c r="H151" t="s">
        <v>20</v>
      </c>
      <c r="I151">
        <v>16</v>
      </c>
      <c r="J151">
        <v>1</v>
      </c>
      <c r="K151">
        <v>0</v>
      </c>
      <c r="L151">
        <v>0</v>
      </c>
      <c r="N151" t="s">
        <v>918</v>
      </c>
      <c r="O151" t="s">
        <v>27</v>
      </c>
      <c r="Q151">
        <v>2</v>
      </c>
      <c r="R151" t="b">
        <v>0</v>
      </c>
      <c r="S151" t="s">
        <v>119</v>
      </c>
      <c r="T151">
        <v>0</v>
      </c>
    </row>
    <row r="152" spans="1:20" x14ac:dyDescent="0.25">
      <c r="A152" t="str">
        <f>_xlfn.CONCAT("policy_checklist2_text",1+_xlfn.NUMBERVALUE(SUBSTITUTE(A148,"policy_checklist2_text","")))</f>
        <v>policy_checklist2_text12</v>
      </c>
      <c r="B152">
        <v>7</v>
      </c>
      <c r="C152" t="s">
        <v>19</v>
      </c>
      <c r="D152">
        <f t="shared" si="22"/>
        <v>14</v>
      </c>
      <c r="E152">
        <f>E148+12</f>
        <v>191</v>
      </c>
      <c r="F152">
        <f t="shared" si="23"/>
        <v>112</v>
      </c>
      <c r="G152">
        <f>E152+5</f>
        <v>196</v>
      </c>
      <c r="H152" t="s">
        <v>102</v>
      </c>
      <c r="I152">
        <v>12</v>
      </c>
      <c r="J152">
        <v>0</v>
      </c>
      <c r="K152">
        <v>0</v>
      </c>
      <c r="L152">
        <v>0</v>
      </c>
      <c r="N152" t="s">
        <v>918</v>
      </c>
      <c r="O152" t="s">
        <v>25</v>
      </c>
      <c r="Q152">
        <v>3</v>
      </c>
      <c r="R152" t="b">
        <v>1</v>
      </c>
      <c r="S152" t="s">
        <v>119</v>
      </c>
      <c r="T152">
        <v>0</v>
      </c>
    </row>
    <row r="153" spans="1:20" x14ac:dyDescent="0.25">
      <c r="A153" t="str">
        <f>A152&amp;"_response1"</f>
        <v>policy_checklist2_text12_response1</v>
      </c>
      <c r="B153">
        <v>7</v>
      </c>
      <c r="C153" t="s">
        <v>19</v>
      </c>
      <c r="D153">
        <f t="shared" si="22"/>
        <v>113</v>
      </c>
      <c r="E153">
        <f>E152+1</f>
        <v>192</v>
      </c>
      <c r="F153">
        <f t="shared" si="23"/>
        <v>140</v>
      </c>
      <c r="G153">
        <f t="shared" ref="G153:G155" si="34">E153+3</f>
        <v>195</v>
      </c>
      <c r="H153" t="s">
        <v>20</v>
      </c>
      <c r="I153">
        <v>16</v>
      </c>
      <c r="J153">
        <v>1</v>
      </c>
      <c r="K153">
        <v>0</v>
      </c>
      <c r="L153">
        <v>0</v>
      </c>
      <c r="N153" t="s">
        <v>918</v>
      </c>
      <c r="O153" t="s">
        <v>27</v>
      </c>
      <c r="Q153">
        <v>2</v>
      </c>
      <c r="R153" t="b">
        <v>0</v>
      </c>
      <c r="S153" t="s">
        <v>119</v>
      </c>
      <c r="T153">
        <v>0</v>
      </c>
    </row>
    <row r="154" spans="1:20" x14ac:dyDescent="0.25">
      <c r="A154" t="str">
        <f>A152&amp;"_response2"</f>
        <v>policy_checklist2_text12_response2</v>
      </c>
      <c r="B154">
        <v>7</v>
      </c>
      <c r="C154" t="s">
        <v>19</v>
      </c>
      <c r="D154">
        <f t="shared" si="22"/>
        <v>140</v>
      </c>
      <c r="E154">
        <f>E153</f>
        <v>192</v>
      </c>
      <c r="F154">
        <f t="shared" si="23"/>
        <v>169</v>
      </c>
      <c r="G154">
        <f t="shared" si="34"/>
        <v>195</v>
      </c>
      <c r="H154" t="s">
        <v>20</v>
      </c>
      <c r="I154">
        <v>16</v>
      </c>
      <c r="J154">
        <v>1</v>
      </c>
      <c r="K154">
        <v>0</v>
      </c>
      <c r="L154">
        <v>0</v>
      </c>
      <c r="N154" t="s">
        <v>918</v>
      </c>
      <c r="O154" t="s">
        <v>27</v>
      </c>
      <c r="Q154">
        <v>2</v>
      </c>
      <c r="R154" t="b">
        <v>0</v>
      </c>
      <c r="S154" t="s">
        <v>119</v>
      </c>
      <c r="T154">
        <v>0</v>
      </c>
    </row>
    <row r="155" spans="1:20" x14ac:dyDescent="0.25">
      <c r="A155" t="str">
        <f>A152&amp;"_response3"</f>
        <v>policy_checklist2_text12_response3</v>
      </c>
      <c r="B155">
        <v>7</v>
      </c>
      <c r="C155" t="s">
        <v>19</v>
      </c>
      <c r="D155">
        <f t="shared" si="22"/>
        <v>168</v>
      </c>
      <c r="E155">
        <f>E154</f>
        <v>192</v>
      </c>
      <c r="F155">
        <f t="shared" si="23"/>
        <v>194</v>
      </c>
      <c r="G155">
        <f t="shared" si="34"/>
        <v>195</v>
      </c>
      <c r="H155" t="s">
        <v>20</v>
      </c>
      <c r="I155">
        <v>16</v>
      </c>
      <c r="J155">
        <v>1</v>
      </c>
      <c r="K155">
        <v>0</v>
      </c>
      <c r="L155">
        <v>0</v>
      </c>
      <c r="N155" t="s">
        <v>918</v>
      </c>
      <c r="O155" t="s">
        <v>27</v>
      </c>
      <c r="Q155">
        <v>2</v>
      </c>
      <c r="R155" t="b">
        <v>0</v>
      </c>
      <c r="S155" t="s">
        <v>119</v>
      </c>
      <c r="T155">
        <v>0</v>
      </c>
    </row>
    <row r="156" spans="1:20" x14ac:dyDescent="0.25">
      <c r="A156" t="str">
        <f>_xlfn.CONCAT("policy_checklist2_text",1+_xlfn.NUMBERVALUE(SUBSTITUTE(A152,"policy_checklist2_text","")))</f>
        <v>policy_checklist2_text13</v>
      </c>
      <c r="B156">
        <v>7</v>
      </c>
      <c r="C156" t="s">
        <v>19</v>
      </c>
      <c r="D156">
        <f t="shared" si="22"/>
        <v>14</v>
      </c>
      <c r="E156">
        <f>E152+12</f>
        <v>203</v>
      </c>
      <c r="F156">
        <f t="shared" si="23"/>
        <v>112</v>
      </c>
      <c r="G156">
        <f>E156+5</f>
        <v>208</v>
      </c>
      <c r="H156" t="s">
        <v>102</v>
      </c>
      <c r="I156">
        <v>12</v>
      </c>
      <c r="J156">
        <v>0</v>
      </c>
      <c r="K156">
        <v>0</v>
      </c>
      <c r="L156">
        <v>0</v>
      </c>
      <c r="N156" t="s">
        <v>918</v>
      </c>
      <c r="O156" t="s">
        <v>25</v>
      </c>
      <c r="Q156">
        <v>3</v>
      </c>
      <c r="R156" t="b">
        <v>1</v>
      </c>
      <c r="S156" t="s">
        <v>119</v>
      </c>
      <c r="T156">
        <v>0</v>
      </c>
    </row>
    <row r="157" spans="1:20" x14ac:dyDescent="0.25">
      <c r="A157" t="str">
        <f>A156&amp;"_response1"</f>
        <v>policy_checklist2_text13_response1</v>
      </c>
      <c r="B157">
        <v>7</v>
      </c>
      <c r="C157" t="s">
        <v>19</v>
      </c>
      <c r="D157">
        <f t="shared" si="22"/>
        <v>113</v>
      </c>
      <c r="E157">
        <f>E156+1</f>
        <v>204</v>
      </c>
      <c r="F157">
        <f t="shared" si="23"/>
        <v>140</v>
      </c>
      <c r="G157">
        <f t="shared" ref="G157:G159" si="35">E157+3</f>
        <v>207</v>
      </c>
      <c r="H157" t="s">
        <v>20</v>
      </c>
      <c r="I157">
        <v>16</v>
      </c>
      <c r="J157">
        <v>1</v>
      </c>
      <c r="K157">
        <v>0</v>
      </c>
      <c r="L157">
        <v>0</v>
      </c>
      <c r="N157" t="s">
        <v>918</v>
      </c>
      <c r="O157" t="s">
        <v>27</v>
      </c>
      <c r="Q157">
        <v>2</v>
      </c>
      <c r="R157" t="b">
        <v>0</v>
      </c>
      <c r="S157" t="s">
        <v>119</v>
      </c>
      <c r="T157">
        <v>0</v>
      </c>
    </row>
    <row r="158" spans="1:20" x14ac:dyDescent="0.25">
      <c r="A158" t="str">
        <f>A156&amp;"_response2"</f>
        <v>policy_checklist2_text13_response2</v>
      </c>
      <c r="B158">
        <v>7</v>
      </c>
      <c r="C158" t="s">
        <v>19</v>
      </c>
      <c r="D158">
        <f t="shared" si="22"/>
        <v>140</v>
      </c>
      <c r="E158">
        <f>E157</f>
        <v>204</v>
      </c>
      <c r="F158">
        <f t="shared" si="23"/>
        <v>169</v>
      </c>
      <c r="G158">
        <f t="shared" si="35"/>
        <v>207</v>
      </c>
      <c r="H158" t="s">
        <v>20</v>
      </c>
      <c r="I158">
        <v>16</v>
      </c>
      <c r="J158">
        <v>1</v>
      </c>
      <c r="K158">
        <v>0</v>
      </c>
      <c r="L158">
        <v>0</v>
      </c>
      <c r="N158" t="s">
        <v>918</v>
      </c>
      <c r="O158" t="s">
        <v>27</v>
      </c>
      <c r="Q158">
        <v>2</v>
      </c>
      <c r="R158" t="b">
        <v>0</v>
      </c>
      <c r="S158" t="s">
        <v>119</v>
      </c>
      <c r="T158">
        <v>0</v>
      </c>
    </row>
    <row r="159" spans="1:20" x14ac:dyDescent="0.25">
      <c r="A159" t="str">
        <f>A156&amp;"_response3"</f>
        <v>policy_checklist2_text13_response3</v>
      </c>
      <c r="B159">
        <v>7</v>
      </c>
      <c r="C159" t="s">
        <v>19</v>
      </c>
      <c r="D159">
        <f t="shared" si="22"/>
        <v>168</v>
      </c>
      <c r="E159">
        <f>E158</f>
        <v>204</v>
      </c>
      <c r="F159">
        <f t="shared" si="23"/>
        <v>194</v>
      </c>
      <c r="G159">
        <f t="shared" si="35"/>
        <v>207</v>
      </c>
      <c r="H159" t="s">
        <v>20</v>
      </c>
      <c r="I159">
        <v>16</v>
      </c>
      <c r="J159">
        <v>1</v>
      </c>
      <c r="K159">
        <v>0</v>
      </c>
      <c r="L159">
        <v>0</v>
      </c>
      <c r="N159" t="s">
        <v>918</v>
      </c>
      <c r="O159" t="s">
        <v>27</v>
      </c>
      <c r="Q159">
        <v>2</v>
      </c>
      <c r="R159" t="b">
        <v>0</v>
      </c>
      <c r="S159" t="s">
        <v>119</v>
      </c>
      <c r="T159">
        <v>0</v>
      </c>
    </row>
    <row r="160" spans="1:20" x14ac:dyDescent="0.25">
      <c r="A160" t="str">
        <f>_xlfn.CONCAT("policy_checklist2_text",1+_xlfn.NUMBERVALUE(SUBSTITUTE(A156,"policy_checklist2_text","")))</f>
        <v>policy_checklist2_text14</v>
      </c>
      <c r="B160">
        <v>7</v>
      </c>
      <c r="C160" t="s">
        <v>19</v>
      </c>
      <c r="D160">
        <f t="shared" si="22"/>
        <v>14</v>
      </c>
      <c r="E160">
        <f>E156+12</f>
        <v>215</v>
      </c>
      <c r="F160">
        <f t="shared" si="23"/>
        <v>112</v>
      </c>
      <c r="G160">
        <f>E160+5</f>
        <v>220</v>
      </c>
      <c r="H160" t="s">
        <v>102</v>
      </c>
      <c r="I160">
        <v>12</v>
      </c>
      <c r="J160">
        <v>0</v>
      </c>
      <c r="K160">
        <v>0</v>
      </c>
      <c r="L160">
        <v>0</v>
      </c>
      <c r="N160" t="s">
        <v>918</v>
      </c>
      <c r="O160" t="s">
        <v>25</v>
      </c>
      <c r="Q160">
        <v>3</v>
      </c>
      <c r="R160" t="b">
        <v>1</v>
      </c>
      <c r="S160" t="s">
        <v>119</v>
      </c>
      <c r="T160">
        <v>0</v>
      </c>
    </row>
    <row r="161" spans="1:20" x14ac:dyDescent="0.25">
      <c r="A161" t="str">
        <f>A160&amp;"_response1"</f>
        <v>policy_checklist2_text14_response1</v>
      </c>
      <c r="B161">
        <v>7</v>
      </c>
      <c r="C161" t="s">
        <v>19</v>
      </c>
      <c r="D161">
        <f t="shared" si="22"/>
        <v>113</v>
      </c>
      <c r="E161">
        <f>E160+1</f>
        <v>216</v>
      </c>
      <c r="F161">
        <f t="shared" si="23"/>
        <v>140</v>
      </c>
      <c r="G161">
        <f t="shared" ref="G161:G163" si="36">E161+3</f>
        <v>219</v>
      </c>
      <c r="H161" t="s">
        <v>20</v>
      </c>
      <c r="I161">
        <v>16</v>
      </c>
      <c r="J161">
        <v>1</v>
      </c>
      <c r="K161">
        <v>0</v>
      </c>
      <c r="L161">
        <v>0</v>
      </c>
      <c r="N161" t="s">
        <v>918</v>
      </c>
      <c r="O161" t="s">
        <v>27</v>
      </c>
      <c r="Q161">
        <v>2</v>
      </c>
      <c r="R161" t="b">
        <v>0</v>
      </c>
      <c r="S161" t="s">
        <v>119</v>
      </c>
      <c r="T161">
        <v>0</v>
      </c>
    </row>
    <row r="162" spans="1:20" x14ac:dyDescent="0.25">
      <c r="A162" t="str">
        <f>A160&amp;"_response2"</f>
        <v>policy_checklist2_text14_response2</v>
      </c>
      <c r="B162">
        <v>7</v>
      </c>
      <c r="C162" t="s">
        <v>19</v>
      </c>
      <c r="D162">
        <f t="shared" si="22"/>
        <v>140</v>
      </c>
      <c r="E162">
        <f>E161</f>
        <v>216</v>
      </c>
      <c r="F162">
        <f t="shared" si="23"/>
        <v>169</v>
      </c>
      <c r="G162">
        <f t="shared" si="36"/>
        <v>219</v>
      </c>
      <c r="H162" t="s">
        <v>20</v>
      </c>
      <c r="I162">
        <v>16</v>
      </c>
      <c r="J162">
        <v>1</v>
      </c>
      <c r="K162">
        <v>0</v>
      </c>
      <c r="L162">
        <v>0</v>
      </c>
      <c r="N162" t="s">
        <v>918</v>
      </c>
      <c r="O162" t="s">
        <v>27</v>
      </c>
      <c r="Q162">
        <v>2</v>
      </c>
      <c r="R162" t="b">
        <v>0</v>
      </c>
      <c r="S162" t="s">
        <v>119</v>
      </c>
      <c r="T162">
        <v>0</v>
      </c>
    </row>
    <row r="163" spans="1:20" x14ac:dyDescent="0.25">
      <c r="A163" t="str">
        <f>A160&amp;"_response3"</f>
        <v>policy_checklist2_text14_response3</v>
      </c>
      <c r="B163">
        <v>7</v>
      </c>
      <c r="C163" t="s">
        <v>19</v>
      </c>
      <c r="D163">
        <f t="shared" si="22"/>
        <v>168</v>
      </c>
      <c r="E163">
        <f>E162</f>
        <v>216</v>
      </c>
      <c r="F163">
        <f t="shared" si="23"/>
        <v>194</v>
      </c>
      <c r="G163">
        <f t="shared" si="36"/>
        <v>219</v>
      </c>
      <c r="H163" t="s">
        <v>20</v>
      </c>
      <c r="I163">
        <v>16</v>
      </c>
      <c r="J163">
        <v>1</v>
      </c>
      <c r="K163">
        <v>0</v>
      </c>
      <c r="L163">
        <v>0</v>
      </c>
      <c r="N163" t="s">
        <v>918</v>
      </c>
      <c r="O163" t="s">
        <v>27</v>
      </c>
      <c r="Q163">
        <v>2</v>
      </c>
      <c r="R163" t="b">
        <v>0</v>
      </c>
      <c r="S163" t="s">
        <v>119</v>
      </c>
      <c r="T163">
        <v>0</v>
      </c>
    </row>
    <row r="164" spans="1:20" x14ac:dyDescent="0.25">
      <c r="A164" t="str">
        <f>_xlfn.CONCAT("policy_checklist2_text",1+_xlfn.NUMBERVALUE(SUBSTITUTE(A160,"policy_checklist2_text","")))</f>
        <v>policy_checklist2_text15</v>
      </c>
      <c r="B164">
        <v>7</v>
      </c>
      <c r="C164" t="s">
        <v>19</v>
      </c>
      <c r="D164">
        <f t="shared" si="22"/>
        <v>14</v>
      </c>
      <c r="E164">
        <f>E160+12</f>
        <v>227</v>
      </c>
      <c r="F164">
        <f t="shared" si="23"/>
        <v>112</v>
      </c>
      <c r="G164">
        <f>E164+5</f>
        <v>232</v>
      </c>
      <c r="H164" t="s">
        <v>102</v>
      </c>
      <c r="I164">
        <v>12</v>
      </c>
      <c r="J164">
        <v>0</v>
      </c>
      <c r="K164">
        <v>0</v>
      </c>
      <c r="L164">
        <v>0</v>
      </c>
      <c r="N164" t="s">
        <v>918</v>
      </c>
      <c r="O164" t="s">
        <v>25</v>
      </c>
      <c r="Q164">
        <v>3</v>
      </c>
      <c r="R164" t="b">
        <v>1</v>
      </c>
      <c r="S164" t="s">
        <v>119</v>
      </c>
      <c r="T164">
        <v>0</v>
      </c>
    </row>
    <row r="165" spans="1:20" x14ac:dyDescent="0.25">
      <c r="A165" t="str">
        <f>A164&amp;"_response1"</f>
        <v>policy_checklist2_text15_response1</v>
      </c>
      <c r="B165">
        <v>7</v>
      </c>
      <c r="C165" t="s">
        <v>19</v>
      </c>
      <c r="D165">
        <f t="shared" si="22"/>
        <v>113</v>
      </c>
      <c r="E165">
        <f>E164+1</f>
        <v>228</v>
      </c>
      <c r="F165">
        <f t="shared" si="23"/>
        <v>140</v>
      </c>
      <c r="G165">
        <f t="shared" ref="G165:G167" si="37">E165+3</f>
        <v>231</v>
      </c>
      <c r="H165" t="s">
        <v>20</v>
      </c>
      <c r="I165">
        <v>16</v>
      </c>
      <c r="J165">
        <v>1</v>
      </c>
      <c r="K165">
        <v>0</v>
      </c>
      <c r="L165">
        <v>0</v>
      </c>
      <c r="N165" t="s">
        <v>918</v>
      </c>
      <c r="O165" t="s">
        <v>27</v>
      </c>
      <c r="Q165">
        <v>2</v>
      </c>
      <c r="R165" t="b">
        <v>0</v>
      </c>
      <c r="S165" t="s">
        <v>119</v>
      </c>
      <c r="T165">
        <v>0</v>
      </c>
    </row>
    <row r="166" spans="1:20" x14ac:dyDescent="0.25">
      <c r="A166" t="str">
        <f>A164&amp;"_response2"</f>
        <v>policy_checklist2_text15_response2</v>
      </c>
      <c r="B166">
        <v>7</v>
      </c>
      <c r="C166" t="s">
        <v>19</v>
      </c>
      <c r="D166">
        <f t="shared" si="22"/>
        <v>140</v>
      </c>
      <c r="E166">
        <f>E165</f>
        <v>228</v>
      </c>
      <c r="F166">
        <f t="shared" si="23"/>
        <v>169</v>
      </c>
      <c r="G166">
        <f t="shared" si="37"/>
        <v>231</v>
      </c>
      <c r="H166" t="s">
        <v>20</v>
      </c>
      <c r="I166">
        <v>16</v>
      </c>
      <c r="J166">
        <v>1</v>
      </c>
      <c r="K166">
        <v>0</v>
      </c>
      <c r="L166">
        <v>0</v>
      </c>
      <c r="N166" t="s">
        <v>918</v>
      </c>
      <c r="O166" t="s">
        <v>27</v>
      </c>
      <c r="Q166">
        <v>2</v>
      </c>
      <c r="R166" t="b">
        <v>0</v>
      </c>
      <c r="S166" t="s">
        <v>119</v>
      </c>
      <c r="T166">
        <v>0</v>
      </c>
    </row>
    <row r="167" spans="1:20" x14ac:dyDescent="0.25">
      <c r="A167" t="str">
        <f>A164&amp;"_response3"</f>
        <v>policy_checklist2_text15_response3</v>
      </c>
      <c r="B167">
        <v>7</v>
      </c>
      <c r="C167" t="s">
        <v>19</v>
      </c>
      <c r="D167">
        <f t="shared" si="22"/>
        <v>168</v>
      </c>
      <c r="E167">
        <f>E166</f>
        <v>228</v>
      </c>
      <c r="F167">
        <f t="shared" si="23"/>
        <v>194</v>
      </c>
      <c r="G167">
        <f t="shared" si="37"/>
        <v>231</v>
      </c>
      <c r="H167" t="s">
        <v>20</v>
      </c>
      <c r="I167">
        <v>16</v>
      </c>
      <c r="J167">
        <v>1</v>
      </c>
      <c r="K167">
        <v>0</v>
      </c>
      <c r="L167">
        <v>0</v>
      </c>
      <c r="N167" t="s">
        <v>918</v>
      </c>
      <c r="O167" t="s">
        <v>27</v>
      </c>
      <c r="Q167">
        <v>2</v>
      </c>
      <c r="R167" t="b">
        <v>0</v>
      </c>
      <c r="S167" t="s">
        <v>119</v>
      </c>
      <c r="T167">
        <v>0</v>
      </c>
    </row>
    <row r="168" spans="1:20" x14ac:dyDescent="0.25">
      <c r="A168" t="str">
        <f>_xlfn.CONCAT("policy_checklist2_text",1+_xlfn.NUMBERVALUE(SUBSTITUTE(A164,"policy_checklist2_text","")))</f>
        <v>policy_checklist2_text16</v>
      </c>
      <c r="B168">
        <v>7</v>
      </c>
      <c r="C168" t="s">
        <v>19</v>
      </c>
      <c r="D168">
        <f t="shared" si="22"/>
        <v>14</v>
      </c>
      <c r="E168">
        <f>E164+12</f>
        <v>239</v>
      </c>
      <c r="F168">
        <f t="shared" si="23"/>
        <v>112</v>
      </c>
      <c r="G168">
        <f>E168+5</f>
        <v>244</v>
      </c>
      <c r="H168" t="s">
        <v>102</v>
      </c>
      <c r="I168">
        <v>12</v>
      </c>
      <c r="J168">
        <v>0</v>
      </c>
      <c r="K168">
        <v>0</v>
      </c>
      <c r="L168">
        <v>0</v>
      </c>
      <c r="N168" t="s">
        <v>918</v>
      </c>
      <c r="O168" t="s">
        <v>25</v>
      </c>
      <c r="Q168">
        <v>3</v>
      </c>
      <c r="R168" t="b">
        <v>1</v>
      </c>
      <c r="S168" t="s">
        <v>119</v>
      </c>
      <c r="T168">
        <v>0</v>
      </c>
    </row>
    <row r="169" spans="1:20" x14ac:dyDescent="0.25">
      <c r="A169" t="str">
        <f>A168&amp;"_response1"</f>
        <v>policy_checklist2_text16_response1</v>
      </c>
      <c r="B169">
        <v>7</v>
      </c>
      <c r="C169" t="s">
        <v>19</v>
      </c>
      <c r="D169">
        <f t="shared" si="22"/>
        <v>113</v>
      </c>
      <c r="E169">
        <f>E168+1</f>
        <v>240</v>
      </c>
      <c r="F169">
        <f t="shared" si="23"/>
        <v>140</v>
      </c>
      <c r="G169">
        <f t="shared" ref="G169:G171" si="38">E169+3</f>
        <v>243</v>
      </c>
      <c r="H169" t="s">
        <v>20</v>
      </c>
      <c r="I169">
        <v>16</v>
      </c>
      <c r="J169">
        <v>1</v>
      </c>
      <c r="K169">
        <v>0</v>
      </c>
      <c r="L169">
        <v>0</v>
      </c>
      <c r="N169" t="s">
        <v>918</v>
      </c>
      <c r="O169" t="s">
        <v>27</v>
      </c>
      <c r="Q169">
        <v>2</v>
      </c>
      <c r="R169" t="b">
        <v>0</v>
      </c>
      <c r="S169" t="s">
        <v>119</v>
      </c>
      <c r="T169">
        <v>0</v>
      </c>
    </row>
    <row r="170" spans="1:20" x14ac:dyDescent="0.25">
      <c r="A170" t="str">
        <f>A168&amp;"_response2"</f>
        <v>policy_checklist2_text16_response2</v>
      </c>
      <c r="B170">
        <v>7</v>
      </c>
      <c r="C170" t="s">
        <v>19</v>
      </c>
      <c r="D170">
        <f t="shared" si="22"/>
        <v>140</v>
      </c>
      <c r="E170">
        <f>E169</f>
        <v>240</v>
      </c>
      <c r="F170">
        <f t="shared" si="23"/>
        <v>169</v>
      </c>
      <c r="G170">
        <f t="shared" si="38"/>
        <v>243</v>
      </c>
      <c r="H170" t="s">
        <v>20</v>
      </c>
      <c r="I170">
        <v>16</v>
      </c>
      <c r="J170">
        <v>1</v>
      </c>
      <c r="K170">
        <v>0</v>
      </c>
      <c r="L170">
        <v>0</v>
      </c>
      <c r="N170" t="s">
        <v>918</v>
      </c>
      <c r="O170" t="s">
        <v>27</v>
      </c>
      <c r="Q170">
        <v>2</v>
      </c>
      <c r="R170" t="b">
        <v>0</v>
      </c>
      <c r="S170" t="s">
        <v>119</v>
      </c>
      <c r="T170">
        <v>0</v>
      </c>
    </row>
    <row r="171" spans="1:20" x14ac:dyDescent="0.25">
      <c r="A171" t="str">
        <f>A168&amp;"_response3"</f>
        <v>policy_checklist2_text16_response3</v>
      </c>
      <c r="B171">
        <v>7</v>
      </c>
      <c r="C171" t="s">
        <v>19</v>
      </c>
      <c r="D171">
        <f t="shared" si="22"/>
        <v>168</v>
      </c>
      <c r="E171">
        <f>E170</f>
        <v>240</v>
      </c>
      <c r="F171">
        <f t="shared" si="23"/>
        <v>194</v>
      </c>
      <c r="G171">
        <f t="shared" si="38"/>
        <v>243</v>
      </c>
      <c r="H171" t="s">
        <v>20</v>
      </c>
      <c r="I171">
        <v>16</v>
      </c>
      <c r="J171">
        <v>1</v>
      </c>
      <c r="K171">
        <v>0</v>
      </c>
      <c r="L171">
        <v>0</v>
      </c>
      <c r="N171" t="s">
        <v>918</v>
      </c>
      <c r="O171" t="s">
        <v>27</v>
      </c>
      <c r="Q171">
        <v>2</v>
      </c>
      <c r="R171" t="b">
        <v>0</v>
      </c>
      <c r="S171" t="s">
        <v>119</v>
      </c>
      <c r="T171">
        <v>0</v>
      </c>
    </row>
    <row r="172" spans="1:20" x14ac:dyDescent="0.25">
      <c r="A172" t="str">
        <f>_xlfn.CONCAT("policy_checklist2_text",1+_xlfn.NUMBERVALUE(SUBSTITUTE(A168,"policy_checklist2_text","")))</f>
        <v>policy_checklist2_text17</v>
      </c>
      <c r="B172">
        <v>7</v>
      </c>
      <c r="C172" t="s">
        <v>19</v>
      </c>
      <c r="D172">
        <f t="shared" si="22"/>
        <v>14</v>
      </c>
      <c r="E172">
        <f>E168+12</f>
        <v>251</v>
      </c>
      <c r="F172">
        <f t="shared" si="23"/>
        <v>112</v>
      </c>
      <c r="G172">
        <f>E172+5</f>
        <v>256</v>
      </c>
      <c r="H172" t="s">
        <v>102</v>
      </c>
      <c r="I172">
        <v>12</v>
      </c>
      <c r="J172">
        <v>0</v>
      </c>
      <c r="K172">
        <v>0</v>
      </c>
      <c r="L172">
        <v>0</v>
      </c>
      <c r="N172" t="s">
        <v>918</v>
      </c>
      <c r="O172" t="s">
        <v>25</v>
      </c>
      <c r="Q172">
        <v>3</v>
      </c>
      <c r="R172" t="b">
        <v>1</v>
      </c>
      <c r="S172" t="s">
        <v>119</v>
      </c>
      <c r="T172">
        <v>0</v>
      </c>
    </row>
    <row r="173" spans="1:20" x14ac:dyDescent="0.25">
      <c r="A173" t="str">
        <f>A172&amp;"_response1"</f>
        <v>policy_checklist2_text17_response1</v>
      </c>
      <c r="B173">
        <v>7</v>
      </c>
      <c r="C173" t="s">
        <v>19</v>
      </c>
      <c r="D173">
        <f>D169</f>
        <v>113</v>
      </c>
      <c r="E173">
        <f>E172+1</f>
        <v>252</v>
      </c>
      <c r="F173">
        <f t="shared" si="23"/>
        <v>140</v>
      </c>
      <c r="G173">
        <f t="shared" ref="G173:G175" si="39">E173+3</f>
        <v>255</v>
      </c>
      <c r="H173" t="s">
        <v>20</v>
      </c>
      <c r="I173">
        <v>16</v>
      </c>
      <c r="J173">
        <v>1</v>
      </c>
      <c r="K173">
        <v>0</v>
      </c>
      <c r="L173">
        <v>0</v>
      </c>
      <c r="N173" t="s">
        <v>918</v>
      </c>
      <c r="O173" t="s">
        <v>27</v>
      </c>
      <c r="Q173">
        <v>2</v>
      </c>
      <c r="R173" t="b">
        <v>0</v>
      </c>
      <c r="S173" t="s">
        <v>119</v>
      </c>
      <c r="T173">
        <v>0</v>
      </c>
    </row>
    <row r="174" spans="1:20" x14ac:dyDescent="0.25">
      <c r="A174" t="str">
        <f>A172&amp;"_response2"</f>
        <v>policy_checklist2_text17_response2</v>
      </c>
      <c r="B174">
        <v>7</v>
      </c>
      <c r="C174" t="s">
        <v>19</v>
      </c>
      <c r="D174">
        <f>D170</f>
        <v>140</v>
      </c>
      <c r="E174">
        <f>E173</f>
        <v>252</v>
      </c>
      <c r="F174">
        <f t="shared" si="23"/>
        <v>169</v>
      </c>
      <c r="G174">
        <f t="shared" si="39"/>
        <v>255</v>
      </c>
      <c r="H174" t="s">
        <v>20</v>
      </c>
      <c r="I174">
        <v>16</v>
      </c>
      <c r="J174">
        <v>1</v>
      </c>
      <c r="K174">
        <v>0</v>
      </c>
      <c r="L174">
        <v>0</v>
      </c>
      <c r="N174" t="s">
        <v>918</v>
      </c>
      <c r="O174" t="s">
        <v>27</v>
      </c>
      <c r="Q174">
        <v>2</v>
      </c>
      <c r="R174" t="b">
        <v>0</v>
      </c>
      <c r="S174" t="s">
        <v>119</v>
      </c>
      <c r="T174">
        <v>0</v>
      </c>
    </row>
    <row r="175" spans="1:20" x14ac:dyDescent="0.25">
      <c r="A175" t="str">
        <f>A172&amp;"_response3"</f>
        <v>policy_checklist2_text17_response3</v>
      </c>
      <c r="B175">
        <v>7</v>
      </c>
      <c r="C175" t="s">
        <v>19</v>
      </c>
      <c r="D175">
        <f>D171</f>
        <v>168</v>
      </c>
      <c r="E175">
        <f>E174</f>
        <v>252</v>
      </c>
      <c r="F175">
        <f t="shared" si="23"/>
        <v>194</v>
      </c>
      <c r="G175">
        <f t="shared" si="39"/>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f>E176+5</f>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f>$D$176</f>
        <v>14</v>
      </c>
      <c r="E177">
        <f>G176+8</f>
        <v>33</v>
      </c>
      <c r="F177">
        <v>196</v>
      </c>
      <c r="G177">
        <f>E177+5</f>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f>G199+15</f>
        <v>204</v>
      </c>
      <c r="I178">
        <v>0</v>
      </c>
      <c r="J178">
        <v>1</v>
      </c>
      <c r="K178">
        <v>0</v>
      </c>
      <c r="L178">
        <v>0</v>
      </c>
      <c r="M178" t="str">
        <f>$M$65</f>
        <v>d0d8dd</v>
      </c>
      <c r="N178" t="str">
        <f t="shared" ref="N178:N186" si="40">$M$65</f>
        <v>d0d8dd</v>
      </c>
      <c r="O178" t="s">
        <v>25</v>
      </c>
      <c r="Q178">
        <v>1</v>
      </c>
      <c r="R178" t="b">
        <v>0</v>
      </c>
      <c r="S178" t="s">
        <v>119</v>
      </c>
      <c r="T178">
        <v>0</v>
      </c>
    </row>
    <row r="179" spans="1:20" x14ac:dyDescent="0.25">
      <c r="A179" t="s">
        <v>773</v>
      </c>
      <c r="B179">
        <v>-999</v>
      </c>
      <c r="C179" t="s">
        <v>19</v>
      </c>
      <c r="D179">
        <v>14</v>
      </c>
      <c r="E179">
        <f>E178+5</f>
        <v>125</v>
      </c>
      <c r="F179">
        <v>196</v>
      </c>
      <c r="G179">
        <f>E179+3</f>
        <v>128</v>
      </c>
      <c r="H179" t="s">
        <v>102</v>
      </c>
      <c r="I179">
        <v>12</v>
      </c>
      <c r="J179">
        <v>1</v>
      </c>
      <c r="K179">
        <v>0</v>
      </c>
      <c r="L179">
        <v>0</v>
      </c>
      <c r="N179" t="str">
        <f t="shared" si="40"/>
        <v>d0d8dd</v>
      </c>
      <c r="O179" t="s">
        <v>25</v>
      </c>
      <c r="Q179">
        <v>3</v>
      </c>
      <c r="R179" t="b">
        <v>0</v>
      </c>
      <c r="S179" t="s">
        <v>119</v>
      </c>
      <c r="T179">
        <v>0</v>
      </c>
    </row>
    <row r="180" spans="1:20" x14ac:dyDescent="0.25">
      <c r="A180" t="s">
        <v>774</v>
      </c>
      <c r="B180">
        <v>8</v>
      </c>
      <c r="C180" t="s">
        <v>19</v>
      </c>
      <c r="D180">
        <f t="shared" ref="D180" si="41">D183-1</f>
        <v>113</v>
      </c>
      <c r="E180">
        <f>E178+2</f>
        <v>122</v>
      </c>
      <c r="F180">
        <f>D184-1</f>
        <v>140</v>
      </c>
      <c r="G180">
        <f>E180+5</f>
        <v>127</v>
      </c>
      <c r="H180" t="s">
        <v>102</v>
      </c>
      <c r="I180">
        <v>10</v>
      </c>
      <c r="J180">
        <v>1</v>
      </c>
      <c r="K180">
        <v>0</v>
      </c>
      <c r="L180">
        <v>0</v>
      </c>
      <c r="N180" t="str">
        <f t="shared" si="40"/>
        <v>d0d8dd</v>
      </c>
      <c r="O180" t="s">
        <v>27</v>
      </c>
      <c r="Q180">
        <v>3</v>
      </c>
      <c r="R180" t="b">
        <v>1</v>
      </c>
      <c r="S180" t="s">
        <v>119</v>
      </c>
      <c r="T180">
        <v>0</v>
      </c>
    </row>
    <row r="181" spans="1:20" x14ac:dyDescent="0.25">
      <c r="A181" t="s">
        <v>775</v>
      </c>
      <c r="B181">
        <v>8</v>
      </c>
      <c r="C181" t="s">
        <v>19</v>
      </c>
      <c r="D181">
        <f>D184-1</f>
        <v>140</v>
      </c>
      <c r="E181">
        <f t="shared" ref="E181:E185" si="42">E180</f>
        <v>122</v>
      </c>
      <c r="F181">
        <f>D185+1</f>
        <v>169</v>
      </c>
      <c r="G181">
        <f>G180</f>
        <v>127</v>
      </c>
      <c r="H181" t="s">
        <v>102</v>
      </c>
      <c r="I181">
        <v>10</v>
      </c>
      <c r="J181">
        <v>1</v>
      </c>
      <c r="K181">
        <v>0</v>
      </c>
      <c r="L181">
        <v>0</v>
      </c>
      <c r="N181" t="str">
        <f t="shared" si="40"/>
        <v>d0d8dd</v>
      </c>
      <c r="O181" t="s">
        <v>27</v>
      </c>
      <c r="Q181">
        <v>3</v>
      </c>
      <c r="R181" t="b">
        <v>1</v>
      </c>
      <c r="S181" t="s">
        <v>119</v>
      </c>
      <c r="T181">
        <v>0</v>
      </c>
    </row>
    <row r="182" spans="1:20" x14ac:dyDescent="0.25">
      <c r="A182" t="s">
        <v>776</v>
      </c>
      <c r="B182">
        <v>8</v>
      </c>
      <c r="C182" t="s">
        <v>19</v>
      </c>
      <c r="D182">
        <f>D185</f>
        <v>168</v>
      </c>
      <c r="E182">
        <f t="shared" si="42"/>
        <v>122</v>
      </c>
      <c r="F182">
        <f>D182+26</f>
        <v>194</v>
      </c>
      <c r="G182">
        <f t="shared" ref="G182" si="43">G181</f>
        <v>127</v>
      </c>
      <c r="H182" t="s">
        <v>102</v>
      </c>
      <c r="I182">
        <v>10</v>
      </c>
      <c r="J182">
        <v>1</v>
      </c>
      <c r="K182">
        <v>0</v>
      </c>
      <c r="L182">
        <v>0</v>
      </c>
      <c r="N182" t="str">
        <f t="shared" si="40"/>
        <v>d0d8dd</v>
      </c>
      <c r="O182" t="s">
        <v>27</v>
      </c>
      <c r="Q182">
        <v>3</v>
      </c>
      <c r="R182" t="b">
        <v>1</v>
      </c>
      <c r="S182" t="s">
        <v>119</v>
      </c>
      <c r="T182">
        <v>0</v>
      </c>
    </row>
    <row r="183" spans="1:20" x14ac:dyDescent="0.25">
      <c r="A183" t="s">
        <v>44</v>
      </c>
      <c r="B183">
        <v>8</v>
      </c>
      <c r="C183" t="s">
        <v>25</v>
      </c>
      <c r="D183">
        <v>114</v>
      </c>
      <c r="E183">
        <f>E178</f>
        <v>120</v>
      </c>
      <c r="F183">
        <f>D183</f>
        <v>114</v>
      </c>
      <c r="G183">
        <f>G178</f>
        <v>204</v>
      </c>
      <c r="I183">
        <v>0.5</v>
      </c>
      <c r="J183">
        <v>0</v>
      </c>
      <c r="K183">
        <v>0</v>
      </c>
      <c r="L183">
        <v>0</v>
      </c>
      <c r="M183" t="s">
        <v>21</v>
      </c>
      <c r="N183" t="str">
        <f t="shared" si="40"/>
        <v>d0d8dd</v>
      </c>
      <c r="O183" t="s">
        <v>25</v>
      </c>
      <c r="Q183">
        <v>4</v>
      </c>
      <c r="R183" t="b">
        <v>0</v>
      </c>
      <c r="S183" t="s">
        <v>119</v>
      </c>
      <c r="T183">
        <v>0</v>
      </c>
    </row>
    <row r="184" spans="1:20" x14ac:dyDescent="0.25">
      <c r="A184" t="s">
        <v>45</v>
      </c>
      <c r="B184">
        <v>8</v>
      </c>
      <c r="C184" t="s">
        <v>25</v>
      </c>
      <c r="D184">
        <f>D183+27</f>
        <v>141</v>
      </c>
      <c r="E184">
        <f t="shared" si="42"/>
        <v>120</v>
      </c>
      <c r="F184">
        <f t="shared" ref="F184:F185" si="44">D184</f>
        <v>141</v>
      </c>
      <c r="G184">
        <f>G183</f>
        <v>204</v>
      </c>
      <c r="I184">
        <v>0.5</v>
      </c>
      <c r="J184">
        <v>0</v>
      </c>
      <c r="K184">
        <v>0</v>
      </c>
      <c r="L184">
        <v>0</v>
      </c>
      <c r="M184" t="s">
        <v>21</v>
      </c>
      <c r="N184" t="str">
        <f t="shared" si="40"/>
        <v>d0d8dd</v>
      </c>
      <c r="O184" t="s">
        <v>25</v>
      </c>
      <c r="Q184">
        <v>4</v>
      </c>
      <c r="R184" t="b">
        <v>0</v>
      </c>
      <c r="S184" t="s">
        <v>119</v>
      </c>
      <c r="T184">
        <v>0</v>
      </c>
    </row>
    <row r="185" spans="1:20" x14ac:dyDescent="0.25">
      <c r="A185" t="s">
        <v>46</v>
      </c>
      <c r="B185">
        <v>8</v>
      </c>
      <c r="C185" t="s">
        <v>25</v>
      </c>
      <c r="D185">
        <f>D184+27</f>
        <v>168</v>
      </c>
      <c r="E185">
        <f t="shared" si="42"/>
        <v>120</v>
      </c>
      <c r="F185">
        <f t="shared" si="44"/>
        <v>168</v>
      </c>
      <c r="G185">
        <f>G184</f>
        <v>204</v>
      </c>
      <c r="I185">
        <v>0.5</v>
      </c>
      <c r="J185">
        <v>0</v>
      </c>
      <c r="K185">
        <v>0</v>
      </c>
      <c r="L185">
        <v>0</v>
      </c>
      <c r="M185" t="s">
        <v>21</v>
      </c>
      <c r="N185" t="str">
        <f t="shared" si="40"/>
        <v>d0d8dd</v>
      </c>
      <c r="O185" t="s">
        <v>25</v>
      </c>
      <c r="Q185">
        <v>4</v>
      </c>
      <c r="R185" t="b">
        <v>0</v>
      </c>
      <c r="S185" t="s">
        <v>119</v>
      </c>
      <c r="T185">
        <v>0</v>
      </c>
    </row>
    <row r="186" spans="1:20" x14ac:dyDescent="0.25">
      <c r="A186" t="s">
        <v>55</v>
      </c>
      <c r="B186">
        <v>8</v>
      </c>
      <c r="C186" t="s">
        <v>25</v>
      </c>
      <c r="D186">
        <f>$D$179</f>
        <v>14</v>
      </c>
      <c r="E186">
        <f>E180+25</f>
        <v>147</v>
      </c>
      <c r="F186">
        <v>196</v>
      </c>
      <c r="G186">
        <f>E186</f>
        <v>147</v>
      </c>
      <c r="I186">
        <v>0.5</v>
      </c>
      <c r="J186">
        <v>0</v>
      </c>
      <c r="K186">
        <v>0</v>
      </c>
      <c r="L186">
        <v>0</v>
      </c>
      <c r="M186" t="s">
        <v>21</v>
      </c>
      <c r="N186" t="str">
        <f t="shared" si="40"/>
        <v>d0d8dd</v>
      </c>
      <c r="O186" t="s">
        <v>25</v>
      </c>
      <c r="Q186">
        <v>4</v>
      </c>
      <c r="R186" t="b">
        <v>0</v>
      </c>
      <c r="S186" t="s">
        <v>119</v>
      </c>
      <c r="T186">
        <v>0</v>
      </c>
    </row>
    <row r="187" spans="1:20" x14ac:dyDescent="0.25">
      <c r="A187" t="s">
        <v>920</v>
      </c>
      <c r="B187">
        <v>8</v>
      </c>
      <c r="C187" t="s">
        <v>19</v>
      </c>
      <c r="D187">
        <v>14</v>
      </c>
      <c r="E187">
        <f>G178+2</f>
        <v>206</v>
      </c>
      <c r="F187">
        <v>196</v>
      </c>
      <c r="G187">
        <f>E187+4</f>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f>$D$179</f>
        <v>14</v>
      </c>
      <c r="E188">
        <f>E186+2</f>
        <v>149</v>
      </c>
      <c r="F188">
        <f>D183-2</f>
        <v>112</v>
      </c>
      <c r="G188">
        <f>E188+5</f>
        <v>154</v>
      </c>
      <c r="H188" t="s">
        <v>102</v>
      </c>
      <c r="I188">
        <v>12</v>
      </c>
      <c r="J188">
        <v>0</v>
      </c>
      <c r="K188">
        <v>0</v>
      </c>
      <c r="L188">
        <v>0</v>
      </c>
      <c r="N188" t="str">
        <f t="shared" ref="N188:N199" si="45">$M$65</f>
        <v>d0d8dd</v>
      </c>
      <c r="O188" t="s">
        <v>25</v>
      </c>
      <c r="Q188">
        <v>3</v>
      </c>
      <c r="R188" t="b">
        <v>1</v>
      </c>
      <c r="S188" t="s">
        <v>119</v>
      </c>
      <c r="T188">
        <v>0</v>
      </c>
    </row>
    <row r="189" spans="1:20" x14ac:dyDescent="0.25">
      <c r="A189" t="s">
        <v>766</v>
      </c>
      <c r="B189">
        <v>8</v>
      </c>
      <c r="C189" t="s">
        <v>19</v>
      </c>
      <c r="D189">
        <f>D180</f>
        <v>113</v>
      </c>
      <c r="E189">
        <f>E188+1</f>
        <v>150</v>
      </c>
      <c r="F189">
        <f>F180</f>
        <v>140</v>
      </c>
      <c r="G189">
        <f t="shared" ref="G189:G191" si="46">E189+3</f>
        <v>153</v>
      </c>
      <c r="H189" t="s">
        <v>20</v>
      </c>
      <c r="I189">
        <v>16</v>
      </c>
      <c r="J189">
        <v>1</v>
      </c>
      <c r="K189">
        <v>0</v>
      </c>
      <c r="L189">
        <v>0</v>
      </c>
      <c r="N189" t="str">
        <f t="shared" si="45"/>
        <v>d0d8dd</v>
      </c>
      <c r="O189" t="s">
        <v>27</v>
      </c>
      <c r="Q189">
        <v>2</v>
      </c>
      <c r="R189" t="b">
        <v>0</v>
      </c>
      <c r="S189" t="s">
        <v>119</v>
      </c>
      <c r="T189">
        <v>0</v>
      </c>
    </row>
    <row r="190" spans="1:20" x14ac:dyDescent="0.25">
      <c r="A190" t="s">
        <v>767</v>
      </c>
      <c r="B190">
        <v>8</v>
      </c>
      <c r="C190" t="s">
        <v>19</v>
      </c>
      <c r="D190">
        <f>D181</f>
        <v>140</v>
      </c>
      <c r="E190">
        <f>E189</f>
        <v>150</v>
      </c>
      <c r="F190">
        <f>F181</f>
        <v>169</v>
      </c>
      <c r="G190">
        <f t="shared" si="46"/>
        <v>153</v>
      </c>
      <c r="H190" t="s">
        <v>20</v>
      </c>
      <c r="I190">
        <v>16</v>
      </c>
      <c r="J190">
        <v>1</v>
      </c>
      <c r="K190">
        <v>0</v>
      </c>
      <c r="L190">
        <v>0</v>
      </c>
      <c r="N190" t="str">
        <f t="shared" si="45"/>
        <v>d0d8dd</v>
      </c>
      <c r="O190" t="s">
        <v>27</v>
      </c>
      <c r="Q190">
        <v>2</v>
      </c>
      <c r="R190" t="b">
        <v>0</v>
      </c>
      <c r="S190" t="s">
        <v>119</v>
      </c>
      <c r="T190">
        <v>0</v>
      </c>
    </row>
    <row r="191" spans="1:20" x14ac:dyDescent="0.25">
      <c r="A191" t="s">
        <v>768</v>
      </c>
      <c r="B191">
        <v>8</v>
      </c>
      <c r="C191" t="s">
        <v>19</v>
      </c>
      <c r="D191">
        <f>D182</f>
        <v>168</v>
      </c>
      <c r="E191">
        <f>E190</f>
        <v>150</v>
      </c>
      <c r="F191">
        <f>F182</f>
        <v>194</v>
      </c>
      <c r="G191">
        <f t="shared" si="46"/>
        <v>153</v>
      </c>
      <c r="H191" t="s">
        <v>20</v>
      </c>
      <c r="I191">
        <v>16</v>
      </c>
      <c r="J191">
        <v>1</v>
      </c>
      <c r="K191">
        <v>0</v>
      </c>
      <c r="L191">
        <v>0</v>
      </c>
      <c r="N191" t="str">
        <f t="shared" si="45"/>
        <v>d0d8dd</v>
      </c>
      <c r="O191" t="s">
        <v>27</v>
      </c>
      <c r="Q191">
        <v>2</v>
      </c>
      <c r="R191" t="b">
        <v>0</v>
      </c>
      <c r="S191" t="s">
        <v>119</v>
      </c>
      <c r="T191">
        <v>0</v>
      </c>
    </row>
    <row r="192" spans="1:20" ht="15.75" customHeight="1" x14ac:dyDescent="0.25">
      <c r="A192" t="s">
        <v>833</v>
      </c>
      <c r="B192">
        <v>8</v>
      </c>
      <c r="C192" t="s">
        <v>19</v>
      </c>
      <c r="D192">
        <f>$D$179</f>
        <v>14</v>
      </c>
      <c r="E192">
        <f>E188+18</f>
        <v>167</v>
      </c>
      <c r="F192">
        <f>F188</f>
        <v>112</v>
      </c>
      <c r="G192">
        <f>E192+5</f>
        <v>172</v>
      </c>
      <c r="H192" t="s">
        <v>102</v>
      </c>
      <c r="I192">
        <v>12</v>
      </c>
      <c r="J192">
        <v>0</v>
      </c>
      <c r="K192">
        <v>0</v>
      </c>
      <c r="L192">
        <v>0</v>
      </c>
      <c r="N192" t="str">
        <f t="shared" si="45"/>
        <v>d0d8dd</v>
      </c>
      <c r="O192" t="s">
        <v>25</v>
      </c>
      <c r="Q192">
        <v>3</v>
      </c>
      <c r="R192" t="b">
        <v>1</v>
      </c>
      <c r="S192" t="s">
        <v>119</v>
      </c>
      <c r="T192">
        <v>0</v>
      </c>
    </row>
    <row r="193" spans="1:20" x14ac:dyDescent="0.25">
      <c r="A193" t="s">
        <v>834</v>
      </c>
      <c r="B193">
        <v>8</v>
      </c>
      <c r="C193" t="s">
        <v>19</v>
      </c>
      <c r="D193">
        <f>D189</f>
        <v>113</v>
      </c>
      <c r="E193">
        <f>E192+1</f>
        <v>168</v>
      </c>
      <c r="F193">
        <f>F189</f>
        <v>140</v>
      </c>
      <c r="G193">
        <f t="shared" ref="G193:G195" si="47">E193+3</f>
        <v>171</v>
      </c>
      <c r="H193" t="s">
        <v>20</v>
      </c>
      <c r="I193">
        <v>16</v>
      </c>
      <c r="J193">
        <v>1</v>
      </c>
      <c r="K193">
        <v>0</v>
      </c>
      <c r="L193">
        <v>0</v>
      </c>
      <c r="N193" t="str">
        <f t="shared" si="45"/>
        <v>d0d8dd</v>
      </c>
      <c r="O193" t="s">
        <v>27</v>
      </c>
      <c r="Q193">
        <v>2</v>
      </c>
      <c r="R193" t="b">
        <v>0</v>
      </c>
      <c r="S193" t="s">
        <v>119</v>
      </c>
      <c r="T193">
        <v>0</v>
      </c>
    </row>
    <row r="194" spans="1:20" x14ac:dyDescent="0.25">
      <c r="A194" t="s">
        <v>835</v>
      </c>
      <c r="B194">
        <v>8</v>
      </c>
      <c r="C194" t="s">
        <v>19</v>
      </c>
      <c r="D194">
        <f>D190</f>
        <v>140</v>
      </c>
      <c r="E194">
        <f>E193</f>
        <v>168</v>
      </c>
      <c r="F194">
        <f>F190</f>
        <v>169</v>
      </c>
      <c r="G194">
        <f t="shared" si="47"/>
        <v>171</v>
      </c>
      <c r="H194" t="s">
        <v>20</v>
      </c>
      <c r="I194">
        <v>16</v>
      </c>
      <c r="J194">
        <v>1</v>
      </c>
      <c r="K194">
        <v>0</v>
      </c>
      <c r="L194">
        <v>0</v>
      </c>
      <c r="N194" t="str">
        <f t="shared" si="45"/>
        <v>d0d8dd</v>
      </c>
      <c r="O194" t="s">
        <v>27</v>
      </c>
      <c r="Q194">
        <v>2</v>
      </c>
      <c r="R194" t="b">
        <v>0</v>
      </c>
      <c r="S194" t="s">
        <v>119</v>
      </c>
      <c r="T194">
        <v>0</v>
      </c>
    </row>
    <row r="195" spans="1:20" x14ac:dyDescent="0.25">
      <c r="A195" t="s">
        <v>836</v>
      </c>
      <c r="B195">
        <v>8</v>
      </c>
      <c r="C195" t="s">
        <v>19</v>
      </c>
      <c r="D195">
        <f>D191</f>
        <v>168</v>
      </c>
      <c r="E195">
        <f>E194</f>
        <v>168</v>
      </c>
      <c r="F195">
        <f>F191</f>
        <v>194</v>
      </c>
      <c r="G195">
        <f t="shared" si="47"/>
        <v>171</v>
      </c>
      <c r="H195" t="s">
        <v>20</v>
      </c>
      <c r="I195">
        <v>16</v>
      </c>
      <c r="J195">
        <v>1</v>
      </c>
      <c r="K195">
        <v>0</v>
      </c>
      <c r="L195">
        <v>0</v>
      </c>
      <c r="N195" t="str">
        <f t="shared" si="45"/>
        <v>d0d8dd</v>
      </c>
      <c r="O195" t="s">
        <v>27</v>
      </c>
      <c r="Q195">
        <v>2</v>
      </c>
      <c r="R195" t="b">
        <v>0</v>
      </c>
      <c r="S195" t="s">
        <v>119</v>
      </c>
      <c r="T195">
        <v>0</v>
      </c>
    </row>
    <row r="196" spans="1:20" ht="15.75" customHeight="1" x14ac:dyDescent="0.25">
      <c r="A196" t="s">
        <v>837</v>
      </c>
      <c r="B196">
        <v>8</v>
      </c>
      <c r="C196" t="s">
        <v>19</v>
      </c>
      <c r="D196">
        <f>$D$179</f>
        <v>14</v>
      </c>
      <c r="E196">
        <f>E192+18</f>
        <v>185</v>
      </c>
      <c r="F196">
        <f>F192</f>
        <v>112</v>
      </c>
      <c r="G196">
        <f>E196+5</f>
        <v>190</v>
      </c>
      <c r="H196" t="s">
        <v>102</v>
      </c>
      <c r="I196">
        <v>12</v>
      </c>
      <c r="J196">
        <v>0</v>
      </c>
      <c r="K196">
        <v>0</v>
      </c>
      <c r="L196">
        <v>0</v>
      </c>
      <c r="N196" t="str">
        <f t="shared" si="45"/>
        <v>d0d8dd</v>
      </c>
      <c r="O196" t="s">
        <v>25</v>
      </c>
      <c r="Q196">
        <v>3</v>
      </c>
      <c r="R196" t="b">
        <v>1</v>
      </c>
      <c r="S196" t="s">
        <v>119</v>
      </c>
      <c r="T196">
        <v>0</v>
      </c>
    </row>
    <row r="197" spans="1:20" x14ac:dyDescent="0.25">
      <c r="A197" t="s">
        <v>838</v>
      </c>
      <c r="B197">
        <v>8</v>
      </c>
      <c r="C197" t="s">
        <v>19</v>
      </c>
      <c r="D197">
        <f>D189</f>
        <v>113</v>
      </c>
      <c r="E197">
        <f>E196+1</f>
        <v>186</v>
      </c>
      <c r="F197">
        <f>F189</f>
        <v>140</v>
      </c>
      <c r="G197">
        <f t="shared" ref="G197:G199" si="48">E197+3</f>
        <v>189</v>
      </c>
      <c r="H197" t="s">
        <v>20</v>
      </c>
      <c r="I197">
        <v>16</v>
      </c>
      <c r="J197">
        <v>1</v>
      </c>
      <c r="K197">
        <v>0</v>
      </c>
      <c r="L197">
        <v>0</v>
      </c>
      <c r="N197" t="str">
        <f t="shared" si="45"/>
        <v>d0d8dd</v>
      </c>
      <c r="O197" t="s">
        <v>27</v>
      </c>
      <c r="Q197">
        <v>2</v>
      </c>
      <c r="R197" t="b">
        <v>0</v>
      </c>
      <c r="S197" t="s">
        <v>119</v>
      </c>
      <c r="T197">
        <v>0</v>
      </c>
    </row>
    <row r="198" spans="1:20" x14ac:dyDescent="0.25">
      <c r="A198" t="s">
        <v>839</v>
      </c>
      <c r="B198">
        <v>8</v>
      </c>
      <c r="C198" t="s">
        <v>19</v>
      </c>
      <c r="D198">
        <f>D190</f>
        <v>140</v>
      </c>
      <c r="E198">
        <f>E197</f>
        <v>186</v>
      </c>
      <c r="F198">
        <f>F190</f>
        <v>169</v>
      </c>
      <c r="G198">
        <f t="shared" si="48"/>
        <v>189</v>
      </c>
      <c r="H198" t="s">
        <v>20</v>
      </c>
      <c r="I198">
        <v>16</v>
      </c>
      <c r="J198">
        <v>1</v>
      </c>
      <c r="K198">
        <v>0</v>
      </c>
      <c r="L198">
        <v>0</v>
      </c>
      <c r="N198" t="str">
        <f t="shared" si="45"/>
        <v>d0d8dd</v>
      </c>
      <c r="O198" t="s">
        <v>27</v>
      </c>
      <c r="Q198">
        <v>2</v>
      </c>
      <c r="R198" t="b">
        <v>0</v>
      </c>
      <c r="S198" t="s">
        <v>119</v>
      </c>
      <c r="T198">
        <v>0</v>
      </c>
    </row>
    <row r="199" spans="1:20" x14ac:dyDescent="0.25">
      <c r="A199" t="s">
        <v>840</v>
      </c>
      <c r="B199">
        <v>8</v>
      </c>
      <c r="C199" t="s">
        <v>19</v>
      </c>
      <c r="D199">
        <f>D191</f>
        <v>168</v>
      </c>
      <c r="E199">
        <f>E198</f>
        <v>186</v>
      </c>
      <c r="F199">
        <f>F191</f>
        <v>194</v>
      </c>
      <c r="G199">
        <f t="shared" si="48"/>
        <v>189</v>
      </c>
      <c r="H199" t="s">
        <v>20</v>
      </c>
      <c r="I199">
        <v>16</v>
      </c>
      <c r="J199">
        <v>1</v>
      </c>
      <c r="K199">
        <v>0</v>
      </c>
      <c r="L199">
        <v>0</v>
      </c>
      <c r="N199" t="str">
        <f t="shared" si="45"/>
        <v>d0d8dd</v>
      </c>
      <c r="O199" t="s">
        <v>27</v>
      </c>
      <c r="Q199">
        <v>2</v>
      </c>
      <c r="R199" t="b">
        <v>0</v>
      </c>
      <c r="S199" t="s">
        <v>119</v>
      </c>
      <c r="T199">
        <v>0</v>
      </c>
    </row>
    <row r="200" spans="1:20" x14ac:dyDescent="0.25">
      <c r="A200" t="s">
        <v>39</v>
      </c>
      <c r="B200">
        <v>9</v>
      </c>
      <c r="C200" t="s">
        <v>19</v>
      </c>
      <c r="D200">
        <v>14</v>
      </c>
      <c r="E200">
        <v>20</v>
      </c>
      <c r="F200">
        <v>196</v>
      </c>
      <c r="G200">
        <f>E200+5</f>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f>$D$176</f>
        <v>14</v>
      </c>
      <c r="E201">
        <f>G200+8</f>
        <v>33</v>
      </c>
      <c r="F201">
        <v>196</v>
      </c>
      <c r="G201">
        <f>E201+5</f>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f>G215+15</f>
        <v>168</v>
      </c>
      <c r="I202">
        <v>0</v>
      </c>
      <c r="J202">
        <v>1</v>
      </c>
      <c r="K202">
        <v>0</v>
      </c>
      <c r="L202">
        <v>0</v>
      </c>
      <c r="M202" t="str">
        <f>$M$65</f>
        <v>d0d8dd</v>
      </c>
      <c r="N202" t="str">
        <f t="shared" ref="N202:N210" si="49">$M$65</f>
        <v>d0d8dd</v>
      </c>
      <c r="O202" t="s">
        <v>25</v>
      </c>
      <c r="Q202">
        <v>1</v>
      </c>
      <c r="R202" t="b">
        <v>0</v>
      </c>
      <c r="S202" t="s">
        <v>119</v>
      </c>
      <c r="T202">
        <v>0</v>
      </c>
    </row>
    <row r="203" spans="1:20" x14ac:dyDescent="0.25">
      <c r="A203" t="s">
        <v>842</v>
      </c>
      <c r="B203">
        <v>-999</v>
      </c>
      <c r="C203" t="s">
        <v>19</v>
      </c>
      <c r="D203">
        <v>14</v>
      </c>
      <c r="E203">
        <f>E202+5</f>
        <v>125</v>
      </c>
      <c r="F203">
        <v>196</v>
      </c>
      <c r="G203">
        <f>E203+3</f>
        <v>128</v>
      </c>
      <c r="H203" t="s">
        <v>102</v>
      </c>
      <c r="I203">
        <v>12</v>
      </c>
      <c r="J203">
        <v>1</v>
      </c>
      <c r="K203">
        <v>0</v>
      </c>
      <c r="L203">
        <v>0</v>
      </c>
      <c r="N203" t="str">
        <f t="shared" si="49"/>
        <v>d0d8dd</v>
      </c>
      <c r="O203" t="s">
        <v>25</v>
      </c>
      <c r="Q203">
        <v>3</v>
      </c>
      <c r="R203" t="b">
        <v>0</v>
      </c>
      <c r="S203" t="s">
        <v>119</v>
      </c>
      <c r="T203">
        <v>0</v>
      </c>
    </row>
    <row r="204" spans="1:20" x14ac:dyDescent="0.25">
      <c r="A204" t="s">
        <v>774</v>
      </c>
      <c r="B204">
        <v>9</v>
      </c>
      <c r="C204" t="s">
        <v>19</v>
      </c>
      <c r="D204">
        <f t="shared" ref="D204" si="50">D207-1</f>
        <v>113</v>
      </c>
      <c r="E204">
        <f>E202+2</f>
        <v>122</v>
      </c>
      <c r="F204">
        <f>D208-1</f>
        <v>140</v>
      </c>
      <c r="G204">
        <f>E204+5</f>
        <v>127</v>
      </c>
      <c r="H204" t="s">
        <v>102</v>
      </c>
      <c r="I204">
        <v>10</v>
      </c>
      <c r="J204">
        <v>1</v>
      </c>
      <c r="K204">
        <v>0</v>
      </c>
      <c r="L204">
        <v>0</v>
      </c>
      <c r="N204" t="str">
        <f t="shared" si="49"/>
        <v>d0d8dd</v>
      </c>
      <c r="O204" t="s">
        <v>27</v>
      </c>
      <c r="Q204">
        <v>3</v>
      </c>
      <c r="R204" t="b">
        <v>1</v>
      </c>
      <c r="S204" t="s">
        <v>119</v>
      </c>
      <c r="T204">
        <v>0</v>
      </c>
    </row>
    <row r="205" spans="1:20" x14ac:dyDescent="0.25">
      <c r="A205" t="s">
        <v>775</v>
      </c>
      <c r="B205">
        <v>9</v>
      </c>
      <c r="C205" t="s">
        <v>19</v>
      </c>
      <c r="D205">
        <f>D208-1</f>
        <v>140</v>
      </c>
      <c r="E205">
        <f t="shared" ref="E205:E209" si="51">E204</f>
        <v>122</v>
      </c>
      <c r="F205">
        <f>D209+1</f>
        <v>169</v>
      </c>
      <c r="G205">
        <f>G204</f>
        <v>127</v>
      </c>
      <c r="H205" t="s">
        <v>102</v>
      </c>
      <c r="I205">
        <v>10</v>
      </c>
      <c r="J205">
        <v>1</v>
      </c>
      <c r="K205">
        <v>0</v>
      </c>
      <c r="L205">
        <v>0</v>
      </c>
      <c r="N205" t="str">
        <f t="shared" si="49"/>
        <v>d0d8dd</v>
      </c>
      <c r="O205" t="s">
        <v>27</v>
      </c>
      <c r="Q205">
        <v>3</v>
      </c>
      <c r="R205" t="b">
        <v>1</v>
      </c>
      <c r="S205" t="s">
        <v>119</v>
      </c>
      <c r="T205">
        <v>0</v>
      </c>
    </row>
    <row r="206" spans="1:20" x14ac:dyDescent="0.25">
      <c r="A206" t="s">
        <v>776</v>
      </c>
      <c r="B206">
        <v>9</v>
      </c>
      <c r="C206" t="s">
        <v>19</v>
      </c>
      <c r="D206">
        <f>D209</f>
        <v>168</v>
      </c>
      <c r="E206">
        <f t="shared" si="51"/>
        <v>122</v>
      </c>
      <c r="F206">
        <f>D206+26</f>
        <v>194</v>
      </c>
      <c r="G206">
        <f t="shared" ref="G206" si="52">G205</f>
        <v>127</v>
      </c>
      <c r="H206" t="s">
        <v>102</v>
      </c>
      <c r="I206">
        <v>10</v>
      </c>
      <c r="J206">
        <v>1</v>
      </c>
      <c r="K206">
        <v>0</v>
      </c>
      <c r="L206">
        <v>0</v>
      </c>
      <c r="N206" t="str">
        <f t="shared" si="49"/>
        <v>d0d8dd</v>
      </c>
      <c r="O206" t="s">
        <v>27</v>
      </c>
      <c r="Q206">
        <v>3</v>
      </c>
      <c r="R206" t="b">
        <v>1</v>
      </c>
      <c r="S206" t="s">
        <v>119</v>
      </c>
      <c r="T206">
        <v>0</v>
      </c>
    </row>
    <row r="207" spans="1:20" x14ac:dyDescent="0.25">
      <c r="A207" t="s">
        <v>44</v>
      </c>
      <c r="B207">
        <v>9</v>
      </c>
      <c r="C207" t="s">
        <v>25</v>
      </c>
      <c r="D207">
        <v>114</v>
      </c>
      <c r="E207">
        <f>E202</f>
        <v>120</v>
      </c>
      <c r="F207">
        <f>D207</f>
        <v>114</v>
      </c>
      <c r="G207">
        <f>G202</f>
        <v>168</v>
      </c>
      <c r="I207">
        <v>0.5</v>
      </c>
      <c r="J207">
        <v>0</v>
      </c>
      <c r="K207">
        <v>0</v>
      </c>
      <c r="L207">
        <v>0</v>
      </c>
      <c r="M207" t="s">
        <v>21</v>
      </c>
      <c r="N207" t="str">
        <f t="shared" si="49"/>
        <v>d0d8dd</v>
      </c>
      <c r="O207" t="s">
        <v>25</v>
      </c>
      <c r="Q207">
        <v>4</v>
      </c>
      <c r="R207" t="b">
        <v>0</v>
      </c>
      <c r="S207" t="s">
        <v>119</v>
      </c>
      <c r="T207">
        <v>0</v>
      </c>
    </row>
    <row r="208" spans="1:20" x14ac:dyDescent="0.25">
      <c r="A208" t="s">
        <v>45</v>
      </c>
      <c r="B208">
        <v>9</v>
      </c>
      <c r="C208" t="s">
        <v>25</v>
      </c>
      <c r="D208">
        <f>D207+27</f>
        <v>141</v>
      </c>
      <c r="E208">
        <f t="shared" si="51"/>
        <v>120</v>
      </c>
      <c r="F208">
        <f t="shared" ref="F208:F209" si="53">D208</f>
        <v>141</v>
      </c>
      <c r="G208">
        <f>G207</f>
        <v>168</v>
      </c>
      <c r="I208">
        <v>0.5</v>
      </c>
      <c r="J208">
        <v>0</v>
      </c>
      <c r="K208">
        <v>0</v>
      </c>
      <c r="L208">
        <v>0</v>
      </c>
      <c r="M208" t="s">
        <v>21</v>
      </c>
      <c r="N208" t="str">
        <f t="shared" si="49"/>
        <v>d0d8dd</v>
      </c>
      <c r="O208" t="s">
        <v>25</v>
      </c>
      <c r="Q208">
        <v>4</v>
      </c>
      <c r="R208" t="b">
        <v>0</v>
      </c>
      <c r="S208" t="s">
        <v>119</v>
      </c>
      <c r="T208">
        <v>0</v>
      </c>
    </row>
    <row r="209" spans="1:20" x14ac:dyDescent="0.25">
      <c r="A209" t="s">
        <v>46</v>
      </c>
      <c r="B209">
        <v>9</v>
      </c>
      <c r="C209" t="s">
        <v>25</v>
      </c>
      <c r="D209">
        <f>D208+27</f>
        <v>168</v>
      </c>
      <c r="E209">
        <f t="shared" si="51"/>
        <v>120</v>
      </c>
      <c r="F209">
        <f t="shared" si="53"/>
        <v>168</v>
      </c>
      <c r="G209">
        <f>G208</f>
        <v>168</v>
      </c>
      <c r="I209">
        <v>0.5</v>
      </c>
      <c r="J209">
        <v>0</v>
      </c>
      <c r="K209">
        <v>0</v>
      </c>
      <c r="L209">
        <v>0</v>
      </c>
      <c r="M209" t="s">
        <v>21</v>
      </c>
      <c r="N209" t="str">
        <f t="shared" si="49"/>
        <v>d0d8dd</v>
      </c>
      <c r="O209" t="s">
        <v>25</v>
      </c>
      <c r="Q209">
        <v>4</v>
      </c>
      <c r="R209" t="b">
        <v>0</v>
      </c>
      <c r="S209" t="s">
        <v>119</v>
      </c>
      <c r="T209">
        <v>0</v>
      </c>
    </row>
    <row r="210" spans="1:20" x14ac:dyDescent="0.25">
      <c r="A210" t="s">
        <v>55</v>
      </c>
      <c r="B210">
        <v>9</v>
      </c>
      <c r="C210" t="s">
        <v>25</v>
      </c>
      <c r="D210">
        <f>$D$179</f>
        <v>14</v>
      </c>
      <c r="E210">
        <f>E204+25</f>
        <v>147</v>
      </c>
      <c r="F210">
        <v>196</v>
      </c>
      <c r="G210">
        <f>E210</f>
        <v>147</v>
      </c>
      <c r="I210">
        <v>0.5</v>
      </c>
      <c r="J210">
        <v>0</v>
      </c>
      <c r="K210">
        <v>0</v>
      </c>
      <c r="L210">
        <v>0</v>
      </c>
      <c r="M210" t="s">
        <v>21</v>
      </c>
      <c r="N210" t="str">
        <f t="shared" si="49"/>
        <v>d0d8dd</v>
      </c>
      <c r="O210" t="s">
        <v>25</v>
      </c>
      <c r="Q210">
        <v>4</v>
      </c>
      <c r="R210" t="b">
        <v>0</v>
      </c>
      <c r="S210" t="s">
        <v>119</v>
      </c>
      <c r="T210">
        <v>0</v>
      </c>
    </row>
    <row r="211" spans="1:20" x14ac:dyDescent="0.25">
      <c r="A211" t="s">
        <v>920</v>
      </c>
      <c r="B211">
        <v>9</v>
      </c>
      <c r="C211" t="s">
        <v>19</v>
      </c>
      <c r="D211">
        <v>14</v>
      </c>
      <c r="E211">
        <f>G202+2</f>
        <v>170</v>
      </c>
      <c r="F211">
        <v>196</v>
      </c>
      <c r="G211">
        <f>E211+4</f>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f>$D$203</f>
        <v>14</v>
      </c>
      <c r="E212">
        <f>E210+2</f>
        <v>149</v>
      </c>
      <c r="F212">
        <f>D207-2</f>
        <v>112</v>
      </c>
      <c r="G212">
        <f>E212+5</f>
        <v>154</v>
      </c>
      <c r="H212" t="s">
        <v>102</v>
      </c>
      <c r="I212">
        <v>12</v>
      </c>
      <c r="J212">
        <v>0</v>
      </c>
      <c r="K212">
        <v>0</v>
      </c>
      <c r="L212">
        <v>0</v>
      </c>
      <c r="N212" t="str">
        <f t="shared" ref="N212:N215" si="54">$M$65</f>
        <v>d0d8dd</v>
      </c>
      <c r="O212" t="s">
        <v>25</v>
      </c>
      <c r="Q212">
        <v>3</v>
      </c>
      <c r="R212" t="b">
        <v>1</v>
      </c>
      <c r="S212" t="s">
        <v>119</v>
      </c>
      <c r="T212">
        <v>0</v>
      </c>
    </row>
    <row r="213" spans="1:20" x14ac:dyDescent="0.25">
      <c r="A213" t="s">
        <v>844</v>
      </c>
      <c r="B213">
        <v>9</v>
      </c>
      <c r="C213" t="s">
        <v>19</v>
      </c>
      <c r="D213">
        <f>D204</f>
        <v>113</v>
      </c>
      <c r="E213">
        <f>E212+1</f>
        <v>150</v>
      </c>
      <c r="F213">
        <f>F204</f>
        <v>140</v>
      </c>
      <c r="G213">
        <f t="shared" ref="G213:G215" si="55">E213+3</f>
        <v>153</v>
      </c>
      <c r="H213" t="s">
        <v>20</v>
      </c>
      <c r="I213">
        <v>16</v>
      </c>
      <c r="J213">
        <v>1</v>
      </c>
      <c r="K213">
        <v>0</v>
      </c>
      <c r="L213">
        <v>0</v>
      </c>
      <c r="N213" t="str">
        <f t="shared" si="54"/>
        <v>d0d8dd</v>
      </c>
      <c r="O213" t="s">
        <v>27</v>
      </c>
      <c r="Q213">
        <v>2</v>
      </c>
      <c r="R213" t="b">
        <v>0</v>
      </c>
      <c r="S213" t="s">
        <v>119</v>
      </c>
      <c r="T213">
        <v>0</v>
      </c>
    </row>
    <row r="214" spans="1:20" x14ac:dyDescent="0.25">
      <c r="A214" t="s">
        <v>845</v>
      </c>
      <c r="B214">
        <v>9</v>
      </c>
      <c r="C214" t="s">
        <v>19</v>
      </c>
      <c r="D214">
        <f>D205</f>
        <v>140</v>
      </c>
      <c r="E214">
        <f>E213</f>
        <v>150</v>
      </c>
      <c r="F214">
        <f>F205</f>
        <v>169</v>
      </c>
      <c r="G214">
        <f t="shared" si="55"/>
        <v>153</v>
      </c>
      <c r="H214" t="s">
        <v>20</v>
      </c>
      <c r="I214">
        <v>16</v>
      </c>
      <c r="J214">
        <v>1</v>
      </c>
      <c r="K214">
        <v>0</v>
      </c>
      <c r="L214">
        <v>0</v>
      </c>
      <c r="N214" t="str">
        <f t="shared" si="54"/>
        <v>d0d8dd</v>
      </c>
      <c r="O214" t="s">
        <v>27</v>
      </c>
      <c r="Q214">
        <v>2</v>
      </c>
      <c r="R214" t="b">
        <v>0</v>
      </c>
      <c r="S214" t="s">
        <v>119</v>
      </c>
      <c r="T214">
        <v>0</v>
      </c>
    </row>
    <row r="215" spans="1:20" x14ac:dyDescent="0.25">
      <c r="A215" t="s">
        <v>846</v>
      </c>
      <c r="B215">
        <v>9</v>
      </c>
      <c r="C215" t="s">
        <v>19</v>
      </c>
      <c r="D215">
        <f>D206</f>
        <v>168</v>
      </c>
      <c r="E215">
        <f>E214</f>
        <v>150</v>
      </c>
      <c r="F215">
        <f>F206</f>
        <v>194</v>
      </c>
      <c r="G215">
        <f t="shared" si="55"/>
        <v>153</v>
      </c>
      <c r="H215" t="s">
        <v>20</v>
      </c>
      <c r="I215">
        <v>16</v>
      </c>
      <c r="J215">
        <v>1</v>
      </c>
      <c r="K215">
        <v>0</v>
      </c>
      <c r="L215">
        <v>0</v>
      </c>
      <c r="N215" t="str">
        <f t="shared" si="54"/>
        <v>d0d8dd</v>
      </c>
      <c r="O215" t="s">
        <v>27</v>
      </c>
      <c r="Q215">
        <v>2</v>
      </c>
      <c r="R215" t="b">
        <v>0</v>
      </c>
      <c r="S215" t="s">
        <v>119</v>
      </c>
      <c r="T215">
        <v>0</v>
      </c>
    </row>
    <row r="216" spans="1:20" x14ac:dyDescent="0.25">
      <c r="A216" t="s">
        <v>888</v>
      </c>
      <c r="B216">
        <v>10</v>
      </c>
      <c r="C216" t="s">
        <v>19</v>
      </c>
      <c r="D216">
        <v>14</v>
      </c>
      <c r="E216">
        <v>20</v>
      </c>
      <c r="F216">
        <v>196</v>
      </c>
      <c r="G216">
        <f>E216+5</f>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f>G216+8</f>
        <v>33</v>
      </c>
      <c r="F217">
        <v>196</v>
      </c>
      <c r="G217">
        <f>E217+5</f>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f>G243+15</f>
        <v>213</v>
      </c>
      <c r="I218">
        <v>0</v>
      </c>
      <c r="J218">
        <v>1</v>
      </c>
      <c r="K218">
        <v>0</v>
      </c>
      <c r="L218">
        <v>0</v>
      </c>
      <c r="M218" t="str">
        <f>$N$76</f>
        <v>d0d8dd</v>
      </c>
      <c r="N218" t="s">
        <v>918</v>
      </c>
      <c r="O218" t="s">
        <v>25</v>
      </c>
      <c r="Q218">
        <v>1</v>
      </c>
      <c r="R218" t="b">
        <v>0</v>
      </c>
      <c r="S218" t="s">
        <v>119</v>
      </c>
      <c r="T218">
        <v>0</v>
      </c>
    </row>
    <row r="219" spans="1:20" x14ac:dyDescent="0.25">
      <c r="A219" t="s">
        <v>848</v>
      </c>
      <c r="B219">
        <v>10</v>
      </c>
      <c r="C219" t="s">
        <v>19</v>
      </c>
      <c r="D219">
        <v>14</v>
      </c>
      <c r="E219">
        <f>E218+5</f>
        <v>125</v>
      </c>
      <c r="F219">
        <v>196</v>
      </c>
      <c r="G219">
        <f>E219+3</f>
        <v>128</v>
      </c>
      <c r="H219" t="s">
        <v>102</v>
      </c>
      <c r="I219">
        <v>12</v>
      </c>
      <c r="J219">
        <v>1</v>
      </c>
      <c r="K219">
        <v>0</v>
      </c>
      <c r="L219">
        <v>0</v>
      </c>
      <c r="N219" t="str">
        <f t="shared" ref="N219:N243" si="56">$N$76</f>
        <v>d0d8dd</v>
      </c>
      <c r="O219" t="s">
        <v>25</v>
      </c>
      <c r="Q219">
        <v>3</v>
      </c>
      <c r="R219" t="b">
        <v>0</v>
      </c>
      <c r="S219" t="s">
        <v>119</v>
      </c>
      <c r="T219">
        <v>0</v>
      </c>
    </row>
    <row r="220" spans="1:20" x14ac:dyDescent="0.25">
      <c r="A220" t="s">
        <v>774</v>
      </c>
      <c r="B220">
        <v>10</v>
      </c>
      <c r="C220" t="s">
        <v>19</v>
      </c>
      <c r="D220">
        <f t="shared" ref="D220" si="57">D223-1</f>
        <v>113</v>
      </c>
      <c r="E220">
        <f>E218+2</f>
        <v>122</v>
      </c>
      <c r="F220">
        <f>D224-1</f>
        <v>140</v>
      </c>
      <c r="G220">
        <f>E220+5</f>
        <v>127</v>
      </c>
      <c r="H220" t="s">
        <v>102</v>
      </c>
      <c r="I220">
        <v>10</v>
      </c>
      <c r="J220">
        <v>1</v>
      </c>
      <c r="K220">
        <v>0</v>
      </c>
      <c r="L220">
        <v>0</v>
      </c>
      <c r="N220" t="str">
        <f t="shared" si="56"/>
        <v>d0d8dd</v>
      </c>
      <c r="O220" t="s">
        <v>27</v>
      </c>
      <c r="Q220">
        <v>3</v>
      </c>
      <c r="R220" t="b">
        <v>1</v>
      </c>
      <c r="S220" t="s">
        <v>119</v>
      </c>
      <c r="T220">
        <v>0</v>
      </c>
    </row>
    <row r="221" spans="1:20" x14ac:dyDescent="0.25">
      <c r="A221" t="s">
        <v>775</v>
      </c>
      <c r="B221">
        <v>10</v>
      </c>
      <c r="C221" t="s">
        <v>19</v>
      </c>
      <c r="D221">
        <f>D224-1</f>
        <v>140</v>
      </c>
      <c r="E221">
        <f t="shared" ref="E221:E225" si="58">E220</f>
        <v>122</v>
      </c>
      <c r="F221">
        <f>D225+1</f>
        <v>169</v>
      </c>
      <c r="G221">
        <f>G220</f>
        <v>127</v>
      </c>
      <c r="H221" t="s">
        <v>102</v>
      </c>
      <c r="I221">
        <v>10</v>
      </c>
      <c r="J221">
        <v>1</v>
      </c>
      <c r="K221">
        <v>0</v>
      </c>
      <c r="L221">
        <v>0</v>
      </c>
      <c r="N221" t="str">
        <f t="shared" si="56"/>
        <v>d0d8dd</v>
      </c>
      <c r="O221" t="s">
        <v>27</v>
      </c>
      <c r="Q221">
        <v>3</v>
      </c>
      <c r="R221" t="b">
        <v>1</v>
      </c>
      <c r="S221" t="s">
        <v>119</v>
      </c>
      <c r="T221">
        <v>0</v>
      </c>
    </row>
    <row r="222" spans="1:20" x14ac:dyDescent="0.25">
      <c r="A222" t="s">
        <v>776</v>
      </c>
      <c r="B222">
        <v>10</v>
      </c>
      <c r="C222" t="s">
        <v>19</v>
      </c>
      <c r="D222">
        <f>D225</f>
        <v>168</v>
      </c>
      <c r="E222">
        <f t="shared" si="58"/>
        <v>122</v>
      </c>
      <c r="F222">
        <f>D222+26</f>
        <v>194</v>
      </c>
      <c r="G222">
        <f t="shared" ref="G222" si="59">G221</f>
        <v>127</v>
      </c>
      <c r="H222" t="s">
        <v>102</v>
      </c>
      <c r="I222">
        <v>10</v>
      </c>
      <c r="J222">
        <v>1</v>
      </c>
      <c r="K222">
        <v>0</v>
      </c>
      <c r="L222">
        <v>0</v>
      </c>
      <c r="N222" t="str">
        <f t="shared" si="56"/>
        <v>d0d8dd</v>
      </c>
      <c r="O222" t="s">
        <v>27</v>
      </c>
      <c r="Q222">
        <v>3</v>
      </c>
      <c r="R222" t="b">
        <v>1</v>
      </c>
      <c r="S222" t="s">
        <v>119</v>
      </c>
      <c r="T222">
        <v>0</v>
      </c>
    </row>
    <row r="223" spans="1:20" x14ac:dyDescent="0.25">
      <c r="A223" t="s">
        <v>44</v>
      </c>
      <c r="B223">
        <v>10</v>
      </c>
      <c r="C223" t="s">
        <v>25</v>
      </c>
      <c r="D223">
        <v>114</v>
      </c>
      <c r="E223">
        <f>E218</f>
        <v>120</v>
      </c>
      <c r="F223">
        <f>D223</f>
        <v>114</v>
      </c>
      <c r="G223">
        <f>G218</f>
        <v>213</v>
      </c>
      <c r="I223">
        <v>0.5</v>
      </c>
      <c r="J223">
        <v>0</v>
      </c>
      <c r="K223">
        <v>0</v>
      </c>
      <c r="L223">
        <v>0</v>
      </c>
      <c r="M223" t="s">
        <v>21</v>
      </c>
      <c r="N223" t="str">
        <f t="shared" si="56"/>
        <v>d0d8dd</v>
      </c>
      <c r="O223" t="s">
        <v>25</v>
      </c>
      <c r="Q223">
        <v>4</v>
      </c>
      <c r="R223" t="b">
        <v>0</v>
      </c>
      <c r="S223" t="s">
        <v>119</v>
      </c>
      <c r="T223">
        <v>0</v>
      </c>
    </row>
    <row r="224" spans="1:20" x14ac:dyDescent="0.25">
      <c r="A224" t="s">
        <v>45</v>
      </c>
      <c r="B224">
        <v>10</v>
      </c>
      <c r="C224" t="s">
        <v>25</v>
      </c>
      <c r="D224">
        <f>D223+27</f>
        <v>141</v>
      </c>
      <c r="E224">
        <f t="shared" si="58"/>
        <v>120</v>
      </c>
      <c r="F224">
        <f t="shared" ref="F224:F225" si="60">D224</f>
        <v>141</v>
      </c>
      <c r="G224">
        <f>G223</f>
        <v>213</v>
      </c>
      <c r="I224">
        <v>0.5</v>
      </c>
      <c r="J224">
        <v>0</v>
      </c>
      <c r="K224">
        <v>0</v>
      </c>
      <c r="L224">
        <v>0</v>
      </c>
      <c r="M224" t="s">
        <v>21</v>
      </c>
      <c r="N224" t="str">
        <f t="shared" si="56"/>
        <v>d0d8dd</v>
      </c>
      <c r="O224" t="s">
        <v>25</v>
      </c>
      <c r="Q224">
        <v>4</v>
      </c>
      <c r="R224" t="b">
        <v>0</v>
      </c>
      <c r="S224" t="s">
        <v>119</v>
      </c>
      <c r="T224">
        <v>0</v>
      </c>
    </row>
    <row r="225" spans="1:20" x14ac:dyDescent="0.25">
      <c r="A225" t="s">
        <v>46</v>
      </c>
      <c r="B225">
        <v>10</v>
      </c>
      <c r="C225" t="s">
        <v>25</v>
      </c>
      <c r="D225">
        <f>D224+27</f>
        <v>168</v>
      </c>
      <c r="E225">
        <f t="shared" si="58"/>
        <v>120</v>
      </c>
      <c r="F225">
        <f t="shared" si="60"/>
        <v>168</v>
      </c>
      <c r="G225">
        <f>G224</f>
        <v>213</v>
      </c>
      <c r="I225">
        <v>0.5</v>
      </c>
      <c r="J225">
        <v>0</v>
      </c>
      <c r="K225">
        <v>0</v>
      </c>
      <c r="L225">
        <v>0</v>
      </c>
      <c r="M225" t="s">
        <v>21</v>
      </c>
      <c r="N225" t="str">
        <f t="shared" si="56"/>
        <v>d0d8dd</v>
      </c>
      <c r="O225" t="s">
        <v>25</v>
      </c>
      <c r="Q225">
        <v>4</v>
      </c>
      <c r="R225" t="b">
        <v>0</v>
      </c>
      <c r="S225" t="s">
        <v>119</v>
      </c>
      <c r="T225">
        <v>0</v>
      </c>
    </row>
    <row r="226" spans="1:20" x14ac:dyDescent="0.25">
      <c r="A226" t="s">
        <v>55</v>
      </c>
      <c r="B226">
        <v>10</v>
      </c>
      <c r="C226" t="s">
        <v>25</v>
      </c>
      <c r="D226">
        <v>14</v>
      </c>
      <c r="E226">
        <f>E220+25</f>
        <v>147</v>
      </c>
      <c r="F226">
        <v>196</v>
      </c>
      <c r="G226">
        <f>E226</f>
        <v>147</v>
      </c>
      <c r="I226">
        <v>0.5</v>
      </c>
      <c r="J226">
        <v>0</v>
      </c>
      <c r="K226">
        <v>0</v>
      </c>
      <c r="L226">
        <v>0</v>
      </c>
      <c r="M226" t="s">
        <v>21</v>
      </c>
      <c r="N226" t="str">
        <f t="shared" si="56"/>
        <v>d0d8dd</v>
      </c>
      <c r="O226" t="s">
        <v>25</v>
      </c>
      <c r="Q226">
        <v>4</v>
      </c>
      <c r="R226" t="b">
        <v>0</v>
      </c>
      <c r="S226" t="s">
        <v>119</v>
      </c>
      <c r="T226">
        <v>0</v>
      </c>
    </row>
    <row r="227" spans="1:20" x14ac:dyDescent="0.25">
      <c r="A227" t="s">
        <v>920</v>
      </c>
      <c r="B227">
        <v>10</v>
      </c>
      <c r="C227" t="s">
        <v>19</v>
      </c>
      <c r="D227">
        <v>14</v>
      </c>
      <c r="E227">
        <f>G218+2</f>
        <v>215</v>
      </c>
      <c r="F227">
        <v>196</v>
      </c>
      <c r="G227">
        <f>E227+4</f>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f>E226+2</f>
        <v>149</v>
      </c>
      <c r="F228">
        <f>D223-2</f>
        <v>112</v>
      </c>
      <c r="G228">
        <f>E228+5</f>
        <v>154</v>
      </c>
      <c r="H228" t="s">
        <v>102</v>
      </c>
      <c r="I228">
        <v>12</v>
      </c>
      <c r="J228">
        <v>0</v>
      </c>
      <c r="K228">
        <v>0</v>
      </c>
      <c r="L228">
        <v>0</v>
      </c>
      <c r="N228" t="str">
        <f t="shared" si="56"/>
        <v>d0d8dd</v>
      </c>
      <c r="O228" t="s">
        <v>25</v>
      </c>
      <c r="Q228">
        <v>3</v>
      </c>
      <c r="R228" t="b">
        <v>1</v>
      </c>
      <c r="S228" t="s">
        <v>119</v>
      </c>
      <c r="T228">
        <v>0</v>
      </c>
    </row>
    <row r="229" spans="1:20" x14ac:dyDescent="0.25">
      <c r="A229" t="s">
        <v>850</v>
      </c>
      <c r="B229">
        <v>10</v>
      </c>
      <c r="C229" t="s">
        <v>19</v>
      </c>
      <c r="D229">
        <f>D220</f>
        <v>113</v>
      </c>
      <c r="E229">
        <f>E228+1</f>
        <v>150</v>
      </c>
      <c r="F229">
        <f>F220</f>
        <v>140</v>
      </c>
      <c r="G229">
        <f t="shared" ref="G229:G231" si="61">E229+3</f>
        <v>153</v>
      </c>
      <c r="H229" t="s">
        <v>20</v>
      </c>
      <c r="I229">
        <v>16</v>
      </c>
      <c r="J229">
        <v>1</v>
      </c>
      <c r="K229">
        <v>0</v>
      </c>
      <c r="L229">
        <v>0</v>
      </c>
      <c r="N229" t="str">
        <f t="shared" si="56"/>
        <v>d0d8dd</v>
      </c>
      <c r="O229" t="s">
        <v>27</v>
      </c>
      <c r="Q229">
        <v>2</v>
      </c>
      <c r="R229" t="b">
        <v>0</v>
      </c>
      <c r="S229" t="s">
        <v>119</v>
      </c>
      <c r="T229">
        <v>0</v>
      </c>
    </row>
    <row r="230" spans="1:20" x14ac:dyDescent="0.25">
      <c r="A230" t="s">
        <v>851</v>
      </c>
      <c r="B230">
        <v>10</v>
      </c>
      <c r="C230" t="s">
        <v>19</v>
      </c>
      <c r="D230">
        <f>D221</f>
        <v>140</v>
      </c>
      <c r="E230">
        <f>E229</f>
        <v>150</v>
      </c>
      <c r="F230">
        <f>F221</f>
        <v>169</v>
      </c>
      <c r="G230">
        <f t="shared" si="61"/>
        <v>153</v>
      </c>
      <c r="H230" t="s">
        <v>20</v>
      </c>
      <c r="I230">
        <v>16</v>
      </c>
      <c r="J230">
        <v>1</v>
      </c>
      <c r="K230">
        <v>0</v>
      </c>
      <c r="L230">
        <v>0</v>
      </c>
      <c r="N230" t="str">
        <f t="shared" si="56"/>
        <v>d0d8dd</v>
      </c>
      <c r="O230" t="s">
        <v>27</v>
      </c>
      <c r="Q230">
        <v>2</v>
      </c>
      <c r="R230" t="b">
        <v>0</v>
      </c>
      <c r="S230" t="s">
        <v>119</v>
      </c>
      <c r="T230">
        <v>0</v>
      </c>
    </row>
    <row r="231" spans="1:20" x14ac:dyDescent="0.25">
      <c r="A231" t="s">
        <v>852</v>
      </c>
      <c r="B231">
        <v>10</v>
      </c>
      <c r="C231" t="s">
        <v>19</v>
      </c>
      <c r="D231">
        <f>D222</f>
        <v>168</v>
      </c>
      <c r="E231">
        <f>E230</f>
        <v>150</v>
      </c>
      <c r="F231">
        <f>F222</f>
        <v>194</v>
      </c>
      <c r="G231">
        <f t="shared" si="61"/>
        <v>153</v>
      </c>
      <c r="H231" t="s">
        <v>20</v>
      </c>
      <c r="I231">
        <v>16</v>
      </c>
      <c r="J231">
        <v>1</v>
      </c>
      <c r="K231">
        <v>0</v>
      </c>
      <c r="L231">
        <v>0</v>
      </c>
      <c r="N231" t="str">
        <f t="shared" si="56"/>
        <v>d0d8dd</v>
      </c>
      <c r="O231" t="s">
        <v>27</v>
      </c>
      <c r="Q231">
        <v>2</v>
      </c>
      <c r="R231" t="b">
        <v>0</v>
      </c>
      <c r="S231" t="s">
        <v>119</v>
      </c>
      <c r="T231">
        <v>0</v>
      </c>
    </row>
    <row r="232" spans="1:20" x14ac:dyDescent="0.25">
      <c r="A232" t="s">
        <v>853</v>
      </c>
      <c r="B232">
        <v>10</v>
      </c>
      <c r="C232" t="s">
        <v>19</v>
      </c>
      <c r="D232">
        <f t="shared" ref="D232:D243" si="62">D228</f>
        <v>14</v>
      </c>
      <c r="E232">
        <f>E228+15</f>
        <v>164</v>
      </c>
      <c r="F232">
        <f t="shared" ref="F232:F243" si="63">F228</f>
        <v>112</v>
      </c>
      <c r="G232">
        <f>E232+5</f>
        <v>169</v>
      </c>
      <c r="H232" t="s">
        <v>102</v>
      </c>
      <c r="I232">
        <v>12</v>
      </c>
      <c r="J232">
        <v>0</v>
      </c>
      <c r="K232">
        <v>0</v>
      </c>
      <c r="L232">
        <v>0</v>
      </c>
      <c r="N232" t="str">
        <f t="shared" si="56"/>
        <v>d0d8dd</v>
      </c>
      <c r="O232" t="s">
        <v>25</v>
      </c>
      <c r="Q232">
        <v>3</v>
      </c>
      <c r="R232" t="b">
        <v>1</v>
      </c>
      <c r="S232" t="s">
        <v>119</v>
      </c>
      <c r="T232">
        <v>0</v>
      </c>
    </row>
    <row r="233" spans="1:20" x14ac:dyDescent="0.25">
      <c r="A233" t="s">
        <v>854</v>
      </c>
      <c r="B233">
        <v>10</v>
      </c>
      <c r="C233" t="s">
        <v>19</v>
      </c>
      <c r="D233">
        <f t="shared" si="62"/>
        <v>113</v>
      </c>
      <c r="E233">
        <f>E232+1</f>
        <v>165</v>
      </c>
      <c r="F233">
        <f t="shared" si="63"/>
        <v>140</v>
      </c>
      <c r="G233">
        <f>E233+3</f>
        <v>168</v>
      </c>
      <c r="H233" t="s">
        <v>20</v>
      </c>
      <c r="I233">
        <v>16</v>
      </c>
      <c r="J233">
        <v>1</v>
      </c>
      <c r="K233">
        <v>0</v>
      </c>
      <c r="L233">
        <v>0</v>
      </c>
      <c r="N233" t="str">
        <f t="shared" si="56"/>
        <v>d0d8dd</v>
      </c>
      <c r="O233" t="s">
        <v>27</v>
      </c>
      <c r="Q233">
        <v>2</v>
      </c>
      <c r="R233" t="b">
        <v>0</v>
      </c>
      <c r="S233" t="s">
        <v>119</v>
      </c>
      <c r="T233">
        <v>0</v>
      </c>
    </row>
    <row r="234" spans="1:20" x14ac:dyDescent="0.25">
      <c r="A234" t="s">
        <v>855</v>
      </c>
      <c r="B234">
        <v>10</v>
      </c>
      <c r="C234" t="s">
        <v>19</v>
      </c>
      <c r="D234">
        <f t="shared" si="62"/>
        <v>140</v>
      </c>
      <c r="E234">
        <f>E233</f>
        <v>165</v>
      </c>
      <c r="F234">
        <f t="shared" si="63"/>
        <v>169</v>
      </c>
      <c r="G234">
        <f t="shared" ref="G234:G235" si="64">E234+3</f>
        <v>168</v>
      </c>
      <c r="H234" t="s">
        <v>20</v>
      </c>
      <c r="I234">
        <v>16</v>
      </c>
      <c r="J234">
        <v>1</v>
      </c>
      <c r="K234">
        <v>0</v>
      </c>
      <c r="L234">
        <v>0</v>
      </c>
      <c r="N234" t="str">
        <f t="shared" si="56"/>
        <v>d0d8dd</v>
      </c>
      <c r="O234" t="s">
        <v>27</v>
      </c>
      <c r="Q234">
        <v>2</v>
      </c>
      <c r="R234" t="b">
        <v>0</v>
      </c>
      <c r="S234" t="s">
        <v>119</v>
      </c>
      <c r="T234">
        <v>0</v>
      </c>
    </row>
    <row r="235" spans="1:20" x14ac:dyDescent="0.25">
      <c r="A235" t="s">
        <v>856</v>
      </c>
      <c r="B235">
        <v>10</v>
      </c>
      <c r="C235" t="s">
        <v>19</v>
      </c>
      <c r="D235">
        <f t="shared" si="62"/>
        <v>168</v>
      </c>
      <c r="E235">
        <f>E234</f>
        <v>165</v>
      </c>
      <c r="F235">
        <f t="shared" si="63"/>
        <v>194</v>
      </c>
      <c r="G235">
        <f t="shared" si="64"/>
        <v>168</v>
      </c>
      <c r="H235" t="s">
        <v>20</v>
      </c>
      <c r="I235">
        <v>16</v>
      </c>
      <c r="J235">
        <v>1</v>
      </c>
      <c r="K235">
        <v>0</v>
      </c>
      <c r="L235">
        <v>0</v>
      </c>
      <c r="N235" t="str">
        <f t="shared" si="56"/>
        <v>d0d8dd</v>
      </c>
      <c r="O235" t="s">
        <v>27</v>
      </c>
      <c r="Q235">
        <v>2</v>
      </c>
      <c r="R235" t="b">
        <v>0</v>
      </c>
      <c r="S235" t="s">
        <v>119</v>
      </c>
      <c r="T235">
        <v>0</v>
      </c>
    </row>
    <row r="236" spans="1:20" x14ac:dyDescent="0.25">
      <c r="A236" t="s">
        <v>880</v>
      </c>
      <c r="B236">
        <v>10</v>
      </c>
      <c r="C236" t="s">
        <v>19</v>
      </c>
      <c r="D236">
        <f t="shared" si="62"/>
        <v>14</v>
      </c>
      <c r="E236">
        <f>E232+15</f>
        <v>179</v>
      </c>
      <c r="F236">
        <f t="shared" si="63"/>
        <v>112</v>
      </c>
      <c r="G236">
        <f>E236+5</f>
        <v>184</v>
      </c>
      <c r="H236" t="s">
        <v>102</v>
      </c>
      <c r="I236">
        <v>12</v>
      </c>
      <c r="J236">
        <v>0</v>
      </c>
      <c r="K236">
        <v>0</v>
      </c>
      <c r="L236">
        <v>0</v>
      </c>
      <c r="N236" t="str">
        <f t="shared" si="56"/>
        <v>d0d8dd</v>
      </c>
      <c r="O236" t="s">
        <v>25</v>
      </c>
      <c r="Q236">
        <v>3</v>
      </c>
      <c r="R236" t="b">
        <v>1</v>
      </c>
      <c r="S236" t="s">
        <v>119</v>
      </c>
      <c r="T236">
        <v>0</v>
      </c>
    </row>
    <row r="237" spans="1:20" x14ac:dyDescent="0.25">
      <c r="A237" t="s">
        <v>881</v>
      </c>
      <c r="B237">
        <v>10</v>
      </c>
      <c r="C237" t="s">
        <v>19</v>
      </c>
      <c r="D237">
        <f t="shared" si="62"/>
        <v>113</v>
      </c>
      <c r="E237">
        <f>E236+1</f>
        <v>180</v>
      </c>
      <c r="F237">
        <f t="shared" si="63"/>
        <v>140</v>
      </c>
      <c r="G237">
        <f>E237+3</f>
        <v>183</v>
      </c>
      <c r="H237" t="s">
        <v>20</v>
      </c>
      <c r="I237">
        <v>16</v>
      </c>
      <c r="J237">
        <v>1</v>
      </c>
      <c r="K237">
        <v>0</v>
      </c>
      <c r="L237">
        <v>0</v>
      </c>
      <c r="N237" t="str">
        <f t="shared" si="56"/>
        <v>d0d8dd</v>
      </c>
      <c r="O237" t="s">
        <v>27</v>
      </c>
      <c r="Q237">
        <v>2</v>
      </c>
      <c r="R237" t="b">
        <v>0</v>
      </c>
      <c r="S237" t="s">
        <v>119</v>
      </c>
      <c r="T237">
        <v>0</v>
      </c>
    </row>
    <row r="238" spans="1:20" x14ac:dyDescent="0.25">
      <c r="A238" t="s">
        <v>882</v>
      </c>
      <c r="B238">
        <v>10</v>
      </c>
      <c r="C238" t="s">
        <v>19</v>
      </c>
      <c r="D238">
        <f t="shared" si="62"/>
        <v>140</v>
      </c>
      <c r="E238">
        <f>E237</f>
        <v>180</v>
      </c>
      <c r="F238">
        <f t="shared" si="63"/>
        <v>169</v>
      </c>
      <c r="G238">
        <f t="shared" ref="G238:G239" si="65">E238+3</f>
        <v>183</v>
      </c>
      <c r="H238" t="s">
        <v>20</v>
      </c>
      <c r="I238">
        <v>16</v>
      </c>
      <c r="J238">
        <v>1</v>
      </c>
      <c r="K238">
        <v>0</v>
      </c>
      <c r="L238">
        <v>0</v>
      </c>
      <c r="N238" t="str">
        <f t="shared" si="56"/>
        <v>d0d8dd</v>
      </c>
      <c r="O238" t="s">
        <v>27</v>
      </c>
      <c r="Q238">
        <v>2</v>
      </c>
      <c r="R238" t="b">
        <v>0</v>
      </c>
      <c r="S238" t="s">
        <v>119</v>
      </c>
      <c r="T238">
        <v>0</v>
      </c>
    </row>
    <row r="239" spans="1:20" x14ac:dyDescent="0.25">
      <c r="A239" t="s">
        <v>883</v>
      </c>
      <c r="B239">
        <v>10</v>
      </c>
      <c r="C239" t="s">
        <v>19</v>
      </c>
      <c r="D239">
        <f t="shared" si="62"/>
        <v>168</v>
      </c>
      <c r="E239">
        <f>E238</f>
        <v>180</v>
      </c>
      <c r="F239">
        <f t="shared" si="63"/>
        <v>194</v>
      </c>
      <c r="G239">
        <f t="shared" si="65"/>
        <v>183</v>
      </c>
      <c r="H239" t="s">
        <v>20</v>
      </c>
      <c r="I239">
        <v>16</v>
      </c>
      <c r="J239">
        <v>1</v>
      </c>
      <c r="K239">
        <v>0</v>
      </c>
      <c r="L239">
        <v>0</v>
      </c>
      <c r="N239" t="str">
        <f t="shared" si="56"/>
        <v>d0d8dd</v>
      </c>
      <c r="O239" t="s">
        <v>27</v>
      </c>
      <c r="Q239">
        <v>2</v>
      </c>
      <c r="R239" t="b">
        <v>0</v>
      </c>
      <c r="S239" t="s">
        <v>119</v>
      </c>
      <c r="T239">
        <v>0</v>
      </c>
    </row>
    <row r="240" spans="1:20" x14ac:dyDescent="0.25">
      <c r="A240" t="s">
        <v>5200</v>
      </c>
      <c r="B240">
        <v>10</v>
      </c>
      <c r="C240" t="s">
        <v>19</v>
      </c>
      <c r="D240">
        <f t="shared" si="62"/>
        <v>14</v>
      </c>
      <c r="E240">
        <f>E236+15</f>
        <v>194</v>
      </c>
      <c r="F240">
        <f t="shared" si="63"/>
        <v>112</v>
      </c>
      <c r="G240">
        <f>E240+5</f>
        <v>199</v>
      </c>
      <c r="H240" t="s">
        <v>102</v>
      </c>
      <c r="I240">
        <v>12</v>
      </c>
      <c r="J240">
        <v>0</v>
      </c>
      <c r="K240">
        <v>0</v>
      </c>
      <c r="L240">
        <v>0</v>
      </c>
      <c r="N240" t="str">
        <f t="shared" si="56"/>
        <v>d0d8dd</v>
      </c>
      <c r="O240" t="s">
        <v>25</v>
      </c>
      <c r="Q240">
        <v>3</v>
      </c>
      <c r="R240" t="b">
        <v>1</v>
      </c>
      <c r="S240" t="s">
        <v>119</v>
      </c>
      <c r="T240">
        <v>0</v>
      </c>
    </row>
    <row r="241" spans="1:20" x14ac:dyDescent="0.25">
      <c r="A241" t="s">
        <v>5201</v>
      </c>
      <c r="B241">
        <v>10</v>
      </c>
      <c r="C241" t="s">
        <v>19</v>
      </c>
      <c r="D241">
        <f t="shared" si="62"/>
        <v>113</v>
      </c>
      <c r="E241">
        <f>E240+1</f>
        <v>195</v>
      </c>
      <c r="F241">
        <f t="shared" si="63"/>
        <v>140</v>
      </c>
      <c r="G241">
        <f>E241+3</f>
        <v>198</v>
      </c>
      <c r="H241" t="s">
        <v>20</v>
      </c>
      <c r="I241">
        <v>16</v>
      </c>
      <c r="J241">
        <v>1</v>
      </c>
      <c r="K241">
        <v>0</v>
      </c>
      <c r="L241">
        <v>0</v>
      </c>
      <c r="N241" t="str">
        <f t="shared" si="56"/>
        <v>d0d8dd</v>
      </c>
      <c r="O241" t="s">
        <v>27</v>
      </c>
      <c r="Q241">
        <v>2</v>
      </c>
      <c r="R241" t="b">
        <v>0</v>
      </c>
      <c r="S241" t="s">
        <v>119</v>
      </c>
      <c r="T241">
        <v>0</v>
      </c>
    </row>
    <row r="242" spans="1:20" x14ac:dyDescent="0.25">
      <c r="A242" t="s">
        <v>5202</v>
      </c>
      <c r="B242">
        <v>10</v>
      </c>
      <c r="C242" t="s">
        <v>19</v>
      </c>
      <c r="D242">
        <f t="shared" si="62"/>
        <v>140</v>
      </c>
      <c r="E242">
        <f>E241</f>
        <v>195</v>
      </c>
      <c r="F242">
        <f t="shared" si="63"/>
        <v>169</v>
      </c>
      <c r="G242">
        <f t="shared" ref="G242:G243" si="66">E242+3</f>
        <v>198</v>
      </c>
      <c r="H242" t="s">
        <v>20</v>
      </c>
      <c r="I242">
        <v>16</v>
      </c>
      <c r="J242">
        <v>1</v>
      </c>
      <c r="K242">
        <v>0</v>
      </c>
      <c r="L242">
        <v>0</v>
      </c>
      <c r="N242" t="str">
        <f t="shared" si="56"/>
        <v>d0d8dd</v>
      </c>
      <c r="O242" t="s">
        <v>27</v>
      </c>
      <c r="Q242">
        <v>2</v>
      </c>
      <c r="R242" t="b">
        <v>0</v>
      </c>
      <c r="S242" t="s">
        <v>119</v>
      </c>
      <c r="T242">
        <v>0</v>
      </c>
    </row>
    <row r="243" spans="1:20" x14ac:dyDescent="0.25">
      <c r="A243" t="s">
        <v>5203</v>
      </c>
      <c r="B243">
        <v>10</v>
      </c>
      <c r="C243" t="s">
        <v>19</v>
      </c>
      <c r="D243">
        <f t="shared" si="62"/>
        <v>168</v>
      </c>
      <c r="E243">
        <f>E242</f>
        <v>195</v>
      </c>
      <c r="F243">
        <f t="shared" si="63"/>
        <v>194</v>
      </c>
      <c r="G243">
        <f t="shared" si="66"/>
        <v>198</v>
      </c>
      <c r="H243" t="s">
        <v>20</v>
      </c>
      <c r="I243">
        <v>16</v>
      </c>
      <c r="J243">
        <v>1</v>
      </c>
      <c r="K243">
        <v>0</v>
      </c>
      <c r="L243">
        <v>0</v>
      </c>
      <c r="N243" t="str">
        <f t="shared" si="56"/>
        <v>d0d8dd</v>
      </c>
      <c r="O243" t="s">
        <v>27</v>
      </c>
      <c r="Q243">
        <v>2</v>
      </c>
      <c r="R243" t="b">
        <v>0</v>
      </c>
      <c r="S243" t="s">
        <v>119</v>
      </c>
      <c r="T243">
        <v>0</v>
      </c>
    </row>
    <row r="244" spans="1:20" x14ac:dyDescent="0.25">
      <c r="A244" t="s">
        <v>895</v>
      </c>
      <c r="B244">
        <v>11</v>
      </c>
      <c r="C244" t="s">
        <v>19</v>
      </c>
      <c r="D244">
        <v>14</v>
      </c>
      <c r="E244">
        <v>20</v>
      </c>
      <c r="F244">
        <v>196</v>
      </c>
      <c r="G244">
        <f>E244+5</f>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f>G244+8</f>
        <v>33</v>
      </c>
      <c r="F245">
        <v>196</v>
      </c>
      <c r="G245">
        <f>E245+5</f>
        <v>38</v>
      </c>
      <c r="H245" t="s">
        <v>102</v>
      </c>
      <c r="I245">
        <v>12</v>
      </c>
      <c r="J245">
        <v>0</v>
      </c>
      <c r="K245">
        <v>0</v>
      </c>
      <c r="L245">
        <v>0</v>
      </c>
      <c r="N245" t="s">
        <v>21</v>
      </c>
      <c r="O245" t="s">
        <v>25</v>
      </c>
      <c r="Q245">
        <v>2</v>
      </c>
      <c r="R245" t="b">
        <v>1</v>
      </c>
      <c r="T245">
        <v>0</v>
      </c>
    </row>
    <row r="246" spans="1:20" x14ac:dyDescent="0.25">
      <c r="A246" t="s">
        <v>5204</v>
      </c>
      <c r="B246">
        <v>11</v>
      </c>
      <c r="C246" t="s">
        <v>26</v>
      </c>
      <c r="D246">
        <v>0</v>
      </c>
      <c r="E246">
        <v>75</v>
      </c>
      <c r="F246">
        <v>210</v>
      </c>
      <c r="G246">
        <f>G259+15</f>
        <v>123</v>
      </c>
      <c r="I246">
        <v>0</v>
      </c>
      <c r="J246">
        <v>1</v>
      </c>
      <c r="K246">
        <v>0</v>
      </c>
      <c r="L246">
        <v>0</v>
      </c>
      <c r="M246" t="str">
        <f>$N$76</f>
        <v>d0d8dd</v>
      </c>
      <c r="N246" t="s">
        <v>918</v>
      </c>
      <c r="O246" t="s">
        <v>25</v>
      </c>
      <c r="Q246">
        <v>1</v>
      </c>
      <c r="R246" t="b">
        <v>0</v>
      </c>
      <c r="S246" t="s">
        <v>119</v>
      </c>
      <c r="T246">
        <v>0</v>
      </c>
    </row>
    <row r="247" spans="1:20" x14ac:dyDescent="0.25">
      <c r="A247" t="s">
        <v>5195</v>
      </c>
      <c r="B247">
        <v>11</v>
      </c>
      <c r="C247" t="s">
        <v>19</v>
      </c>
      <c r="D247">
        <v>14</v>
      </c>
      <c r="E247">
        <f>E246+5</f>
        <v>80</v>
      </c>
      <c r="F247">
        <v>196</v>
      </c>
      <c r="G247">
        <f>E247+3</f>
        <v>83</v>
      </c>
      <c r="H247" t="s">
        <v>102</v>
      </c>
      <c r="I247">
        <v>12</v>
      </c>
      <c r="J247">
        <v>1</v>
      </c>
      <c r="K247">
        <v>0</v>
      </c>
      <c r="L247">
        <v>0</v>
      </c>
      <c r="N247" t="str">
        <f t="shared" ref="N247:N254" si="67">$N$76</f>
        <v>d0d8dd</v>
      </c>
      <c r="O247" t="s">
        <v>25</v>
      </c>
      <c r="Q247">
        <v>3</v>
      </c>
      <c r="R247" t="b">
        <v>0</v>
      </c>
      <c r="S247" t="s">
        <v>119</v>
      </c>
      <c r="T247">
        <v>0</v>
      </c>
    </row>
    <row r="248" spans="1:20" x14ac:dyDescent="0.25">
      <c r="A248" t="s">
        <v>774</v>
      </c>
      <c r="B248">
        <v>11</v>
      </c>
      <c r="C248" t="s">
        <v>19</v>
      </c>
      <c r="D248">
        <f t="shared" ref="D248" si="68">D251-1</f>
        <v>113</v>
      </c>
      <c r="E248">
        <f>E246+2</f>
        <v>77</v>
      </c>
      <c r="F248">
        <f>D252-1</f>
        <v>140</v>
      </c>
      <c r="G248">
        <f>E248+5</f>
        <v>82</v>
      </c>
      <c r="H248" t="s">
        <v>102</v>
      </c>
      <c r="I248">
        <v>10</v>
      </c>
      <c r="J248">
        <v>1</v>
      </c>
      <c r="K248">
        <v>0</v>
      </c>
      <c r="L248">
        <v>0</v>
      </c>
      <c r="N248" t="str">
        <f t="shared" si="67"/>
        <v>d0d8dd</v>
      </c>
      <c r="O248" t="s">
        <v>27</v>
      </c>
      <c r="Q248">
        <v>3</v>
      </c>
      <c r="R248" t="b">
        <v>1</v>
      </c>
      <c r="S248" t="s">
        <v>119</v>
      </c>
      <c r="T248">
        <v>0</v>
      </c>
    </row>
    <row r="249" spans="1:20" x14ac:dyDescent="0.25">
      <c r="A249" t="s">
        <v>775</v>
      </c>
      <c r="B249">
        <v>11</v>
      </c>
      <c r="C249" t="s">
        <v>19</v>
      </c>
      <c r="D249">
        <f>D252-1</f>
        <v>140</v>
      </c>
      <c r="E249">
        <f t="shared" ref="E249:E253" si="69">E248</f>
        <v>77</v>
      </c>
      <c r="F249">
        <f>D253+1</f>
        <v>169</v>
      </c>
      <c r="G249">
        <f>G248</f>
        <v>82</v>
      </c>
      <c r="H249" t="s">
        <v>102</v>
      </c>
      <c r="I249">
        <v>10</v>
      </c>
      <c r="J249">
        <v>1</v>
      </c>
      <c r="K249">
        <v>0</v>
      </c>
      <c r="L249">
        <v>0</v>
      </c>
      <c r="N249" t="str">
        <f t="shared" si="67"/>
        <v>d0d8dd</v>
      </c>
      <c r="O249" t="s">
        <v>27</v>
      </c>
      <c r="Q249">
        <v>3</v>
      </c>
      <c r="R249" t="b">
        <v>1</v>
      </c>
      <c r="S249" t="s">
        <v>119</v>
      </c>
      <c r="T249">
        <v>0</v>
      </c>
    </row>
    <row r="250" spans="1:20" x14ac:dyDescent="0.25">
      <c r="A250" t="s">
        <v>776</v>
      </c>
      <c r="B250">
        <v>11</v>
      </c>
      <c r="C250" t="s">
        <v>19</v>
      </c>
      <c r="D250">
        <f>D253</f>
        <v>168</v>
      </c>
      <c r="E250">
        <f t="shared" si="69"/>
        <v>77</v>
      </c>
      <c r="F250">
        <f>D250+26</f>
        <v>194</v>
      </c>
      <c r="G250">
        <f t="shared" ref="G250" si="70">G249</f>
        <v>82</v>
      </c>
      <c r="H250" t="s">
        <v>102</v>
      </c>
      <c r="I250">
        <v>10</v>
      </c>
      <c r="J250">
        <v>1</v>
      </c>
      <c r="K250">
        <v>0</v>
      </c>
      <c r="L250">
        <v>0</v>
      </c>
      <c r="N250" t="str">
        <f t="shared" si="67"/>
        <v>d0d8dd</v>
      </c>
      <c r="O250" t="s">
        <v>27</v>
      </c>
      <c r="Q250">
        <v>3</v>
      </c>
      <c r="R250" t="b">
        <v>1</v>
      </c>
      <c r="S250" t="s">
        <v>119</v>
      </c>
      <c r="T250">
        <v>0</v>
      </c>
    </row>
    <row r="251" spans="1:20" x14ac:dyDescent="0.25">
      <c r="A251" t="s">
        <v>44</v>
      </c>
      <c r="B251">
        <v>11</v>
      </c>
      <c r="C251" t="s">
        <v>25</v>
      </c>
      <c r="D251">
        <v>114</v>
      </c>
      <c r="E251">
        <f>E246</f>
        <v>75</v>
      </c>
      <c r="F251">
        <f>D251</f>
        <v>114</v>
      </c>
      <c r="G251">
        <f>G246</f>
        <v>123</v>
      </c>
      <c r="I251">
        <v>0.5</v>
      </c>
      <c r="J251">
        <v>0</v>
      </c>
      <c r="K251">
        <v>0</v>
      </c>
      <c r="L251">
        <v>0</v>
      </c>
      <c r="M251" t="s">
        <v>21</v>
      </c>
      <c r="N251" t="str">
        <f t="shared" si="67"/>
        <v>d0d8dd</v>
      </c>
      <c r="O251" t="s">
        <v>25</v>
      </c>
      <c r="Q251">
        <v>4</v>
      </c>
      <c r="R251" t="b">
        <v>0</v>
      </c>
      <c r="S251" t="s">
        <v>119</v>
      </c>
      <c r="T251">
        <v>0</v>
      </c>
    </row>
    <row r="252" spans="1:20" x14ac:dyDescent="0.25">
      <c r="A252" t="s">
        <v>45</v>
      </c>
      <c r="B252">
        <v>11</v>
      </c>
      <c r="C252" t="s">
        <v>25</v>
      </c>
      <c r="D252">
        <f>D251+27</f>
        <v>141</v>
      </c>
      <c r="E252">
        <f t="shared" si="69"/>
        <v>75</v>
      </c>
      <c r="F252">
        <f t="shared" ref="F252:F253" si="71">D252</f>
        <v>141</v>
      </c>
      <c r="G252">
        <f>G251</f>
        <v>123</v>
      </c>
      <c r="I252">
        <v>0.5</v>
      </c>
      <c r="J252">
        <v>0</v>
      </c>
      <c r="K252">
        <v>0</v>
      </c>
      <c r="L252">
        <v>0</v>
      </c>
      <c r="M252" t="s">
        <v>21</v>
      </c>
      <c r="N252" t="str">
        <f t="shared" si="67"/>
        <v>d0d8dd</v>
      </c>
      <c r="O252" t="s">
        <v>25</v>
      </c>
      <c r="Q252">
        <v>4</v>
      </c>
      <c r="R252" t="b">
        <v>0</v>
      </c>
      <c r="S252" t="s">
        <v>119</v>
      </c>
      <c r="T252">
        <v>0</v>
      </c>
    </row>
    <row r="253" spans="1:20" x14ac:dyDescent="0.25">
      <c r="A253" t="s">
        <v>46</v>
      </c>
      <c r="B253">
        <v>11</v>
      </c>
      <c r="C253" t="s">
        <v>25</v>
      </c>
      <c r="D253">
        <f>D252+27</f>
        <v>168</v>
      </c>
      <c r="E253">
        <f t="shared" si="69"/>
        <v>75</v>
      </c>
      <c r="F253">
        <f t="shared" si="71"/>
        <v>168</v>
      </c>
      <c r="G253">
        <f>G252</f>
        <v>123</v>
      </c>
      <c r="I253">
        <v>0.5</v>
      </c>
      <c r="J253">
        <v>0</v>
      </c>
      <c r="K253">
        <v>0</v>
      </c>
      <c r="L253">
        <v>0</v>
      </c>
      <c r="M253" t="s">
        <v>21</v>
      </c>
      <c r="N253" t="str">
        <f t="shared" si="67"/>
        <v>d0d8dd</v>
      </c>
      <c r="O253" t="s">
        <v>25</v>
      </c>
      <c r="Q253">
        <v>4</v>
      </c>
      <c r="R253" t="b">
        <v>0</v>
      </c>
      <c r="S253" t="s">
        <v>119</v>
      </c>
      <c r="T253">
        <v>0</v>
      </c>
    </row>
    <row r="254" spans="1:20" x14ac:dyDescent="0.25">
      <c r="A254" t="s">
        <v>55</v>
      </c>
      <c r="B254">
        <v>11</v>
      </c>
      <c r="C254" t="s">
        <v>25</v>
      </c>
      <c r="D254">
        <v>14</v>
      </c>
      <c r="E254">
        <f>E248+25</f>
        <v>102</v>
      </c>
      <c r="F254">
        <v>196</v>
      </c>
      <c r="G254">
        <f>E254</f>
        <v>102</v>
      </c>
      <c r="I254">
        <v>0.5</v>
      </c>
      <c r="J254">
        <v>0</v>
      </c>
      <c r="K254">
        <v>0</v>
      </c>
      <c r="L254">
        <v>0</v>
      </c>
      <c r="M254" t="s">
        <v>21</v>
      </c>
      <c r="N254" t="str">
        <f t="shared" si="67"/>
        <v>d0d8dd</v>
      </c>
      <c r="O254" t="s">
        <v>25</v>
      </c>
      <c r="Q254">
        <v>4</v>
      </c>
      <c r="R254" t="b">
        <v>0</v>
      </c>
      <c r="S254" t="s">
        <v>119</v>
      </c>
      <c r="T254">
        <v>0</v>
      </c>
    </row>
    <row r="255" spans="1:20" x14ac:dyDescent="0.25">
      <c r="A255" t="s">
        <v>920</v>
      </c>
      <c r="B255">
        <v>11</v>
      </c>
      <c r="C255" t="s">
        <v>19</v>
      </c>
      <c r="D255">
        <v>14</v>
      </c>
      <c r="E255">
        <f>G246+2</f>
        <v>125</v>
      </c>
      <c r="F255">
        <v>196</v>
      </c>
      <c r="G255">
        <f>E255+4</f>
        <v>129</v>
      </c>
      <c r="H255" t="s">
        <v>102</v>
      </c>
      <c r="I255">
        <v>10</v>
      </c>
      <c r="J255">
        <v>0</v>
      </c>
      <c r="K255">
        <v>0</v>
      </c>
      <c r="L255">
        <v>0</v>
      </c>
      <c r="N255" t="s">
        <v>21</v>
      </c>
      <c r="O255" t="s">
        <v>22</v>
      </c>
      <c r="Q255">
        <v>2</v>
      </c>
      <c r="R255" t="b">
        <v>0</v>
      </c>
      <c r="S255" t="s">
        <v>119</v>
      </c>
      <c r="T255">
        <v>0</v>
      </c>
    </row>
    <row r="256" spans="1:20" x14ac:dyDescent="0.25">
      <c r="A256" t="s">
        <v>5196</v>
      </c>
      <c r="B256">
        <v>11</v>
      </c>
      <c r="C256" t="s">
        <v>19</v>
      </c>
      <c r="D256">
        <v>14</v>
      </c>
      <c r="E256">
        <f>E254+2</f>
        <v>104</v>
      </c>
      <c r="F256">
        <f>D251-2</f>
        <v>112</v>
      </c>
      <c r="G256">
        <f>E256+5</f>
        <v>109</v>
      </c>
      <c r="H256" t="s">
        <v>102</v>
      </c>
      <c r="I256">
        <v>12</v>
      </c>
      <c r="J256">
        <v>0</v>
      </c>
      <c r="K256">
        <v>0</v>
      </c>
      <c r="L256">
        <v>0</v>
      </c>
      <c r="N256" t="str">
        <f t="shared" ref="N256:N259" si="72">$N$76</f>
        <v>d0d8dd</v>
      </c>
      <c r="O256" t="s">
        <v>25</v>
      </c>
      <c r="Q256">
        <v>3</v>
      </c>
      <c r="R256" t="b">
        <v>1</v>
      </c>
      <c r="S256" t="s">
        <v>119</v>
      </c>
      <c r="T256">
        <v>0</v>
      </c>
    </row>
    <row r="257" spans="1:20" x14ac:dyDescent="0.25">
      <c r="A257" t="s">
        <v>5197</v>
      </c>
      <c r="B257">
        <v>11</v>
      </c>
      <c r="C257" t="s">
        <v>19</v>
      </c>
      <c r="D257">
        <f>D248</f>
        <v>113</v>
      </c>
      <c r="E257">
        <f>E256+1</f>
        <v>105</v>
      </c>
      <c r="F257">
        <f>F248</f>
        <v>140</v>
      </c>
      <c r="G257">
        <f t="shared" ref="G257:G259" si="73">E257+3</f>
        <v>108</v>
      </c>
      <c r="H257" t="s">
        <v>20</v>
      </c>
      <c r="I257">
        <v>16</v>
      </c>
      <c r="J257">
        <v>1</v>
      </c>
      <c r="K257">
        <v>0</v>
      </c>
      <c r="L257">
        <v>0</v>
      </c>
      <c r="N257" t="str">
        <f t="shared" si="72"/>
        <v>d0d8dd</v>
      </c>
      <c r="O257" t="s">
        <v>27</v>
      </c>
      <c r="Q257">
        <v>2</v>
      </c>
      <c r="R257" t="b">
        <v>0</v>
      </c>
      <c r="S257" t="s">
        <v>119</v>
      </c>
      <c r="T257">
        <v>0</v>
      </c>
    </row>
    <row r="258" spans="1:20" x14ac:dyDescent="0.25">
      <c r="A258" t="s">
        <v>5198</v>
      </c>
      <c r="B258">
        <v>11</v>
      </c>
      <c r="C258" t="s">
        <v>19</v>
      </c>
      <c r="D258">
        <f>D249</f>
        <v>140</v>
      </c>
      <c r="E258">
        <f>E257</f>
        <v>105</v>
      </c>
      <c r="F258">
        <f>F249</f>
        <v>169</v>
      </c>
      <c r="G258">
        <f t="shared" si="73"/>
        <v>108</v>
      </c>
      <c r="H258" t="s">
        <v>20</v>
      </c>
      <c r="I258">
        <v>16</v>
      </c>
      <c r="J258">
        <v>1</v>
      </c>
      <c r="K258">
        <v>0</v>
      </c>
      <c r="L258">
        <v>0</v>
      </c>
      <c r="N258" t="str">
        <f t="shared" si="72"/>
        <v>d0d8dd</v>
      </c>
      <c r="O258" t="s">
        <v>27</v>
      </c>
      <c r="Q258">
        <v>2</v>
      </c>
      <c r="R258" t="b">
        <v>0</v>
      </c>
      <c r="S258" t="s">
        <v>119</v>
      </c>
      <c r="T258">
        <v>0</v>
      </c>
    </row>
    <row r="259" spans="1:20" x14ac:dyDescent="0.25">
      <c r="A259" t="s">
        <v>5199</v>
      </c>
      <c r="B259">
        <v>11</v>
      </c>
      <c r="C259" t="s">
        <v>19</v>
      </c>
      <c r="D259">
        <f>D250</f>
        <v>168</v>
      </c>
      <c r="E259">
        <f>E258</f>
        <v>105</v>
      </c>
      <c r="F259">
        <f>F250</f>
        <v>194</v>
      </c>
      <c r="G259">
        <f t="shared" si="73"/>
        <v>108</v>
      </c>
      <c r="H259" t="s">
        <v>20</v>
      </c>
      <c r="I259">
        <v>16</v>
      </c>
      <c r="J259">
        <v>1</v>
      </c>
      <c r="K259">
        <v>0</v>
      </c>
      <c r="L259">
        <v>0</v>
      </c>
      <c r="N259" t="str">
        <f t="shared" si="72"/>
        <v>d0d8dd</v>
      </c>
      <c r="O259" t="s">
        <v>27</v>
      </c>
      <c r="Q259">
        <v>2</v>
      </c>
      <c r="R259" t="b">
        <v>0</v>
      </c>
      <c r="S259" t="s">
        <v>119</v>
      </c>
      <c r="T259">
        <v>0</v>
      </c>
    </row>
    <row r="260" spans="1:20" x14ac:dyDescent="0.25">
      <c r="A260" t="s">
        <v>1027</v>
      </c>
      <c r="B260">
        <v>11</v>
      </c>
      <c r="C260" t="s">
        <v>24</v>
      </c>
      <c r="D260">
        <v>30</v>
      </c>
      <c r="E260">
        <v>130</v>
      </c>
      <c r="F260">
        <v>180</v>
      </c>
      <c r="G260">
        <f>E260+(F260-D260)</f>
        <v>280</v>
      </c>
      <c r="I260">
        <v>0</v>
      </c>
      <c r="J260">
        <v>0</v>
      </c>
      <c r="K260">
        <v>0</v>
      </c>
      <c r="L260">
        <v>0</v>
      </c>
      <c r="N260" t="s">
        <v>21</v>
      </c>
      <c r="O260" t="s">
        <v>25</v>
      </c>
      <c r="Q260">
        <v>0</v>
      </c>
      <c r="R260" t="b">
        <v>0</v>
      </c>
      <c r="S260" t="s">
        <v>119</v>
      </c>
      <c r="T260">
        <v>0</v>
      </c>
    </row>
    <row r="261" spans="1:20" x14ac:dyDescent="0.25">
      <c r="A261" t="s">
        <v>1028</v>
      </c>
      <c r="B261">
        <v>11</v>
      </c>
      <c r="C261" t="s">
        <v>19</v>
      </c>
      <c r="D261">
        <f>D260</f>
        <v>30</v>
      </c>
      <c r="E261">
        <f>E260</f>
        <v>130</v>
      </c>
      <c r="F261">
        <f>D261+100</f>
        <v>130</v>
      </c>
      <c r="G261">
        <f>G260</f>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f>D260</f>
        <v>30</v>
      </c>
      <c r="E262">
        <f>G260</f>
        <v>280</v>
      </c>
      <c r="F262">
        <f>F260</f>
        <v>180</v>
      </c>
      <c r="G262">
        <f>E262+3</f>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f>E263+5</f>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f>G263+8</f>
        <v>33</v>
      </c>
      <c r="F264">
        <f>$F$265</f>
        <v>196</v>
      </c>
      <c r="G264">
        <f>E264+5</f>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f>E265</f>
        <v>200</v>
      </c>
      <c r="I265">
        <v>0</v>
      </c>
      <c r="J265">
        <v>0</v>
      </c>
      <c r="K265">
        <v>0</v>
      </c>
      <c r="L265">
        <v>0</v>
      </c>
      <c r="N265" t="s">
        <v>21</v>
      </c>
      <c r="O265" t="s">
        <v>25</v>
      </c>
      <c r="Q265">
        <v>2</v>
      </c>
      <c r="R265" t="b">
        <v>0</v>
      </c>
      <c r="S265" t="s">
        <v>119</v>
      </c>
      <c r="T265">
        <v>0</v>
      </c>
    </row>
    <row r="266" spans="1:20" x14ac:dyDescent="0.25">
      <c r="A266" t="s">
        <v>334</v>
      </c>
      <c r="B266">
        <v>12</v>
      </c>
      <c r="C266" t="s">
        <v>19</v>
      </c>
      <c r="D266">
        <f t="shared" ref="D266:D268" si="74">D265</f>
        <v>14</v>
      </c>
      <c r="E266">
        <f>G265+8</f>
        <v>208</v>
      </c>
      <c r="F266">
        <f>F265</f>
        <v>196</v>
      </c>
      <c r="G266">
        <f>E266+4</f>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f t="shared" si="74"/>
        <v>14</v>
      </c>
      <c r="E267">
        <f>G266+2</f>
        <v>214</v>
      </c>
      <c r="F267">
        <f>F266</f>
        <v>196</v>
      </c>
      <c r="G267">
        <f>E267+4</f>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f t="shared" si="74"/>
        <v>14</v>
      </c>
      <c r="E268">
        <f>G267+30</f>
        <v>248</v>
      </c>
      <c r="F268">
        <f>D268+10</f>
        <v>24</v>
      </c>
      <c r="G268">
        <f>E268+(F268-D268)</f>
        <v>258</v>
      </c>
      <c r="I268">
        <v>12</v>
      </c>
      <c r="J268">
        <v>0</v>
      </c>
      <c r="K268">
        <v>0</v>
      </c>
      <c r="L268">
        <v>0</v>
      </c>
      <c r="M268" t="s">
        <v>935</v>
      </c>
      <c r="N268" t="s">
        <v>936</v>
      </c>
      <c r="O268" t="s">
        <v>25</v>
      </c>
      <c r="P268" s="5" t="str">
        <f>"configuration/assets/"&amp;A268&amp;".svg"</f>
        <v>configuration/assets/cc.svg</v>
      </c>
      <c r="Q268">
        <v>2</v>
      </c>
      <c r="R268" t="b">
        <v>1</v>
      </c>
      <c r="T268">
        <v>0</v>
      </c>
    </row>
    <row r="269" spans="1:20" ht="15" customHeight="1" x14ac:dyDescent="0.25">
      <c r="A269" t="s">
        <v>937</v>
      </c>
      <c r="B269">
        <v>12</v>
      </c>
      <c r="C269" t="s">
        <v>24</v>
      </c>
      <c r="D269">
        <f>F268+2</f>
        <v>26</v>
      </c>
      <c r="E269">
        <f>E268</f>
        <v>248</v>
      </c>
      <c r="F269">
        <f>D269+10</f>
        <v>36</v>
      </c>
      <c r="G269">
        <f>E269+(F269-D269)</f>
        <v>258</v>
      </c>
      <c r="I269">
        <v>12</v>
      </c>
      <c r="J269">
        <v>0</v>
      </c>
      <c r="K269">
        <v>0</v>
      </c>
      <c r="L269">
        <v>0</v>
      </c>
      <c r="M269" t="s">
        <v>935</v>
      </c>
      <c r="N269" t="s">
        <v>936</v>
      </c>
      <c r="O269" t="s">
        <v>25</v>
      </c>
      <c r="P269" s="5" t="str">
        <f>"configuration/assets/"&amp;A269&amp;".svg"</f>
        <v>configuration/assets/by.svg</v>
      </c>
      <c r="Q269">
        <v>2</v>
      </c>
      <c r="R269" t="b">
        <v>1</v>
      </c>
      <c r="T269">
        <v>0</v>
      </c>
    </row>
    <row r="270" spans="1:20" ht="15" customHeight="1" x14ac:dyDescent="0.25">
      <c r="A270" t="s">
        <v>938</v>
      </c>
      <c r="B270">
        <v>12</v>
      </c>
      <c r="C270" t="s">
        <v>24</v>
      </c>
      <c r="D270">
        <f>F269+2</f>
        <v>38</v>
      </c>
      <c r="E270">
        <f>E269</f>
        <v>248</v>
      </c>
      <c r="F270">
        <f>D270+10</f>
        <v>48</v>
      </c>
      <c r="G270">
        <f>E270+(F270-D270)</f>
        <v>258</v>
      </c>
      <c r="I270">
        <v>12</v>
      </c>
      <c r="J270">
        <v>0</v>
      </c>
      <c r="K270">
        <v>0</v>
      </c>
      <c r="L270">
        <v>0</v>
      </c>
      <c r="M270" t="s">
        <v>935</v>
      </c>
      <c r="N270" t="s">
        <v>936</v>
      </c>
      <c r="O270" t="s">
        <v>25</v>
      </c>
      <c r="P270" s="5" t="str">
        <f>"configuration/assets/"&amp;A270&amp;".svg"</f>
        <v>configuration/assets/nc.svg</v>
      </c>
      <c r="Q270">
        <v>2</v>
      </c>
      <c r="R270" t="b">
        <v>1</v>
      </c>
      <c r="T270">
        <v>0</v>
      </c>
    </row>
    <row r="271" spans="1:20" ht="18" customHeight="1" x14ac:dyDescent="0.25">
      <c r="A271" t="s">
        <v>115</v>
      </c>
      <c r="B271">
        <v>12</v>
      </c>
      <c r="C271" t="s">
        <v>116</v>
      </c>
      <c r="D271">
        <f>D268</f>
        <v>14</v>
      </c>
      <c r="E271">
        <f>G268+5</f>
        <v>263</v>
      </c>
      <c r="F271">
        <f>F267</f>
        <v>196</v>
      </c>
      <c r="G271">
        <f>E271+3</f>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f>D268</f>
        <v>14</v>
      </c>
      <c r="E272">
        <f>G271+8</f>
        <v>274</v>
      </c>
      <c r="F272">
        <v>196</v>
      </c>
      <c r="G272">
        <f>E272</f>
        <v>274</v>
      </c>
      <c r="I272">
        <v>0</v>
      </c>
      <c r="J272">
        <v>0</v>
      </c>
      <c r="K272">
        <v>0</v>
      </c>
      <c r="L272">
        <v>0</v>
      </c>
      <c r="N272" t="s">
        <v>21</v>
      </c>
      <c r="O272" t="s">
        <v>25</v>
      </c>
      <c r="Q272">
        <v>2</v>
      </c>
      <c r="R272" t="b">
        <v>0</v>
      </c>
      <c r="S272" t="s">
        <v>119</v>
      </c>
      <c r="T272">
        <v>0</v>
      </c>
    </row>
  </sheetData>
  <autoFilter ref="A1:T1" xr:uid="{00000000-0001-0000-0000-000000000000}"/>
  <pageMargins left="0.7" right="0.7" top="0.75" bottom="0.75" header="0.3" footer="0.3"/>
  <pageSetup paperSize="9" orientation="portrait" r:id="rId1"/>
  <headerFooter>
    <oddHeader>&amp;C&amp;"Calibri"&amp;12&amp;KEEDC00RMIT Classification: Trusted&amp;1#</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79"/>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5175</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5176</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5177</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5178</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5179</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5180</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5181</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5182</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5183</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5184</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5185</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5186</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5187</v>
      </c>
      <c r="C129" s="9" t="s">
        <v>831</v>
      </c>
      <c r="D129" s="8" t="s">
        <v>3067</v>
      </c>
      <c r="E129" s="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5189</v>
      </c>
      <c r="C130" s="9" t="s">
        <v>270</v>
      </c>
      <c r="D130" s="8" t="s">
        <v>3068</v>
      </c>
      <c r="E130" s="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46" t="s">
        <v>3069</v>
      </c>
      <c r="E131" s="11" t="s">
        <v>355</v>
      </c>
      <c r="F131" s="9" t="s">
        <v>419</v>
      </c>
      <c r="G131" s="8" t="s">
        <v>3948</v>
      </c>
      <c r="H131" s="16" t="s">
        <v>2275</v>
      </c>
      <c r="I131" s="8" t="s">
        <v>516</v>
      </c>
      <c r="J131" s="16" t="s">
        <v>586</v>
      </c>
      <c r="K131" s="16" t="s">
        <v>462</v>
      </c>
      <c r="L131" s="8" t="s">
        <v>4819</v>
      </c>
      <c r="M131" s="8" t="s">
        <v>3579</v>
      </c>
      <c r="N131" s="8" t="s">
        <v>247</v>
      </c>
      <c r="O131" s="8" t="s">
        <v>3297</v>
      </c>
      <c r="P131" s="8" t="s">
        <v>554</v>
      </c>
      <c r="Q131" s="11"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5190</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5188</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18" t="s">
        <v>3058</v>
      </c>
      <c r="E135" s="1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18" t="s">
        <v>3059</v>
      </c>
      <c r="E136" s="1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5191</v>
      </c>
      <c r="C137" s="9" t="s">
        <v>879</v>
      </c>
      <c r="D137" s="18" t="s">
        <v>3060</v>
      </c>
      <c r="E137" s="1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5193</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5192</v>
      </c>
      <c r="C140" s="9" t="s">
        <v>879</v>
      </c>
      <c r="D140" s="18" t="s">
        <v>3060</v>
      </c>
      <c r="E140" s="1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8" t="s">
        <v>3061</v>
      </c>
      <c r="E141" s="8" t="s">
        <v>1236</v>
      </c>
      <c r="F141" s="9" t="s">
        <v>1132</v>
      </c>
      <c r="G141" s="8" t="s">
        <v>2121</v>
      </c>
      <c r="H141" s="16" t="s">
        <v>2266</v>
      </c>
      <c r="I141" s="8" t="s">
        <v>1440</v>
      </c>
      <c r="J141" s="16" t="s">
        <v>1335</v>
      </c>
      <c r="K141" s="16" t="s">
        <v>1541</v>
      </c>
      <c r="L141" s="8" t="s">
        <v>4812</v>
      </c>
      <c r="M141" s="8" t="s">
        <v>3570</v>
      </c>
      <c r="N141" s="8" t="s">
        <v>1622</v>
      </c>
      <c r="O141" s="8" t="s">
        <v>3288</v>
      </c>
      <c r="P141" s="8" t="s">
        <v>1709</v>
      </c>
      <c r="Q141" s="8"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5194</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375"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315"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255"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x14ac:dyDescent="0.25">
      <c r="A151" s="15" t="s">
        <v>71</v>
      </c>
      <c r="B151" s="15" t="s">
        <v>5205</v>
      </c>
      <c r="C151" s="10" t="s">
        <v>5206</v>
      </c>
      <c r="D151" s="8"/>
      <c r="E151" s="8"/>
      <c r="F151" s="10"/>
      <c r="G151" s="11"/>
      <c r="H151" s="16"/>
      <c r="I151" s="11"/>
      <c r="J151" s="16"/>
      <c r="K151" s="16"/>
      <c r="L151" s="8"/>
      <c r="M151" s="8"/>
      <c r="N151" s="11"/>
      <c r="O151" s="8"/>
      <c r="P151" s="8"/>
      <c r="Q151" s="8"/>
      <c r="R151" s="8"/>
      <c r="S151" s="8"/>
      <c r="X151" s="44"/>
    </row>
    <row r="152" spans="1:33" ht="75" x14ac:dyDescent="0.25">
      <c r="A152" s="15" t="s">
        <v>71</v>
      </c>
      <c r="B152" s="15" t="s">
        <v>5207</v>
      </c>
      <c r="C152" s="10" t="s">
        <v>5208</v>
      </c>
      <c r="D152" s="8"/>
      <c r="E152" s="8"/>
      <c r="F152" s="10"/>
      <c r="G152" s="11"/>
      <c r="H152" s="16"/>
      <c r="I152" s="11"/>
      <c r="J152" s="16"/>
      <c r="K152" s="16"/>
      <c r="L152" s="8"/>
      <c r="M152" s="8"/>
      <c r="N152" s="11"/>
      <c r="O152" s="8"/>
      <c r="P152" s="8"/>
      <c r="Q152" s="8"/>
      <c r="R152" s="8"/>
      <c r="S152" s="8"/>
      <c r="X152" s="44"/>
    </row>
    <row r="153" spans="1:33" ht="30" x14ac:dyDescent="0.25">
      <c r="A153" s="15" t="s">
        <v>71</v>
      </c>
      <c r="B153" s="15" t="s">
        <v>5209</v>
      </c>
      <c r="C153" s="10" t="s">
        <v>5210</v>
      </c>
      <c r="D153" s="8"/>
      <c r="E153" s="8"/>
      <c r="F153" s="10"/>
      <c r="G153" s="11"/>
      <c r="H153" s="16"/>
      <c r="I153" s="11"/>
      <c r="J153" s="16"/>
      <c r="K153" s="16"/>
      <c r="L153" s="8"/>
      <c r="M153" s="8"/>
      <c r="N153" s="11"/>
      <c r="O153" s="8"/>
      <c r="P153" s="8"/>
      <c r="Q153" s="8"/>
      <c r="R153" s="8"/>
      <c r="S153" s="8"/>
      <c r="X153" s="44"/>
    </row>
    <row r="154" spans="1:33" x14ac:dyDescent="0.25">
      <c r="A154" s="15" t="s">
        <v>71</v>
      </c>
      <c r="B154" s="15" t="s">
        <v>5211</v>
      </c>
      <c r="C154" s="10" t="s">
        <v>5212</v>
      </c>
      <c r="D154" s="8"/>
      <c r="E154" s="8"/>
      <c r="F154" s="10"/>
      <c r="G154" s="11"/>
      <c r="H154" s="16"/>
      <c r="I154" s="11"/>
      <c r="J154" s="16"/>
      <c r="K154" s="16"/>
      <c r="L154" s="8"/>
      <c r="M154" s="8"/>
      <c r="N154" s="11"/>
      <c r="O154" s="8"/>
      <c r="P154" s="8"/>
      <c r="Q154" s="8"/>
      <c r="R154" s="8"/>
      <c r="S154" s="8"/>
      <c r="X154" s="44"/>
    </row>
    <row r="155" spans="1:33" ht="45" x14ac:dyDescent="0.25">
      <c r="A155" s="15" t="s">
        <v>71</v>
      </c>
      <c r="B155" s="15" t="s">
        <v>5213</v>
      </c>
      <c r="C155" s="10" t="s">
        <v>5214</v>
      </c>
      <c r="D155" s="8"/>
      <c r="E155" s="8"/>
      <c r="F155" s="10"/>
      <c r="G155" s="11"/>
      <c r="H155" s="16"/>
      <c r="I155" s="11"/>
      <c r="J155" s="16"/>
      <c r="K155" s="16"/>
      <c r="L155" s="8"/>
      <c r="M155" s="8"/>
      <c r="N155" s="11"/>
      <c r="O155" s="8"/>
      <c r="P155" s="8"/>
      <c r="Q155" s="8"/>
      <c r="R155" s="8"/>
      <c r="S155" s="8"/>
      <c r="X155" s="44"/>
    </row>
    <row r="156" spans="1:33" x14ac:dyDescent="0.25">
      <c r="A156" s="15" t="s">
        <v>71</v>
      </c>
      <c r="B156" s="15" t="s">
        <v>5215</v>
      </c>
      <c r="C156" s="10" t="s">
        <v>5216</v>
      </c>
      <c r="D156" s="8"/>
      <c r="E156" s="8"/>
      <c r="F156" s="10"/>
      <c r="G156" s="11"/>
      <c r="H156" s="16"/>
      <c r="I156" s="11"/>
      <c r="J156" s="16"/>
      <c r="K156" s="16"/>
      <c r="L156" s="8"/>
      <c r="M156" s="8"/>
      <c r="N156" s="11"/>
      <c r="O156" s="8"/>
      <c r="P156" s="8"/>
      <c r="Q156" s="8"/>
      <c r="R156" s="8"/>
      <c r="S156" s="8"/>
      <c r="X156" s="44"/>
    </row>
    <row r="157" spans="1:33" ht="30" x14ac:dyDescent="0.25">
      <c r="A157" s="15" t="s">
        <v>71</v>
      </c>
      <c r="B157" s="15" t="s">
        <v>5217</v>
      </c>
      <c r="C157" s="10" t="s">
        <v>5218</v>
      </c>
      <c r="D157" s="8"/>
      <c r="E157" s="8"/>
      <c r="F157" s="10"/>
      <c r="G157" s="11"/>
      <c r="H157" s="16"/>
      <c r="I157" s="11"/>
      <c r="J157" s="16"/>
      <c r="K157" s="16"/>
      <c r="L157" s="8"/>
      <c r="M157" s="8"/>
      <c r="N157" s="11"/>
      <c r="O157" s="8"/>
      <c r="P157" s="8"/>
      <c r="Q157" s="8"/>
      <c r="R157" s="8"/>
      <c r="S157" s="8"/>
      <c r="X157" s="44"/>
    </row>
    <row r="158" spans="1:33" x14ac:dyDescent="0.25">
      <c r="A158" s="15" t="s">
        <v>71</v>
      </c>
      <c r="B158" s="15" t="s">
        <v>5219</v>
      </c>
      <c r="C158" s="10" t="s">
        <v>5220</v>
      </c>
      <c r="D158" s="8"/>
      <c r="E158" s="8"/>
      <c r="F158" s="10"/>
      <c r="G158" s="11"/>
      <c r="H158" s="16"/>
      <c r="I158" s="11"/>
      <c r="J158" s="16"/>
      <c r="K158" s="16"/>
      <c r="L158" s="8"/>
      <c r="M158" s="8"/>
      <c r="N158" s="11"/>
      <c r="O158" s="8"/>
      <c r="P158" s="8"/>
      <c r="Q158" s="8"/>
      <c r="R158" s="8"/>
      <c r="S158" s="8"/>
      <c r="X158" s="44"/>
    </row>
    <row r="159" spans="1:33" ht="60" x14ac:dyDescent="0.25">
      <c r="A159" s="15" t="s">
        <v>71</v>
      </c>
      <c r="B159" s="15" t="s">
        <v>5221</v>
      </c>
      <c r="C159" s="10" t="s">
        <v>5222</v>
      </c>
      <c r="D159" s="8"/>
      <c r="E159" s="8"/>
      <c r="F159" s="10"/>
      <c r="G159" s="11"/>
      <c r="H159" s="16"/>
      <c r="I159" s="11"/>
      <c r="J159" s="16"/>
      <c r="K159" s="16"/>
      <c r="L159" s="8"/>
      <c r="M159" s="8"/>
      <c r="N159" s="11"/>
      <c r="O159" s="8"/>
      <c r="P159" s="8"/>
      <c r="Q159" s="8"/>
      <c r="R159" s="8"/>
      <c r="S159" s="8"/>
      <c r="X159" s="44"/>
    </row>
    <row r="160" spans="1:33" x14ac:dyDescent="0.25">
      <c r="A160" s="15" t="s">
        <v>71</v>
      </c>
      <c r="B160" s="17" t="s">
        <v>5223</v>
      </c>
      <c r="C160" s="10" t="s">
        <v>5224</v>
      </c>
      <c r="D160" s="8"/>
      <c r="E160" s="8"/>
      <c r="F160" s="10"/>
      <c r="G160" s="11"/>
      <c r="H160" s="16"/>
      <c r="I160" s="11"/>
      <c r="J160" s="16"/>
      <c r="K160" s="16"/>
      <c r="L160" s="8"/>
      <c r="M160" s="8"/>
      <c r="N160" s="11"/>
      <c r="O160" s="8"/>
      <c r="P160" s="8"/>
      <c r="Q160" s="8"/>
      <c r="R160" s="8"/>
      <c r="S160" s="8"/>
      <c r="X160" s="44"/>
    </row>
    <row r="161" spans="1:33" ht="30" x14ac:dyDescent="0.25">
      <c r="A161" s="15" t="s">
        <v>71</v>
      </c>
      <c r="B161" s="17" t="s">
        <v>5225</v>
      </c>
      <c r="C161" s="10" t="s">
        <v>5226</v>
      </c>
      <c r="D161" s="8"/>
      <c r="E161" s="8"/>
      <c r="F161" s="10"/>
      <c r="G161" s="11"/>
      <c r="H161" s="16"/>
      <c r="I161" s="11"/>
      <c r="J161" s="16"/>
      <c r="K161" s="16"/>
      <c r="L161" s="8"/>
      <c r="M161" s="8"/>
      <c r="N161" s="11"/>
      <c r="O161" s="8"/>
      <c r="P161" s="8"/>
      <c r="Q161" s="8"/>
      <c r="R161" s="8"/>
      <c r="S161" s="8"/>
      <c r="X161" s="44"/>
    </row>
    <row r="162" spans="1:33" ht="195" x14ac:dyDescent="0.25">
      <c r="A162" s="15" t="s">
        <v>71</v>
      </c>
      <c r="B162" s="15" t="s">
        <v>868</v>
      </c>
      <c r="C162" s="10" t="s">
        <v>907</v>
      </c>
      <c r="D162" s="8" t="s">
        <v>3078</v>
      </c>
      <c r="E162" s="8" t="s">
        <v>1245</v>
      </c>
      <c r="F162" s="10" t="s">
        <v>1140</v>
      </c>
      <c r="G162" s="11" t="s">
        <v>2129</v>
      </c>
      <c r="H162" s="16" t="s">
        <v>2284</v>
      </c>
      <c r="I162" s="11" t="s">
        <v>1450</v>
      </c>
      <c r="J162" s="16" t="s">
        <v>1345</v>
      </c>
      <c r="K162" s="16" t="s">
        <v>1551</v>
      </c>
      <c r="L162" s="8" t="s">
        <v>4863</v>
      </c>
      <c r="M162" s="8" t="s">
        <v>3588</v>
      </c>
      <c r="N162" s="11" t="s">
        <v>1630</v>
      </c>
      <c r="O162" s="8" t="s">
        <v>3306</v>
      </c>
      <c r="P162" s="8" t="s">
        <v>1719</v>
      </c>
      <c r="Q162" s="8" t="s">
        <v>2459</v>
      </c>
      <c r="R162" s="8" t="s">
        <v>2601</v>
      </c>
      <c r="S162" s="8" t="s">
        <v>3821</v>
      </c>
      <c r="T162" s="3" t="s">
        <v>3700</v>
      </c>
      <c r="U162" s="3" t="s">
        <v>4989</v>
      </c>
      <c r="V162" s="3" t="s">
        <v>1817</v>
      </c>
      <c r="W162" s="3" t="s">
        <v>2892</v>
      </c>
      <c r="X162" s="44" t="s">
        <v>4601</v>
      </c>
      <c r="Y162" s="3" t="s">
        <v>4220</v>
      </c>
      <c r="Z162" s="3" t="s">
        <v>1906</v>
      </c>
      <c r="AA162" s="3" t="s">
        <v>3766</v>
      </c>
      <c r="AB162" s="3" t="s">
        <v>4002</v>
      </c>
      <c r="AC162" s="3" t="s">
        <v>2009</v>
      </c>
      <c r="AD162" s="3" t="s">
        <v>4387</v>
      </c>
      <c r="AE162" s="3" t="s">
        <v>4497</v>
      </c>
      <c r="AF162" s="3" t="s">
        <v>4149</v>
      </c>
      <c r="AG162" s="3" t="s">
        <v>4711</v>
      </c>
    </row>
    <row r="163" spans="1:33" ht="30" x14ac:dyDescent="0.25">
      <c r="A163" s="15" t="s">
        <v>71</v>
      </c>
      <c r="B163" s="15" t="s">
        <v>295</v>
      </c>
      <c r="C163" s="9" t="s">
        <v>862</v>
      </c>
      <c r="D163" s="8" t="s">
        <v>3079</v>
      </c>
      <c r="E163" s="8" t="s">
        <v>1246</v>
      </c>
      <c r="F163" s="9" t="s">
        <v>1141</v>
      </c>
      <c r="G163" s="8" t="s">
        <v>2130</v>
      </c>
      <c r="H163" s="16" t="s">
        <v>2285</v>
      </c>
      <c r="I163" s="8" t="s">
        <v>1451</v>
      </c>
      <c r="J163" s="16" t="s">
        <v>1346</v>
      </c>
      <c r="K163" s="16" t="s">
        <v>1552</v>
      </c>
      <c r="L163" s="8" t="s">
        <v>4827</v>
      </c>
      <c r="M163" s="8" t="s">
        <v>3589</v>
      </c>
      <c r="N163" s="8" t="s">
        <v>1631</v>
      </c>
      <c r="O163" s="8" t="s">
        <v>3307</v>
      </c>
      <c r="P163" s="8" t="s">
        <v>1720</v>
      </c>
      <c r="Q163" s="8" t="s">
        <v>2460</v>
      </c>
      <c r="R163" s="8" t="s">
        <v>2602</v>
      </c>
      <c r="S163" s="8" t="s">
        <v>3822</v>
      </c>
      <c r="T163" s="3" t="s">
        <v>3701</v>
      </c>
      <c r="U163" s="3" t="s">
        <v>4990</v>
      </c>
      <c r="V163" s="3" t="s">
        <v>1818</v>
      </c>
      <c r="W163" s="3" t="s">
        <v>2893</v>
      </c>
      <c r="X163" s="44" t="s">
        <v>4602</v>
      </c>
      <c r="Y163" s="3" t="s">
        <v>1907</v>
      </c>
      <c r="Z163" s="3" t="s">
        <v>1907</v>
      </c>
      <c r="AA163" s="3" t="s">
        <v>3767</v>
      </c>
      <c r="AB163" s="3" t="s">
        <v>1070</v>
      </c>
      <c r="AC163" s="3" t="s">
        <v>2010</v>
      </c>
      <c r="AD163" s="3" t="s">
        <v>4388</v>
      </c>
      <c r="AE163" s="3" t="s">
        <v>4498</v>
      </c>
      <c r="AF163" s="3" t="s">
        <v>4150</v>
      </c>
      <c r="AG163" s="3" t="s">
        <v>2067</v>
      </c>
    </row>
    <row r="164" spans="1:33" x14ac:dyDescent="0.25">
      <c r="A164" s="15" t="s">
        <v>71</v>
      </c>
      <c r="B164" s="15" t="s">
        <v>297</v>
      </c>
      <c r="C164" s="9" t="s">
        <v>296</v>
      </c>
      <c r="D164" s="8" t="s">
        <v>3080</v>
      </c>
      <c r="E164" s="8" t="s">
        <v>304</v>
      </c>
      <c r="F164" s="9" t="s">
        <v>422</v>
      </c>
      <c r="G164" s="8" t="s">
        <v>619</v>
      </c>
      <c r="H164" s="16" t="s">
        <v>2286</v>
      </c>
      <c r="I164" s="8" t="s">
        <v>308</v>
      </c>
      <c r="J164" s="16" t="s">
        <v>312</v>
      </c>
      <c r="K164" s="16" t="s">
        <v>314</v>
      </c>
      <c r="L164" s="8" t="s">
        <v>2328</v>
      </c>
      <c r="M164" s="8" t="s">
        <v>3590</v>
      </c>
      <c r="N164" s="8" t="s">
        <v>316</v>
      </c>
      <c r="O164" s="8" t="s">
        <v>3308</v>
      </c>
      <c r="P164" s="8" t="s">
        <v>558</v>
      </c>
      <c r="Q164" s="8" t="s">
        <v>2461</v>
      </c>
      <c r="R164" s="8" t="s">
        <v>2603</v>
      </c>
      <c r="S164" s="8" t="s">
        <v>2671</v>
      </c>
      <c r="T164" s="3" t="s">
        <v>2721</v>
      </c>
      <c r="U164" s="3" t="s">
        <v>2769</v>
      </c>
      <c r="V164" s="3" t="s">
        <v>707</v>
      </c>
      <c r="W164" s="3" t="s">
        <v>2894</v>
      </c>
      <c r="X164" s="44" t="s">
        <v>4603</v>
      </c>
      <c r="Y164" s="3" t="s">
        <v>322</v>
      </c>
      <c r="Z164" s="3" t="s">
        <v>322</v>
      </c>
      <c r="AA164" s="3" t="s">
        <v>365</v>
      </c>
      <c r="AB164" s="3" t="s">
        <v>365</v>
      </c>
      <c r="AC164" s="3" t="s">
        <v>333</v>
      </c>
      <c r="AD164" s="3" t="s">
        <v>4389</v>
      </c>
      <c r="AE164" s="3" t="s">
        <v>4499</v>
      </c>
      <c r="AF164" s="3" t="s">
        <v>4151</v>
      </c>
      <c r="AG164" s="3" t="s">
        <v>331</v>
      </c>
    </row>
    <row r="165" spans="1:33" x14ac:dyDescent="0.25">
      <c r="A165" s="15" t="s">
        <v>71</v>
      </c>
      <c r="B165" s="15" t="s">
        <v>298</v>
      </c>
      <c r="C165" s="9" t="s">
        <v>301</v>
      </c>
      <c r="D165" s="8" t="s">
        <v>3081</v>
      </c>
      <c r="E165" s="8" t="s">
        <v>305</v>
      </c>
      <c r="F165" s="9" t="s">
        <v>424</v>
      </c>
      <c r="G165" s="8" t="s">
        <v>423</v>
      </c>
      <c r="H165" s="16" t="s">
        <v>2287</v>
      </c>
      <c r="I165" s="8" t="s">
        <v>309</v>
      </c>
      <c r="J165" s="16" t="s">
        <v>590</v>
      </c>
      <c r="K165" s="16" t="s">
        <v>464</v>
      </c>
      <c r="L165" s="8" t="s">
        <v>4828</v>
      </c>
      <c r="M165" s="8" t="s">
        <v>3591</v>
      </c>
      <c r="N165" s="8" t="s">
        <v>317</v>
      </c>
      <c r="O165" s="8" t="s">
        <v>3309</v>
      </c>
      <c r="P165" s="8" t="s">
        <v>559</v>
      </c>
      <c r="Q165" s="8" t="s">
        <v>2462</v>
      </c>
      <c r="R165" s="8" t="s">
        <v>2604</v>
      </c>
      <c r="S165" s="8" t="s">
        <v>2672</v>
      </c>
      <c r="T165" s="3" t="s">
        <v>2722</v>
      </c>
      <c r="U165" s="3" t="s">
        <v>2770</v>
      </c>
      <c r="V165" s="3" t="s">
        <v>332</v>
      </c>
      <c r="W165" s="3" t="s">
        <v>2895</v>
      </c>
      <c r="X165" s="44" t="s">
        <v>4604</v>
      </c>
      <c r="Y165" s="3" t="s">
        <v>446</v>
      </c>
      <c r="Z165" s="3" t="s">
        <v>323</v>
      </c>
      <c r="AA165" s="3" t="s">
        <v>319</v>
      </c>
      <c r="AB165" s="3" t="s">
        <v>319</v>
      </c>
      <c r="AC165" s="3" t="s">
        <v>326</v>
      </c>
      <c r="AD165" s="3" t="s">
        <v>4390</v>
      </c>
      <c r="AE165" s="3" t="s">
        <v>3444</v>
      </c>
      <c r="AF165" s="3" t="s">
        <v>4152</v>
      </c>
      <c r="AG165" s="3" t="s">
        <v>330</v>
      </c>
    </row>
    <row r="166" spans="1:33" x14ac:dyDescent="0.25">
      <c r="A166" s="15" t="s">
        <v>71</v>
      </c>
      <c r="B166" s="15" t="s">
        <v>299</v>
      </c>
      <c r="C166" s="9" t="s">
        <v>302</v>
      </c>
      <c r="D166" s="8" t="s">
        <v>3082</v>
      </c>
      <c r="E166" s="8" t="s">
        <v>306</v>
      </c>
      <c r="F166" s="9" t="s">
        <v>426</v>
      </c>
      <c r="G166" s="8" t="s">
        <v>425</v>
      </c>
      <c r="H166" s="16" t="s">
        <v>2288</v>
      </c>
      <c r="I166" s="8" t="s">
        <v>310</v>
      </c>
      <c r="J166" s="16" t="s">
        <v>591</v>
      </c>
      <c r="K166" s="16" t="s">
        <v>465</v>
      </c>
      <c r="L166" s="8" t="s">
        <v>4829</v>
      </c>
      <c r="M166" s="8" t="s">
        <v>3592</v>
      </c>
      <c r="N166" s="8" t="s">
        <v>613</v>
      </c>
      <c r="O166" s="8" t="s">
        <v>3310</v>
      </c>
      <c r="P166" s="8" t="s">
        <v>560</v>
      </c>
      <c r="Q166" s="8" t="s">
        <v>2463</v>
      </c>
      <c r="R166" s="8" t="s">
        <v>2605</v>
      </c>
      <c r="S166" s="8" t="s">
        <v>2673</v>
      </c>
      <c r="T166" s="3" t="s">
        <v>2723</v>
      </c>
      <c r="U166" s="3" t="s">
        <v>4991</v>
      </c>
      <c r="V166" s="3" t="s">
        <v>708</v>
      </c>
      <c r="W166" s="3" t="s">
        <v>2896</v>
      </c>
      <c r="X166" s="44" t="s">
        <v>2947</v>
      </c>
      <c r="Y166" s="3" t="s">
        <v>320</v>
      </c>
      <c r="Z166" s="3" t="s">
        <v>320</v>
      </c>
      <c r="AA166" s="3" t="s">
        <v>320</v>
      </c>
      <c r="AB166" s="3" t="s">
        <v>320</v>
      </c>
      <c r="AC166" s="3" t="s">
        <v>327</v>
      </c>
      <c r="AD166" s="3" t="s">
        <v>4391</v>
      </c>
      <c r="AE166" s="3" t="s">
        <v>3445</v>
      </c>
      <c r="AF166" s="3" t="s">
        <v>4153</v>
      </c>
      <c r="AG166" s="3" t="s">
        <v>329</v>
      </c>
    </row>
    <row r="167" spans="1:33" x14ac:dyDescent="0.25">
      <c r="A167" s="15" t="s">
        <v>71</v>
      </c>
      <c r="B167" s="15" t="s">
        <v>300</v>
      </c>
      <c r="C167" s="9" t="s">
        <v>303</v>
      </c>
      <c r="D167" s="8" t="s">
        <v>3083</v>
      </c>
      <c r="E167" s="8" t="s">
        <v>307</v>
      </c>
      <c r="F167" s="9" t="s">
        <v>428</v>
      </c>
      <c r="G167" s="8" t="s">
        <v>427</v>
      </c>
      <c r="H167" s="16" t="s">
        <v>2289</v>
      </c>
      <c r="I167" s="8" t="s">
        <v>311</v>
      </c>
      <c r="J167" s="16" t="s">
        <v>313</v>
      </c>
      <c r="K167" s="16" t="s">
        <v>315</v>
      </c>
      <c r="L167" s="8" t="s">
        <v>2329</v>
      </c>
      <c r="M167" s="8" t="s">
        <v>3593</v>
      </c>
      <c r="N167" s="8" t="s">
        <v>318</v>
      </c>
      <c r="O167" s="8" t="s">
        <v>3311</v>
      </c>
      <c r="P167" s="8" t="s">
        <v>561</v>
      </c>
      <c r="Q167" s="8" t="s">
        <v>2464</v>
      </c>
      <c r="R167" s="8" t="s">
        <v>2606</v>
      </c>
      <c r="S167" s="8" t="s">
        <v>2674</v>
      </c>
      <c r="T167" s="3" t="s">
        <v>2724</v>
      </c>
      <c r="U167" s="3" t="s">
        <v>2771</v>
      </c>
      <c r="V167" s="3" t="s">
        <v>709</v>
      </c>
      <c r="W167" s="3" t="s">
        <v>2897</v>
      </c>
      <c r="X167" s="44" t="s">
        <v>4605</v>
      </c>
      <c r="Y167" s="3" t="s">
        <v>324</v>
      </c>
      <c r="Z167" s="3" t="s">
        <v>325</v>
      </c>
      <c r="AA167" s="3" t="s">
        <v>321</v>
      </c>
      <c r="AB167" s="3" t="s">
        <v>321</v>
      </c>
      <c r="AC167" s="3" t="s">
        <v>636</v>
      </c>
      <c r="AD167" s="3" t="s">
        <v>4392</v>
      </c>
      <c r="AE167" s="3" t="s">
        <v>3446</v>
      </c>
      <c r="AF167" s="3" t="s">
        <v>4154</v>
      </c>
      <c r="AG167" s="3" t="s">
        <v>328</v>
      </c>
    </row>
    <row r="168" spans="1:33" x14ac:dyDescent="0.25">
      <c r="A168" s="15" t="s">
        <v>71</v>
      </c>
      <c r="B168" s="15" t="s">
        <v>334</v>
      </c>
      <c r="C168" s="9" t="s">
        <v>335</v>
      </c>
      <c r="D168" s="9" t="s">
        <v>3084</v>
      </c>
      <c r="E168" s="9" t="s">
        <v>357</v>
      </c>
      <c r="F168" s="9" t="s">
        <v>2725</v>
      </c>
      <c r="G168" s="9" t="s">
        <v>2725</v>
      </c>
      <c r="H168" s="9" t="s">
        <v>337</v>
      </c>
      <c r="I168" s="9" t="s">
        <v>336</v>
      </c>
      <c r="J168" s="9" t="s">
        <v>337</v>
      </c>
      <c r="K168" s="9" t="s">
        <v>338</v>
      </c>
      <c r="L168" s="9" t="s">
        <v>4830</v>
      </c>
      <c r="M168" s="9" t="s">
        <v>335</v>
      </c>
      <c r="N168" s="8" t="s">
        <v>339</v>
      </c>
      <c r="O168" s="9" t="s">
        <v>3312</v>
      </c>
      <c r="P168" s="9" t="s">
        <v>562</v>
      </c>
      <c r="Q168" s="9" t="s">
        <v>2465</v>
      </c>
      <c r="R168" s="9" t="s">
        <v>2607</v>
      </c>
      <c r="S168" s="9" t="s">
        <v>2675</v>
      </c>
      <c r="T168" s="3" t="s">
        <v>2725</v>
      </c>
      <c r="U168" s="3" t="s">
        <v>4992</v>
      </c>
      <c r="V168" s="3" t="s">
        <v>710</v>
      </c>
      <c r="W168" s="3" t="s">
        <v>2465</v>
      </c>
      <c r="X168" s="44" t="s">
        <v>4606</v>
      </c>
      <c r="Y168" s="3" t="s">
        <v>341</v>
      </c>
      <c r="Z168" s="3" t="s">
        <v>341</v>
      </c>
      <c r="AA168" s="3" t="s">
        <v>340</v>
      </c>
      <c r="AB168" s="3" t="s">
        <v>340</v>
      </c>
      <c r="AC168" s="3" t="s">
        <v>342</v>
      </c>
      <c r="AD168" s="3" t="s">
        <v>4393</v>
      </c>
      <c r="AE168" s="3" t="s">
        <v>3447</v>
      </c>
      <c r="AF168" s="3" t="s">
        <v>4155</v>
      </c>
      <c r="AG168" s="3" t="s">
        <v>343</v>
      </c>
    </row>
    <row r="169" spans="1:33" x14ac:dyDescent="0.25">
      <c r="A169" s="15" t="s">
        <v>71</v>
      </c>
      <c r="B169" s="15" t="s">
        <v>127</v>
      </c>
      <c r="C169" s="9" t="s">
        <v>234</v>
      </c>
      <c r="D169" s="8" t="s">
        <v>3085</v>
      </c>
      <c r="E169" s="8" t="s">
        <v>275</v>
      </c>
      <c r="F169" s="9" t="s">
        <v>3911</v>
      </c>
      <c r="G169" s="8" t="s">
        <v>3911</v>
      </c>
      <c r="H169" s="8" t="s">
        <v>2290</v>
      </c>
      <c r="I169" s="8" t="s">
        <v>520</v>
      </c>
      <c r="J169" s="9" t="s">
        <v>178</v>
      </c>
      <c r="K169" s="9" t="s">
        <v>276</v>
      </c>
      <c r="L169" s="8" t="s">
        <v>2330</v>
      </c>
      <c r="M169" s="8" t="s">
        <v>3594</v>
      </c>
      <c r="N169" s="8" t="s">
        <v>277</v>
      </c>
      <c r="O169" s="8" t="s">
        <v>3313</v>
      </c>
      <c r="P169" s="8" t="s">
        <v>563</v>
      </c>
      <c r="Q169" s="8" t="s">
        <v>2466</v>
      </c>
      <c r="R169" s="8" t="s">
        <v>2608</v>
      </c>
      <c r="S169" s="8" t="s">
        <v>2676</v>
      </c>
      <c r="T169" s="3" t="s">
        <v>3668</v>
      </c>
      <c r="U169" s="3" t="s">
        <v>2772</v>
      </c>
      <c r="V169" s="3" t="s">
        <v>288</v>
      </c>
      <c r="W169" s="3" t="s">
        <v>2466</v>
      </c>
      <c r="X169" s="44" t="s">
        <v>2948</v>
      </c>
      <c r="Y169" s="3" t="s">
        <v>279</v>
      </c>
      <c r="Z169" s="3" t="s">
        <v>279</v>
      </c>
      <c r="AA169" s="3" t="s">
        <v>267</v>
      </c>
      <c r="AB169" s="3" t="s">
        <v>267</v>
      </c>
      <c r="AC169" s="3" t="s">
        <v>283</v>
      </c>
      <c r="AD169" s="3" t="s">
        <v>368</v>
      </c>
      <c r="AE169" s="3" t="s">
        <v>3448</v>
      </c>
      <c r="AF169" s="3" t="s">
        <v>4156</v>
      </c>
      <c r="AG169" s="3" t="s">
        <v>284</v>
      </c>
    </row>
    <row r="170" spans="1:33" ht="105" x14ac:dyDescent="0.25">
      <c r="A170" s="15" t="s">
        <v>71</v>
      </c>
      <c r="B170" s="15" t="s">
        <v>5023</v>
      </c>
      <c r="C170" s="9" t="s">
        <v>5026</v>
      </c>
      <c r="D170" s="8" t="s">
        <v>5029</v>
      </c>
      <c r="E170" s="8" t="s">
        <v>5079</v>
      </c>
      <c r="F170" s="9" t="s">
        <v>5080</v>
      </c>
      <c r="G170" s="8" t="s">
        <v>5081</v>
      </c>
      <c r="H170" s="8" t="s">
        <v>5082</v>
      </c>
      <c r="I170" s="8" t="s">
        <v>5083</v>
      </c>
      <c r="J170" s="9" t="s">
        <v>5084</v>
      </c>
      <c r="K170" s="9" t="s">
        <v>5085</v>
      </c>
      <c r="L170" s="8" t="s">
        <v>4831</v>
      </c>
      <c r="M170" s="8" t="s">
        <v>5106</v>
      </c>
      <c r="N170" s="8" t="s">
        <v>5086</v>
      </c>
      <c r="O170" s="8" t="s">
        <v>5087</v>
      </c>
      <c r="P170" s="8" t="s">
        <v>5088</v>
      </c>
      <c r="Q170" s="8" t="s">
        <v>5089</v>
      </c>
      <c r="R170" s="8" t="s">
        <v>5090</v>
      </c>
      <c r="S170" s="8" t="s">
        <v>5091</v>
      </c>
      <c r="T170" s="3" t="s">
        <v>5092</v>
      </c>
      <c r="U170" s="3" t="s">
        <v>5095</v>
      </c>
      <c r="V170" s="3" t="s">
        <v>5096</v>
      </c>
      <c r="W170" s="3" t="s">
        <v>5097</v>
      </c>
      <c r="X170" s="44" t="s">
        <v>5098</v>
      </c>
      <c r="Y170" s="3" t="s">
        <v>5099</v>
      </c>
      <c r="Z170" s="3" t="s">
        <v>5099</v>
      </c>
      <c r="AA170" s="3" t="s">
        <v>5100</v>
      </c>
      <c r="AB170" s="3" t="s">
        <v>5100</v>
      </c>
      <c r="AC170" s="3" t="s">
        <v>5101</v>
      </c>
      <c r="AD170" s="3" t="s">
        <v>5102</v>
      </c>
      <c r="AE170" s="3" t="s">
        <v>5103</v>
      </c>
      <c r="AF170" s="3" t="s">
        <v>5104</v>
      </c>
      <c r="AG170" s="3" t="s">
        <v>5105</v>
      </c>
    </row>
    <row r="171" spans="1:33" ht="105" x14ac:dyDescent="0.25">
      <c r="A171" s="15" t="s">
        <v>71</v>
      </c>
      <c r="B171" s="15" t="s">
        <v>5024</v>
      </c>
      <c r="C171" s="9" t="s">
        <v>5027</v>
      </c>
      <c r="D171" s="8" t="s">
        <v>5030</v>
      </c>
      <c r="E171" s="8" t="s">
        <v>5078</v>
      </c>
      <c r="F171" s="9" t="s">
        <v>5077</v>
      </c>
      <c r="G171" s="8" t="s">
        <v>5075</v>
      </c>
      <c r="H171" s="8" t="s">
        <v>5074</v>
      </c>
      <c r="I171" s="8" t="s">
        <v>5073</v>
      </c>
      <c r="J171" s="9" t="s">
        <v>5072</v>
      </c>
      <c r="K171" s="9" t="s">
        <v>5071</v>
      </c>
      <c r="L171" s="8" t="s">
        <v>4831</v>
      </c>
      <c r="M171" s="8" t="s">
        <v>5107</v>
      </c>
      <c r="N171" s="8" t="s">
        <v>5070</v>
      </c>
      <c r="O171" s="8" t="s">
        <v>5069</v>
      </c>
      <c r="P171" s="8" t="s">
        <v>5068</v>
      </c>
      <c r="Q171" s="8" t="s">
        <v>5067</v>
      </c>
      <c r="R171" s="8" t="s">
        <v>5066</v>
      </c>
      <c r="S171" s="8" t="s">
        <v>5065</v>
      </c>
      <c r="T171" s="3" t="s">
        <v>5093</v>
      </c>
      <c r="U171" s="3" t="s">
        <v>5064</v>
      </c>
      <c r="V171" s="3" t="s">
        <v>5063</v>
      </c>
      <c r="W171" s="3" t="s">
        <v>5062</v>
      </c>
      <c r="X171" s="44" t="s">
        <v>5060</v>
      </c>
      <c r="Y171" s="3" t="s">
        <v>5059</v>
      </c>
      <c r="Z171" s="3" t="s">
        <v>5059</v>
      </c>
      <c r="AA171" s="3" t="s">
        <v>5058</v>
      </c>
      <c r="AB171" s="3" t="s">
        <v>5058</v>
      </c>
      <c r="AC171" s="3" t="s">
        <v>5057</v>
      </c>
      <c r="AD171" s="3" t="s">
        <v>5056</v>
      </c>
      <c r="AE171" s="3" t="s">
        <v>5055</v>
      </c>
      <c r="AF171" s="3" t="s">
        <v>5054</v>
      </c>
      <c r="AG171" s="3" t="s">
        <v>5053</v>
      </c>
    </row>
    <row r="172" spans="1:33" ht="105" x14ac:dyDescent="0.25">
      <c r="A172" s="15" t="s">
        <v>71</v>
      </c>
      <c r="B172" s="15" t="s">
        <v>5025</v>
      </c>
      <c r="C172" s="9" t="s">
        <v>5028</v>
      </c>
      <c r="D172" s="8" t="s">
        <v>5031</v>
      </c>
      <c r="E172" s="8" t="s">
        <v>5032</v>
      </c>
      <c r="F172" s="9" t="s">
        <v>5033</v>
      </c>
      <c r="G172" s="8" t="s">
        <v>5076</v>
      </c>
      <c r="H172" s="8" t="s">
        <v>5034</v>
      </c>
      <c r="I172" s="8" t="s">
        <v>1452</v>
      </c>
      <c r="J172" s="9" t="s">
        <v>5035</v>
      </c>
      <c r="K172" s="9" t="s">
        <v>5036</v>
      </c>
      <c r="L172" s="8" t="s">
        <v>4831</v>
      </c>
      <c r="M172" s="8" t="s">
        <v>5108</v>
      </c>
      <c r="N172" s="8" t="s">
        <v>5037</v>
      </c>
      <c r="O172" s="8" t="s">
        <v>5038</v>
      </c>
      <c r="P172" s="8" t="s">
        <v>5039</v>
      </c>
      <c r="Q172" s="8" t="s">
        <v>5040</v>
      </c>
      <c r="R172" s="8" t="s">
        <v>5041</v>
      </c>
      <c r="S172" s="8" t="s">
        <v>5042</v>
      </c>
      <c r="T172" s="3" t="s">
        <v>5094</v>
      </c>
      <c r="U172" s="3" t="s">
        <v>5043</v>
      </c>
      <c r="V172" s="3" t="s">
        <v>5044</v>
      </c>
      <c r="W172" s="3" t="s">
        <v>5045</v>
      </c>
      <c r="X172" s="44" t="s">
        <v>5061</v>
      </c>
      <c r="Y172" s="3" t="s">
        <v>5046</v>
      </c>
      <c r="Z172" s="3" t="s">
        <v>5046</v>
      </c>
      <c r="AA172" s="3" t="s">
        <v>5047</v>
      </c>
      <c r="AB172" s="3" t="s">
        <v>5047</v>
      </c>
      <c r="AC172" s="3" t="s">
        <v>5048</v>
      </c>
      <c r="AD172" s="3" t="s">
        <v>5049</v>
      </c>
      <c r="AE172" s="3" t="s">
        <v>5050</v>
      </c>
      <c r="AF172" s="3" t="s">
        <v>5051</v>
      </c>
      <c r="AG172" s="3" t="s">
        <v>5052</v>
      </c>
    </row>
    <row r="173" spans="1:33" ht="60" x14ac:dyDescent="0.25">
      <c r="A173" s="15" t="s">
        <v>71</v>
      </c>
      <c r="B173" s="15" t="s">
        <v>115</v>
      </c>
      <c r="C173" s="9" t="s">
        <v>939</v>
      </c>
      <c r="D173" s="8" t="s">
        <v>3086</v>
      </c>
      <c r="E173" s="8" t="s">
        <v>1247</v>
      </c>
      <c r="F173" s="9" t="s">
        <v>1142</v>
      </c>
      <c r="G173" s="8" t="s">
        <v>2131</v>
      </c>
      <c r="H173" s="16" t="s">
        <v>2291</v>
      </c>
      <c r="I173" s="8" t="s">
        <v>1453</v>
      </c>
      <c r="J173" s="16" t="s">
        <v>1347</v>
      </c>
      <c r="K173" s="16" t="s">
        <v>1553</v>
      </c>
      <c r="L173" s="8" t="s">
        <v>4832</v>
      </c>
      <c r="M173" s="8" t="s">
        <v>3595</v>
      </c>
      <c r="N173" s="8" t="s">
        <v>1632</v>
      </c>
      <c r="O173" s="8" t="s">
        <v>3314</v>
      </c>
      <c r="P173" s="8" t="s">
        <v>1721</v>
      </c>
      <c r="Q173" s="8" t="s">
        <v>2467</v>
      </c>
      <c r="R173" s="8" t="s">
        <v>2609</v>
      </c>
      <c r="S173" s="8" t="s">
        <v>3823</v>
      </c>
      <c r="T173" s="3" t="s">
        <v>3702</v>
      </c>
      <c r="U173" s="3" t="s">
        <v>4993</v>
      </c>
      <c r="V173" s="3" t="s">
        <v>1819</v>
      </c>
      <c r="W173" s="3" t="s">
        <v>2898</v>
      </c>
      <c r="X173" s="44" t="s">
        <v>4607</v>
      </c>
      <c r="Y173" s="3" t="s">
        <v>1908</v>
      </c>
      <c r="Z173" s="3" t="s">
        <v>1908</v>
      </c>
      <c r="AA173" s="3" t="s">
        <v>1163</v>
      </c>
      <c r="AB173" s="3" t="s">
        <v>1163</v>
      </c>
      <c r="AC173" s="3" t="s">
        <v>2011</v>
      </c>
      <c r="AD173" s="3" t="s">
        <v>4394</v>
      </c>
      <c r="AE173" s="3" t="s">
        <v>3449</v>
      </c>
      <c r="AF173" s="3" t="s">
        <v>4157</v>
      </c>
      <c r="AG173" s="3" t="s">
        <v>4712</v>
      </c>
    </row>
    <row r="174" spans="1:33" ht="30" x14ac:dyDescent="0.25">
      <c r="A174" s="15" t="s">
        <v>71</v>
      </c>
      <c r="B174" s="15" t="s">
        <v>859</v>
      </c>
      <c r="C174" s="3" t="s">
        <v>1007</v>
      </c>
      <c r="D174" s="3" t="s">
        <v>3087</v>
      </c>
      <c r="E174" s="3" t="s">
        <v>1248</v>
      </c>
      <c r="F174" s="3" t="s">
        <v>1143</v>
      </c>
      <c r="G174" s="3" t="s">
        <v>2132</v>
      </c>
      <c r="H174" s="3" t="s">
        <v>2292</v>
      </c>
      <c r="I174" s="3" t="s">
        <v>1454</v>
      </c>
      <c r="J174" s="3" t="s">
        <v>1348</v>
      </c>
      <c r="K174" s="3" t="s">
        <v>1554</v>
      </c>
      <c r="L174" s="3" t="s">
        <v>4833</v>
      </c>
      <c r="M174" s="3" t="s">
        <v>3596</v>
      </c>
      <c r="N174" s="3" t="s">
        <v>1633</v>
      </c>
      <c r="O174" s="3" t="s">
        <v>3315</v>
      </c>
      <c r="P174" s="3" t="s">
        <v>1722</v>
      </c>
      <c r="Q174" s="3" t="s">
        <v>2468</v>
      </c>
      <c r="R174" s="3" t="s">
        <v>2610</v>
      </c>
      <c r="S174" s="3" t="s">
        <v>3824</v>
      </c>
      <c r="T174" s="3" t="s">
        <v>3703</v>
      </c>
      <c r="U174" s="3" t="s">
        <v>4994</v>
      </c>
      <c r="V174" s="3" t="s">
        <v>3373</v>
      </c>
      <c r="W174" s="3" t="s">
        <v>2899</v>
      </c>
      <c r="X174" s="44" t="s">
        <v>4608</v>
      </c>
      <c r="Y174" s="3" t="s">
        <v>1909</v>
      </c>
      <c r="Z174" s="3" t="s">
        <v>1909</v>
      </c>
      <c r="AA174" s="3" t="s">
        <v>1071</v>
      </c>
      <c r="AB174" s="3" t="s">
        <v>1071</v>
      </c>
      <c r="AC174" s="3" t="s">
        <v>2012</v>
      </c>
      <c r="AD174" s="3" t="s">
        <v>4395</v>
      </c>
      <c r="AE174" s="3" t="s">
        <v>4500</v>
      </c>
      <c r="AF174" s="3" t="s">
        <v>4158</v>
      </c>
      <c r="AG174" s="3" t="s">
        <v>4713</v>
      </c>
    </row>
    <row r="175" spans="1:33" ht="60" x14ac:dyDescent="0.25">
      <c r="A175" s="15" t="s">
        <v>71</v>
      </c>
      <c r="B175" s="15" t="s">
        <v>861</v>
      </c>
      <c r="C175" s="3" t="s">
        <v>906</v>
      </c>
      <c r="D175" s="3" t="s">
        <v>3088</v>
      </c>
      <c r="E175" s="3" t="s">
        <v>1249</v>
      </c>
      <c r="F175" s="3" t="s">
        <v>1144</v>
      </c>
      <c r="G175" s="3" t="s">
        <v>2133</v>
      </c>
      <c r="H175" s="3" t="s">
        <v>2293</v>
      </c>
      <c r="I175" s="3" t="s">
        <v>1455</v>
      </c>
      <c r="J175" s="3" t="s">
        <v>1349</v>
      </c>
      <c r="K175" s="3" t="s">
        <v>1555</v>
      </c>
      <c r="L175" s="3" t="s">
        <v>4864</v>
      </c>
      <c r="M175" s="3" t="s">
        <v>3597</v>
      </c>
      <c r="N175" s="3" t="s">
        <v>1634</v>
      </c>
      <c r="O175" s="3" t="s">
        <v>3316</v>
      </c>
      <c r="P175" s="3" t="s">
        <v>1723</v>
      </c>
      <c r="Q175" s="3" t="s">
        <v>2469</v>
      </c>
      <c r="R175" s="3" t="s">
        <v>2611</v>
      </c>
      <c r="S175" s="3" t="s">
        <v>2677</v>
      </c>
      <c r="T175" s="3" t="s">
        <v>3669</v>
      </c>
      <c r="U175" s="3" t="s">
        <v>4995</v>
      </c>
      <c r="V175" s="3" t="s">
        <v>1820</v>
      </c>
      <c r="W175" s="3" t="s">
        <v>2900</v>
      </c>
      <c r="X175" s="44" t="s">
        <v>4609</v>
      </c>
      <c r="Y175" s="3" t="s">
        <v>1910</v>
      </c>
      <c r="Z175" s="3" t="s">
        <v>1910</v>
      </c>
      <c r="AA175" s="3" t="s">
        <v>1164</v>
      </c>
      <c r="AB175" s="3" t="s">
        <v>4003</v>
      </c>
      <c r="AC175" s="3" t="s">
        <v>2013</v>
      </c>
      <c r="AD175" s="3" t="s">
        <v>4396</v>
      </c>
      <c r="AE175" s="3" t="s">
        <v>4501</v>
      </c>
      <c r="AF175" s="3" t="s">
        <v>4159</v>
      </c>
      <c r="AG175" s="3" t="s">
        <v>4714</v>
      </c>
    </row>
    <row r="176" spans="1:33" ht="30" x14ac:dyDescent="0.25">
      <c r="A176" s="15" t="s">
        <v>71</v>
      </c>
      <c r="B176" s="15" t="s">
        <v>860</v>
      </c>
      <c r="C176" s="3" t="s">
        <v>1008</v>
      </c>
      <c r="D176" s="3" t="s">
        <v>3089</v>
      </c>
      <c r="E176" s="3" t="s">
        <v>1250</v>
      </c>
      <c r="F176" s="3" t="s">
        <v>1145</v>
      </c>
      <c r="G176" s="3" t="s">
        <v>2134</v>
      </c>
      <c r="H176" s="3" t="s">
        <v>2294</v>
      </c>
      <c r="I176" s="3" t="s">
        <v>1456</v>
      </c>
      <c r="J176" s="3" t="s">
        <v>1350</v>
      </c>
      <c r="K176" s="3" t="s">
        <v>1556</v>
      </c>
      <c r="L176" s="3" t="s">
        <v>2331</v>
      </c>
      <c r="M176" s="3" t="s">
        <v>3598</v>
      </c>
      <c r="N176" s="3" t="s">
        <v>1635</v>
      </c>
      <c r="O176" s="3" t="s">
        <v>3317</v>
      </c>
      <c r="P176" s="3" t="s">
        <v>1724</v>
      </c>
      <c r="Q176" s="3" t="s">
        <v>2470</v>
      </c>
      <c r="R176" s="3" t="s">
        <v>2612</v>
      </c>
      <c r="S176" s="3" t="s">
        <v>2678</v>
      </c>
      <c r="T176" s="3" t="s">
        <v>2726</v>
      </c>
      <c r="U176" s="3" t="s">
        <v>2773</v>
      </c>
      <c r="V176" s="3" t="s">
        <v>1821</v>
      </c>
      <c r="W176" s="3" t="s">
        <v>2901</v>
      </c>
      <c r="X176" s="44" t="s">
        <v>2949</v>
      </c>
      <c r="Y176" s="3" t="s">
        <v>1911</v>
      </c>
      <c r="Z176" s="3" t="s">
        <v>1911</v>
      </c>
      <c r="AA176" s="3" t="s">
        <v>1072</v>
      </c>
      <c r="AB176" s="3" t="s">
        <v>1072</v>
      </c>
      <c r="AC176" s="3" t="s">
        <v>2014</v>
      </c>
      <c r="AD176" s="3" t="s">
        <v>4397</v>
      </c>
      <c r="AE176" s="3" t="s">
        <v>3450</v>
      </c>
      <c r="AF176" s="3" t="s">
        <v>4160</v>
      </c>
      <c r="AG176" s="3" t="s">
        <v>2068</v>
      </c>
    </row>
    <row r="177" spans="1:33" x14ac:dyDescent="0.25">
      <c r="A177" s="15" t="s">
        <v>71</v>
      </c>
      <c r="B177" s="15" t="s">
        <v>385</v>
      </c>
      <c r="C177" s="9" t="s">
        <v>1009</v>
      </c>
      <c r="D177" s="9" t="s">
        <v>3090</v>
      </c>
      <c r="E177" s="9" t="s">
        <v>1251</v>
      </c>
      <c r="F177" s="9" t="s">
        <v>1146</v>
      </c>
      <c r="G177" s="9" t="s">
        <v>2135</v>
      </c>
      <c r="H177" s="9" t="s">
        <v>2295</v>
      </c>
      <c r="I177" s="9" t="s">
        <v>1457</v>
      </c>
      <c r="J177" s="9" t="s">
        <v>1351</v>
      </c>
      <c r="K177" s="9" t="s">
        <v>1557</v>
      </c>
      <c r="L177" s="9" t="s">
        <v>2332</v>
      </c>
      <c r="M177" s="9" t="s">
        <v>3599</v>
      </c>
      <c r="N177" s="9" t="s">
        <v>1636</v>
      </c>
      <c r="O177" s="9" t="s">
        <v>3318</v>
      </c>
      <c r="P177" s="9" t="s">
        <v>1725</v>
      </c>
      <c r="Q177" s="9" t="s">
        <v>2471</v>
      </c>
      <c r="R177" s="9" t="s">
        <v>2613</v>
      </c>
      <c r="S177" s="9" t="s">
        <v>2679</v>
      </c>
      <c r="T177" s="3" t="s">
        <v>4409</v>
      </c>
      <c r="U177" s="3" t="s">
        <v>2774</v>
      </c>
      <c r="V177" s="3" t="s">
        <v>3374</v>
      </c>
      <c r="W177" s="3" t="s">
        <v>2471</v>
      </c>
      <c r="X177" s="44" t="s">
        <v>2950</v>
      </c>
      <c r="Y177" s="3" t="s">
        <v>1912</v>
      </c>
      <c r="Z177" s="3" t="s">
        <v>1912</v>
      </c>
      <c r="AA177" s="3" t="s">
        <v>1073</v>
      </c>
      <c r="AB177" s="3" t="s">
        <v>1073</v>
      </c>
      <c r="AC177" s="3" t="s">
        <v>2015</v>
      </c>
      <c r="AD177" s="3" t="s">
        <v>4398</v>
      </c>
      <c r="AE177" s="3" t="s">
        <v>3451</v>
      </c>
      <c r="AF177" s="3" t="s">
        <v>4161</v>
      </c>
      <c r="AG177" s="3" t="s">
        <v>2069</v>
      </c>
    </row>
    <row r="178" spans="1:33" x14ac:dyDescent="0.25">
      <c r="A178" s="15" t="s">
        <v>71</v>
      </c>
      <c r="B178" s="15" t="s">
        <v>869</v>
      </c>
      <c r="C178" s="3" t="s">
        <v>869</v>
      </c>
      <c r="D178" s="3" t="s">
        <v>3091</v>
      </c>
      <c r="E178" s="3" t="s">
        <v>5003</v>
      </c>
      <c r="F178" s="3" t="s">
        <v>1147</v>
      </c>
      <c r="G178" s="3" t="s">
        <v>2136</v>
      </c>
      <c r="H178" s="3" t="s">
        <v>2296</v>
      </c>
      <c r="I178" s="3" t="s">
        <v>1458</v>
      </c>
      <c r="J178" s="3" t="s">
        <v>1352</v>
      </c>
      <c r="K178" s="3" t="s">
        <v>1558</v>
      </c>
      <c r="L178" s="3" t="s">
        <v>4834</v>
      </c>
      <c r="M178" s="3" t="s">
        <v>3600</v>
      </c>
      <c r="N178" s="3" t="s">
        <v>1637</v>
      </c>
      <c r="O178" s="3" t="s">
        <v>3319</v>
      </c>
      <c r="P178" s="3" t="s">
        <v>1726</v>
      </c>
      <c r="Q178" s="3" t="s">
        <v>2472</v>
      </c>
      <c r="R178" s="3" t="s">
        <v>2614</v>
      </c>
      <c r="S178" s="3" t="s">
        <v>4846</v>
      </c>
      <c r="T178" s="3" t="s">
        <v>3670</v>
      </c>
      <c r="U178" s="3" t="s">
        <v>4996</v>
      </c>
      <c r="V178" s="3" t="s">
        <v>1822</v>
      </c>
      <c r="W178" s="3" t="s">
        <v>2902</v>
      </c>
      <c r="X178" s="44" t="s">
        <v>2951</v>
      </c>
      <c r="Y178" s="3" t="s">
        <v>1913</v>
      </c>
      <c r="Z178" s="3" t="s">
        <v>1913</v>
      </c>
      <c r="AA178" s="3" t="s">
        <v>1074</v>
      </c>
      <c r="AB178" s="3" t="s">
        <v>1074</v>
      </c>
      <c r="AC178" s="3" t="s">
        <v>2016</v>
      </c>
      <c r="AD178" s="3" t="s">
        <v>4399</v>
      </c>
      <c r="AE178" s="3" t="s">
        <v>4502</v>
      </c>
      <c r="AF178" s="3" t="s">
        <v>4162</v>
      </c>
      <c r="AG178" s="3" t="s">
        <v>2070</v>
      </c>
    </row>
    <row r="179" spans="1:33" s="2" customFormat="1" ht="30" x14ac:dyDescent="0.25">
      <c r="A179" s="17" t="s">
        <v>71</v>
      </c>
      <c r="B179" s="15" t="s">
        <v>382</v>
      </c>
      <c r="D179" s="2" t="s">
        <v>5173</v>
      </c>
      <c r="E179" s="2" t="s">
        <v>670</v>
      </c>
      <c r="F179" s="2" t="s">
        <v>4412</v>
      </c>
      <c r="G179" s="3" t="s">
        <v>4412</v>
      </c>
      <c r="I179" s="2" t="s">
        <v>521</v>
      </c>
      <c r="J179" s="2" t="s">
        <v>386</v>
      </c>
      <c r="K179" s="21" t="s">
        <v>466</v>
      </c>
      <c r="L179" s="2" t="s">
        <v>4865</v>
      </c>
      <c r="N179" s="2" t="s">
        <v>668</v>
      </c>
      <c r="P179" s="2" t="s">
        <v>664</v>
      </c>
      <c r="S179" s="2" t="s">
        <v>4411</v>
      </c>
      <c r="T179" s="2" t="s">
        <v>4410</v>
      </c>
      <c r="U179" s="2" t="s">
        <v>4997</v>
      </c>
      <c r="V179" s="2" t="s">
        <v>711</v>
      </c>
      <c r="X179" s="2" t="s">
        <v>4614</v>
      </c>
      <c r="Y179" s="2" t="s">
        <v>4223</v>
      </c>
      <c r="Z179" s="2" t="s">
        <v>595</v>
      </c>
      <c r="AA179" s="2" t="s">
        <v>3768</v>
      </c>
      <c r="AB179" s="2" t="s">
        <v>4238</v>
      </c>
      <c r="AC179" s="2" t="s">
        <v>369</v>
      </c>
      <c r="AD179" s="2" t="s">
        <v>4400</v>
      </c>
      <c r="AE179" s="2" t="s">
        <v>4414</v>
      </c>
      <c r="AG179" s="3" t="s">
        <v>482</v>
      </c>
    </row>
  </sheetData>
  <conditionalFormatting sqref="B1:B150 B162:B1048576">
    <cfRule type="duplicateValues" dxfId="3" priority="111"/>
  </conditionalFormatting>
  <conditionalFormatting sqref="B151:B161">
    <cfRule type="duplicateValues" dxfId="2" priority="2"/>
  </conditionalFormatting>
  <conditionalFormatting sqref="C1:BB179">
    <cfRule type="containsBlanks" dxfId="1" priority="1">
      <formula>LEN(TRIM(C1))=0</formula>
    </cfRule>
  </conditionalFormatting>
  <pageMargins left="0.7" right="0.7" top="0.75" bottom="0.75" header="0.3" footer="0.3"/>
  <pageSetup paperSize="9" orientation="portrait" horizontalDpi="1200" verticalDpi="1200" r:id="rId1"/>
  <headerFooter>
    <oddHeader>&amp;C&amp;"Calibri"&amp;12&amp;KEEDC00RMIT Classification: Trusted&amp;1#</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A5" sqref="A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8" width="38.28515625" customWidth="1"/>
    <col min="9" max="17" width="15" customWidth="1"/>
  </cols>
  <sheetData>
    <row r="1" spans="1:17" s="2" customFormat="1" ht="54" customHeight="1" x14ac:dyDescent="0.25">
      <c r="A1" s="47" t="s">
        <v>2149</v>
      </c>
      <c r="B1" s="47"/>
      <c r="C1" s="47"/>
      <c r="D1" s="47"/>
      <c r="E1" s="47"/>
      <c r="F1" s="47"/>
      <c r="G1" s="47"/>
      <c r="H1" s="47"/>
      <c r="I1" s="3"/>
      <c r="J1" s="3"/>
      <c r="K1" s="3"/>
      <c r="L1" s="3"/>
      <c r="M1" s="3"/>
      <c r="N1" s="3"/>
      <c r="O1" s="3"/>
      <c r="P1" s="3"/>
      <c r="Q1" s="3"/>
    </row>
    <row r="2" spans="1:17" ht="54" customHeight="1" x14ac:dyDescent="0.25">
      <c r="A2" s="48" t="s">
        <v>3321</v>
      </c>
      <c r="B2" s="48" t="s">
        <v>1030</v>
      </c>
      <c r="C2" s="48" t="s">
        <v>3099</v>
      </c>
      <c r="D2" s="48" t="s">
        <v>3102</v>
      </c>
      <c r="E2" s="48"/>
      <c r="F2" s="48" t="s">
        <v>4719</v>
      </c>
      <c r="G2" s="48" t="s">
        <v>3104</v>
      </c>
      <c r="H2" s="48" t="s">
        <v>4720</v>
      </c>
    </row>
    <row r="3" spans="1:17" ht="56.25" customHeight="1" x14ac:dyDescent="0.25">
      <c r="A3" s="49"/>
      <c r="B3" s="49"/>
      <c r="C3" s="49"/>
      <c r="D3" s="41" t="s">
        <v>3103</v>
      </c>
      <c r="E3" s="41" t="s">
        <v>3105</v>
      </c>
      <c r="F3" s="49"/>
      <c r="G3" s="49"/>
      <c r="H3" s="49"/>
    </row>
    <row r="4" spans="1:17" ht="15" customHeight="1" x14ac:dyDescent="0.25">
      <c r="A4" s="34"/>
      <c r="B4" s="36"/>
      <c r="C4" s="36"/>
      <c r="D4" s="35"/>
      <c r="E4" s="35"/>
      <c r="F4" s="36"/>
      <c r="G4" s="36"/>
      <c r="H4" s="36"/>
    </row>
    <row r="5" spans="1:17" x14ac:dyDescent="0.25">
      <c r="A5" s="28" t="s">
        <v>3092</v>
      </c>
      <c r="B5" s="28" t="s">
        <v>3097</v>
      </c>
      <c r="C5" s="28" t="s">
        <v>3098</v>
      </c>
      <c r="D5" s="37" t="s">
        <v>3092</v>
      </c>
      <c r="E5" s="37" t="s">
        <v>3125</v>
      </c>
      <c r="F5" s="31" t="s">
        <v>4611</v>
      </c>
      <c r="G5" s="29" t="s">
        <v>5172</v>
      </c>
      <c r="H5" s="29" t="s">
        <v>5173</v>
      </c>
    </row>
    <row r="6" spans="1:17" x14ac:dyDescent="0.25">
      <c r="A6" s="30" t="s">
        <v>211</v>
      </c>
      <c r="B6" s="31" t="s">
        <v>2150</v>
      </c>
      <c r="C6" s="31" t="s">
        <v>3096</v>
      </c>
      <c r="D6" s="38" t="s">
        <v>211</v>
      </c>
      <c r="E6" s="38" t="s">
        <v>366</v>
      </c>
      <c r="F6" s="31" t="s">
        <v>3353</v>
      </c>
      <c r="G6" s="32" t="s">
        <v>4004</v>
      </c>
      <c r="H6" s="32" t="s">
        <v>4004</v>
      </c>
    </row>
    <row r="7" spans="1:17" x14ac:dyDescent="0.25">
      <c r="A7" s="30" t="s">
        <v>381</v>
      </c>
      <c r="B7" s="31" t="s">
        <v>2150</v>
      </c>
      <c r="C7" s="31" t="s">
        <v>3096</v>
      </c>
      <c r="D7" s="38" t="s">
        <v>381</v>
      </c>
      <c r="E7" s="38" t="s">
        <v>617</v>
      </c>
      <c r="F7" s="31" t="s">
        <v>4005</v>
      </c>
      <c r="G7" s="32" t="s">
        <v>4412</v>
      </c>
      <c r="H7" s="32" t="s">
        <v>4412</v>
      </c>
    </row>
    <row r="8" spans="1:17" x14ac:dyDescent="0.25">
      <c r="A8" s="30" t="s">
        <v>171</v>
      </c>
      <c r="B8" s="31" t="s">
        <v>2150</v>
      </c>
      <c r="C8" s="31" t="s">
        <v>3096</v>
      </c>
      <c r="D8" s="38" t="s">
        <v>171</v>
      </c>
      <c r="E8" s="38" t="s">
        <v>616</v>
      </c>
      <c r="F8" s="31" t="s">
        <v>4006</v>
      </c>
      <c r="G8" s="32" t="s">
        <v>4412</v>
      </c>
      <c r="H8" s="32" t="s">
        <v>4412</v>
      </c>
    </row>
    <row r="9" spans="1:17" x14ac:dyDescent="0.25">
      <c r="A9" s="31" t="s">
        <v>2297</v>
      </c>
      <c r="B9" s="31" t="s">
        <v>3097</v>
      </c>
      <c r="C9" s="31" t="s">
        <v>3096</v>
      </c>
      <c r="D9" s="38" t="s">
        <v>2297</v>
      </c>
      <c r="E9" s="38" t="s">
        <v>3116</v>
      </c>
      <c r="F9" s="31" t="s">
        <v>3353</v>
      </c>
      <c r="G9" s="32"/>
      <c r="H9" s="32"/>
    </row>
    <row r="10" spans="1:17" x14ac:dyDescent="0.25">
      <c r="A10" s="30" t="s">
        <v>112</v>
      </c>
      <c r="B10" s="31" t="s">
        <v>2150</v>
      </c>
      <c r="C10" s="31" t="s">
        <v>3096</v>
      </c>
      <c r="D10" s="38" t="s">
        <v>112</v>
      </c>
      <c r="E10" s="38" t="s">
        <v>255</v>
      </c>
      <c r="F10" s="31" t="s">
        <v>3353</v>
      </c>
      <c r="G10" s="32"/>
      <c r="H10" s="32"/>
    </row>
    <row r="11" spans="1:17" x14ac:dyDescent="0.25">
      <c r="A11" s="30" t="s">
        <v>111</v>
      </c>
      <c r="B11" s="31" t="s">
        <v>2150</v>
      </c>
      <c r="C11" s="31" t="s">
        <v>3096</v>
      </c>
      <c r="D11" s="38" t="s">
        <v>111</v>
      </c>
      <c r="E11" s="38" t="s">
        <v>183</v>
      </c>
      <c r="F11" s="31" t="s">
        <v>3353</v>
      </c>
      <c r="G11" s="32"/>
      <c r="H11" s="32"/>
    </row>
    <row r="12" spans="1:17" x14ac:dyDescent="0.25">
      <c r="A12" s="30" t="s">
        <v>110</v>
      </c>
      <c r="B12" s="31" t="s">
        <v>2150</v>
      </c>
      <c r="C12" s="31" t="s">
        <v>3096</v>
      </c>
      <c r="D12" s="38" t="s">
        <v>110</v>
      </c>
      <c r="E12" s="38" t="s">
        <v>254</v>
      </c>
      <c r="F12" s="31" t="s">
        <v>3353</v>
      </c>
      <c r="G12" s="45" t="s">
        <v>466</v>
      </c>
      <c r="H12" s="45" t="s">
        <v>4618</v>
      </c>
    </row>
    <row r="13" spans="1:17" x14ac:dyDescent="0.25">
      <c r="A13" s="31" t="s">
        <v>2333</v>
      </c>
      <c r="B13" s="31" t="s">
        <v>3097</v>
      </c>
      <c r="C13" s="31" t="s">
        <v>3096</v>
      </c>
      <c r="D13" s="38" t="s">
        <v>2333</v>
      </c>
      <c r="E13" s="38" t="s">
        <v>3117</v>
      </c>
      <c r="F13" s="31" t="s">
        <v>3353</v>
      </c>
      <c r="G13" s="32"/>
      <c r="H13" s="32"/>
    </row>
    <row r="14" spans="1:17" x14ac:dyDescent="0.25">
      <c r="A14" s="31" t="s">
        <v>3601</v>
      </c>
      <c r="B14" s="31" t="s">
        <v>3097</v>
      </c>
      <c r="C14" s="31" t="s">
        <v>3096</v>
      </c>
      <c r="D14" s="38" t="s">
        <v>3601</v>
      </c>
      <c r="E14" s="38" t="s">
        <v>3602</v>
      </c>
      <c r="F14" s="31" t="s">
        <v>3353</v>
      </c>
      <c r="G14" s="32"/>
      <c r="H14" s="32"/>
    </row>
    <row r="15" spans="1:17" x14ac:dyDescent="0.25">
      <c r="A15" s="30" t="s">
        <v>109</v>
      </c>
      <c r="B15" s="31" t="s">
        <v>2150</v>
      </c>
      <c r="C15" s="31" t="s">
        <v>3096</v>
      </c>
      <c r="D15" s="38" t="s">
        <v>109</v>
      </c>
      <c r="E15" s="38" t="s">
        <v>608</v>
      </c>
      <c r="F15" s="31" t="s">
        <v>3353</v>
      </c>
      <c r="G15" s="32" t="s">
        <v>4718</v>
      </c>
      <c r="H15" s="32" t="s">
        <v>4718</v>
      </c>
    </row>
    <row r="16" spans="1:17" x14ac:dyDescent="0.25">
      <c r="A16" s="33" t="s">
        <v>3169</v>
      </c>
      <c r="B16" s="32" t="s">
        <v>3097</v>
      </c>
      <c r="C16" s="32" t="s">
        <v>3096</v>
      </c>
      <c r="D16" s="39" t="s">
        <v>3169</v>
      </c>
      <c r="E16" s="39" t="s">
        <v>3170</v>
      </c>
      <c r="F16" s="32" t="s">
        <v>3353</v>
      </c>
      <c r="G16" s="32"/>
      <c r="H16" s="32"/>
    </row>
    <row r="17" spans="1:8" x14ac:dyDescent="0.25">
      <c r="A17" s="30" t="s">
        <v>522</v>
      </c>
      <c r="B17" s="31" t="s">
        <v>2150</v>
      </c>
      <c r="C17" s="31" t="s">
        <v>3096</v>
      </c>
      <c r="D17" s="38" t="s">
        <v>522</v>
      </c>
      <c r="E17" s="38" t="s">
        <v>522</v>
      </c>
      <c r="F17" s="31" t="s">
        <v>3353</v>
      </c>
      <c r="G17" s="32"/>
      <c r="H17" s="32"/>
    </row>
    <row r="18" spans="1:8" x14ac:dyDescent="0.25">
      <c r="A18" s="31" t="s">
        <v>2473</v>
      </c>
      <c r="B18" s="31" t="s">
        <v>3097</v>
      </c>
      <c r="C18" s="31" t="s">
        <v>3096</v>
      </c>
      <c r="D18" s="38" t="s">
        <v>2473</v>
      </c>
      <c r="E18" s="38" t="s">
        <v>3118</v>
      </c>
      <c r="F18" s="31" t="s">
        <v>4007</v>
      </c>
      <c r="G18" s="32"/>
      <c r="H18" s="32"/>
    </row>
    <row r="19" spans="1:8" x14ac:dyDescent="0.25">
      <c r="A19" s="31" t="s">
        <v>2615</v>
      </c>
      <c r="B19" s="31" t="s">
        <v>3097</v>
      </c>
      <c r="C19" s="31" t="s">
        <v>3096</v>
      </c>
      <c r="D19" s="38" t="s">
        <v>2615</v>
      </c>
      <c r="E19" s="38" t="s">
        <v>3119</v>
      </c>
      <c r="F19" s="31" t="s">
        <v>3353</v>
      </c>
      <c r="G19" s="32"/>
      <c r="H19" s="32"/>
    </row>
    <row r="20" spans="1:8" x14ac:dyDescent="0.25">
      <c r="A20" s="31" t="s">
        <v>2680</v>
      </c>
      <c r="B20" s="31" t="s">
        <v>3097</v>
      </c>
      <c r="C20" s="31" t="s">
        <v>3096</v>
      </c>
      <c r="D20" s="38" t="s">
        <v>2680</v>
      </c>
      <c r="E20" s="38" t="s">
        <v>3120</v>
      </c>
      <c r="F20" s="31" t="s">
        <v>3353</v>
      </c>
      <c r="G20" s="32"/>
      <c r="H20" s="32"/>
    </row>
    <row r="21" spans="1:8" x14ac:dyDescent="0.25">
      <c r="A21" s="31" t="s">
        <v>2727</v>
      </c>
      <c r="B21" s="31" t="s">
        <v>3097</v>
      </c>
      <c r="C21" s="31" t="s">
        <v>3096</v>
      </c>
      <c r="D21" s="38" t="s">
        <v>2727</v>
      </c>
      <c r="E21" s="38" t="s">
        <v>3121</v>
      </c>
      <c r="F21" s="31" t="s">
        <v>4008</v>
      </c>
      <c r="G21" s="32" t="s">
        <v>4413</v>
      </c>
      <c r="H21" s="32" t="s">
        <v>4408</v>
      </c>
    </row>
    <row r="22" spans="1:8" x14ac:dyDescent="0.25">
      <c r="A22" s="31" t="s">
        <v>3093</v>
      </c>
      <c r="B22" s="31" t="s">
        <v>3097</v>
      </c>
      <c r="C22" s="31" t="s">
        <v>3096</v>
      </c>
      <c r="D22" s="38" t="s">
        <v>3093</v>
      </c>
      <c r="E22" s="38" t="s">
        <v>3122</v>
      </c>
      <c r="F22" s="31" t="s">
        <v>4009</v>
      </c>
      <c r="G22" s="32"/>
      <c r="H22" s="32"/>
    </row>
    <row r="23" spans="1:8" x14ac:dyDescent="0.25">
      <c r="A23" s="30" t="s">
        <v>108</v>
      </c>
      <c r="B23" s="31" t="s">
        <v>2150</v>
      </c>
      <c r="C23" s="31" t="s">
        <v>3096</v>
      </c>
      <c r="D23" s="38" t="s">
        <v>108</v>
      </c>
      <c r="E23" s="38" t="s">
        <v>108</v>
      </c>
      <c r="F23" s="31" t="s">
        <v>3353</v>
      </c>
      <c r="G23" s="32"/>
      <c r="H23" s="32"/>
    </row>
    <row r="24" spans="1:8" x14ac:dyDescent="0.25">
      <c r="A24" s="31" t="s">
        <v>3094</v>
      </c>
      <c r="B24" s="31" t="s">
        <v>3097</v>
      </c>
      <c r="C24" s="31" t="s">
        <v>3096</v>
      </c>
      <c r="D24" s="38" t="s">
        <v>3094</v>
      </c>
      <c r="E24" s="38" t="s">
        <v>3123</v>
      </c>
      <c r="F24" s="31" t="s">
        <v>4007</v>
      </c>
      <c r="G24" s="32"/>
      <c r="H24" s="32"/>
    </row>
    <row r="25" spans="1:8" x14ac:dyDescent="0.25">
      <c r="A25" s="31" t="s">
        <v>3095</v>
      </c>
      <c r="B25" s="31" t="s">
        <v>3097</v>
      </c>
      <c r="C25" s="31" t="s">
        <v>3098</v>
      </c>
      <c r="D25" s="38" t="s">
        <v>3095</v>
      </c>
      <c r="E25" s="38" t="s">
        <v>3124</v>
      </c>
      <c r="F25" s="31" t="s">
        <v>4611</v>
      </c>
      <c r="G25" s="31" t="s">
        <v>4614</v>
      </c>
      <c r="H25" s="31" t="s">
        <v>4614</v>
      </c>
    </row>
    <row r="26" spans="1:8" x14ac:dyDescent="0.25">
      <c r="A26" s="30" t="s">
        <v>73</v>
      </c>
      <c r="B26" s="31" t="s">
        <v>2150</v>
      </c>
      <c r="C26" s="31" t="s">
        <v>3096</v>
      </c>
      <c r="D26" s="38" t="s">
        <v>73</v>
      </c>
      <c r="E26" s="38" t="s">
        <v>724</v>
      </c>
      <c r="F26" s="31" t="s">
        <v>3353</v>
      </c>
      <c r="G26" s="32" t="s">
        <v>4223</v>
      </c>
      <c r="H26" s="32" t="s">
        <v>4223</v>
      </c>
    </row>
    <row r="27" spans="1:8" x14ac:dyDescent="0.25">
      <c r="A27" s="30" t="s">
        <v>74</v>
      </c>
      <c r="B27" s="31" t="s">
        <v>2150</v>
      </c>
      <c r="C27" s="31" t="s">
        <v>3096</v>
      </c>
      <c r="D27" s="38" t="s">
        <v>74</v>
      </c>
      <c r="E27" s="38" t="s">
        <v>3961</v>
      </c>
      <c r="F27" s="31" t="s">
        <v>3353</v>
      </c>
      <c r="G27" s="32" t="s">
        <v>595</v>
      </c>
      <c r="H27" s="32" t="s">
        <v>595</v>
      </c>
    </row>
    <row r="28" spans="1:8" x14ac:dyDescent="0.25">
      <c r="A28" s="30" t="s">
        <v>269</v>
      </c>
      <c r="B28" s="31" t="s">
        <v>2150</v>
      </c>
      <c r="C28" s="31" t="s">
        <v>3096</v>
      </c>
      <c r="D28" s="38" t="s">
        <v>269</v>
      </c>
      <c r="E28" s="38" t="s">
        <v>725</v>
      </c>
      <c r="F28" s="31" t="s">
        <v>3353</v>
      </c>
      <c r="G28" s="32" t="s">
        <v>3768</v>
      </c>
      <c r="H28" s="32" t="s">
        <v>3768</v>
      </c>
    </row>
    <row r="29" spans="1:8" x14ac:dyDescent="0.25">
      <c r="A29" s="30" t="s">
        <v>268</v>
      </c>
      <c r="B29" s="31" t="s">
        <v>2150</v>
      </c>
      <c r="C29" s="31" t="s">
        <v>3096</v>
      </c>
      <c r="D29" s="38" t="s">
        <v>268</v>
      </c>
      <c r="E29" s="38" t="s">
        <v>726</v>
      </c>
      <c r="F29" s="31" t="s">
        <v>3353</v>
      </c>
      <c r="G29" s="32" t="s">
        <v>4004</v>
      </c>
      <c r="H29" s="32" t="s">
        <v>4004</v>
      </c>
    </row>
    <row r="30" spans="1:8" x14ac:dyDescent="0.25">
      <c r="A30" s="30" t="s">
        <v>107</v>
      </c>
      <c r="B30" s="31" t="s">
        <v>2150</v>
      </c>
      <c r="C30" s="31" t="s">
        <v>3096</v>
      </c>
      <c r="D30" s="38" t="s">
        <v>107</v>
      </c>
      <c r="E30" s="38" t="s">
        <v>623</v>
      </c>
      <c r="F30" s="31" t="s">
        <v>4010</v>
      </c>
      <c r="G30" s="32"/>
      <c r="H30" s="32"/>
    </row>
    <row r="31" spans="1:8" x14ac:dyDescent="0.25">
      <c r="A31" s="30" t="s">
        <v>91</v>
      </c>
      <c r="B31" s="31" t="s">
        <v>2150</v>
      </c>
      <c r="C31" s="31" t="s">
        <v>3096</v>
      </c>
      <c r="D31" s="38" t="s">
        <v>91</v>
      </c>
      <c r="E31" s="38" t="s">
        <v>184</v>
      </c>
      <c r="F31" s="31" t="s">
        <v>4011</v>
      </c>
      <c r="G31" s="32"/>
      <c r="H31" s="32"/>
    </row>
    <row r="32" spans="1:8" x14ac:dyDescent="0.25">
      <c r="A32" s="30" t="s">
        <v>3388</v>
      </c>
      <c r="B32" s="31" t="s">
        <v>2150</v>
      </c>
      <c r="C32" s="31" t="s">
        <v>3096</v>
      </c>
      <c r="D32" s="38" t="s">
        <v>3388</v>
      </c>
      <c r="E32" s="38" t="s">
        <v>3389</v>
      </c>
      <c r="F32" s="31" t="s">
        <v>3353</v>
      </c>
      <c r="G32" s="32" t="s">
        <v>4415</v>
      </c>
      <c r="H32" s="32" t="s">
        <v>4414</v>
      </c>
    </row>
    <row r="33" spans="1:8" x14ac:dyDescent="0.25">
      <c r="A33" s="30" t="s">
        <v>4166</v>
      </c>
      <c r="B33" s="31" t="s">
        <v>3097</v>
      </c>
      <c r="C33" s="31" t="s">
        <v>3096</v>
      </c>
      <c r="D33" s="38" t="s">
        <v>4166</v>
      </c>
      <c r="E33" s="38" t="s">
        <v>4167</v>
      </c>
      <c r="F33" s="31" t="s">
        <v>3353</v>
      </c>
      <c r="G33" s="32"/>
      <c r="H33" s="32"/>
    </row>
    <row r="34" spans="1:8" x14ac:dyDescent="0.25">
      <c r="A34" s="30" t="s">
        <v>106</v>
      </c>
      <c r="B34" s="31" t="s">
        <v>2150</v>
      </c>
      <c r="C34" s="31" t="s">
        <v>3096</v>
      </c>
      <c r="D34" s="38" t="s">
        <v>106</v>
      </c>
      <c r="E34" s="38" t="s">
        <v>467</v>
      </c>
      <c r="F34" s="31" t="s">
        <v>3353</v>
      </c>
      <c r="G34" s="32" t="s">
        <v>482</v>
      </c>
      <c r="H34" s="32" t="s">
        <v>482</v>
      </c>
    </row>
    <row r="35" spans="1:8" x14ac:dyDescent="0.25">
      <c r="A35" s="33"/>
      <c r="B35" s="32"/>
      <c r="C35" s="32"/>
      <c r="D35" s="39"/>
      <c r="E35" s="39"/>
      <c r="F35" s="32"/>
      <c r="G35" s="32"/>
      <c r="H35" s="32"/>
    </row>
    <row r="36" spans="1:8" x14ac:dyDescent="0.25">
      <c r="A36" s="33"/>
      <c r="B36" s="32"/>
      <c r="C36" s="32"/>
      <c r="D36" s="39"/>
      <c r="E36" s="39"/>
      <c r="F36" s="32"/>
      <c r="G36" s="32"/>
      <c r="H36" s="32"/>
    </row>
    <row r="37" spans="1:8" x14ac:dyDescent="0.25">
      <c r="A37" s="33"/>
      <c r="B37" s="32"/>
      <c r="C37" s="32"/>
      <c r="D37" s="39"/>
      <c r="E37" s="39"/>
      <c r="F37" s="32"/>
      <c r="G37" s="32"/>
      <c r="H37" s="32"/>
    </row>
    <row r="38" spans="1:8" x14ac:dyDescent="0.25">
      <c r="A38" s="33"/>
      <c r="B38" s="32"/>
      <c r="C38" s="32"/>
      <c r="D38" s="39"/>
      <c r="E38" s="39"/>
      <c r="F38" s="32"/>
      <c r="G38" s="32"/>
      <c r="H38" s="32"/>
    </row>
    <row r="39" spans="1:8" x14ac:dyDescent="0.25">
      <c r="A39" s="33"/>
      <c r="B39" s="32"/>
      <c r="C39" s="32"/>
      <c r="D39" s="39"/>
      <c r="E39" s="39"/>
      <c r="F39" s="32"/>
      <c r="G39" s="32"/>
      <c r="H39" s="32"/>
    </row>
    <row r="40" spans="1:8" x14ac:dyDescent="0.25">
      <c r="A40" s="33"/>
      <c r="B40" s="32"/>
      <c r="C40" s="32"/>
      <c r="D40" s="39"/>
      <c r="E40" s="39"/>
      <c r="F40" s="32"/>
      <c r="G40" s="32"/>
      <c r="H40" s="32"/>
    </row>
    <row r="41" spans="1:8" x14ac:dyDescent="0.25">
      <c r="A41" s="33"/>
      <c r="B41" s="32"/>
      <c r="C41" s="32"/>
      <c r="D41" s="39"/>
      <c r="E41" s="39"/>
      <c r="F41" s="32"/>
      <c r="G41" s="32"/>
      <c r="H41" s="32"/>
    </row>
    <row r="42" spans="1:8" x14ac:dyDescent="0.25">
      <c r="A42" s="33"/>
      <c r="B42" s="32"/>
      <c r="C42" s="32"/>
      <c r="D42" s="39"/>
      <c r="E42" s="39"/>
      <c r="F42" s="32"/>
      <c r="G42" s="32"/>
      <c r="H42" s="32"/>
    </row>
    <row r="43" spans="1:8" x14ac:dyDescent="0.25">
      <c r="A43" s="33"/>
      <c r="B43" s="32"/>
      <c r="C43" s="32"/>
      <c r="D43" s="39"/>
      <c r="E43" s="39"/>
      <c r="F43" s="32"/>
      <c r="G43" s="32"/>
      <c r="H43" s="32"/>
    </row>
    <row r="44" spans="1:8" x14ac:dyDescent="0.25">
      <c r="A44" s="33"/>
      <c r="B44" s="32"/>
      <c r="C44" s="32"/>
      <c r="D44" s="39"/>
      <c r="E44" s="39"/>
      <c r="F44" s="32"/>
      <c r="G44" s="32"/>
      <c r="H44" s="32"/>
    </row>
    <row r="45" spans="1:8" x14ac:dyDescent="0.25">
      <c r="A45" s="33"/>
      <c r="B45" s="32"/>
      <c r="C45" s="32"/>
      <c r="D45" s="39"/>
      <c r="E45" s="39"/>
      <c r="F45" s="32"/>
      <c r="G45" s="32"/>
      <c r="H45" s="32"/>
    </row>
  </sheetData>
  <autoFilter ref="A4:H4" xr:uid="{0D419C82-A0F9-45B6-96E6-AFC6615E1430}">
    <sortState xmlns:xlrd2="http://schemas.microsoft.com/office/spreadsheetml/2017/richdata2" ref="A5:H31">
      <sortCondition ref="A4"/>
    </sortState>
  </autoFilter>
  <mergeCells count="8">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headerFooter>
    <oddHeader>&amp;C&amp;"Calibri"&amp;12&amp;KEEDC00RMIT Classification: Trusted&amp;1#</oddHeader>
  </headerFooter>
</worksheet>
</file>

<file path=docMetadata/LabelInfo.xml><?xml version="1.0" encoding="utf-8"?>
<clbl:labelList xmlns:clbl="http://schemas.microsoft.com/office/2020/mipLabelMetadata">
  <clbl:label id="{8c3d088b-6243-4963-a2e2-8b321ab7f8fc}" enabled="1" method="Standar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policy_spatial</vt:lpstr>
      <vt:lpstr>spatial</vt:lpstr>
      <vt:lpstr>policy</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2026-03-16T12:47:27Z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c3d088b-6243-4963-a2e2-8b321ab7f8fc_Enabled">
    <vt:lpwstr>true</vt:lpwstr>
  </property>
  <property fmtid="{D5CDD505-2E9C-101B-9397-08002B2CF9AE}" pid="3" name="MSIP_Label_8c3d088b-6243-4963-a2e2-8b321ab7f8fc_SetDate">
    <vt:lpwstr>2023-02-23T00:01:01Z</vt:lpwstr>
  </property>
  <property fmtid="{D5CDD505-2E9C-101B-9397-08002B2CF9AE}" pid="4" name="MSIP_Label_8c3d088b-6243-4963-a2e2-8b321ab7f8fc_Method">
    <vt:lpwstr>Standard</vt:lpwstr>
  </property>
  <property fmtid="{D5CDD505-2E9C-101B-9397-08002B2CF9AE}" pid="5" name="MSIP_Label_8c3d088b-6243-4963-a2e2-8b321ab7f8fc_Name">
    <vt:lpwstr>Trusted</vt:lpwstr>
  </property>
  <property fmtid="{D5CDD505-2E9C-101B-9397-08002B2CF9AE}" pid="6" name="MSIP_Label_8c3d088b-6243-4963-a2e2-8b321ab7f8fc_SiteId">
    <vt:lpwstr>d1323671-cdbe-4417-b4d4-bdb24b51316b</vt:lpwstr>
  </property>
  <property fmtid="{D5CDD505-2E9C-101B-9397-08002B2CF9AE}" pid="7" name="MSIP_Label_8c3d088b-6243-4963-a2e2-8b321ab7f8fc_ActionId">
    <vt:lpwstr>de35b631-1d58-4bbd-a02e-385d699b7cce</vt:lpwstr>
  </property>
  <property fmtid="{D5CDD505-2E9C-101B-9397-08002B2CF9AE}" pid="8" name="MSIP_Label_8c3d088b-6243-4963-a2e2-8b321ab7f8fc_ContentBits">
    <vt:lpwstr>1</vt:lpwstr>
  </property>
</Properties>
</file>