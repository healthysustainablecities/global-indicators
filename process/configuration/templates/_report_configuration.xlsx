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
    </mc:Choice>
  </mc:AlternateContent>
  <xr:revisionPtr revIDLastSave="241" documentId="13_ncr:1_{A1621D2C-8777-4FDD-92B5-C2095AA65C86}" xr6:coauthVersionLast="47" xr6:coauthVersionMax="47" xr10:uidLastSave="{9415759B-D176-4C2C-8CE6-DD8EEA7D9EAA}"/>
  <bookViews>
    <workbookView xWindow="28680" yWindow="-120" windowWidth="29040" windowHeight="15720" activeTab="4"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 l="1"/>
  <c r="G21" i="9"/>
  <c r="G21" i="11"/>
  <c r="G21" i="16"/>
  <c r="G21" i="15"/>
  <c r="G22" i="1"/>
  <c r="E23" i="1" s="1"/>
  <c r="G23" i="1" s="1"/>
  <c r="E24" i="1" s="1"/>
  <c r="G24" i="1" s="1"/>
  <c r="E25" i="1" s="1"/>
  <c r="G25" i="1" s="1"/>
  <c r="E26" i="1" s="1"/>
  <c r="G26" i="1" s="1"/>
  <c r="G22" i="9"/>
  <c r="E23" i="9" s="1"/>
  <c r="G23" i="9" s="1"/>
  <c r="E24" i="9" s="1"/>
  <c r="G24" i="9" s="1"/>
  <c r="E25" i="9" s="1"/>
  <c r="G25" i="9" s="1"/>
  <c r="E26" i="9" s="1"/>
  <c r="G26" i="9" s="1"/>
  <c r="G22" i="11"/>
  <c r="E23" i="11" s="1"/>
  <c r="G23" i="11" s="1"/>
  <c r="E24" i="11" s="1"/>
  <c r="G24" i="11" s="1"/>
  <c r="E25" i="11" s="1"/>
  <c r="G25" i="11" s="1"/>
  <c r="E26" i="11" s="1"/>
  <c r="G26" i="11" s="1"/>
  <c r="G22" i="16"/>
  <c r="E23" i="16" s="1"/>
  <c r="G23" i="16" s="1"/>
  <c r="E24" i="16" s="1"/>
  <c r="G24" i="16" s="1"/>
  <c r="E25" i="16" s="1"/>
  <c r="G25" i="16" s="1"/>
  <c r="E26" i="16" s="1"/>
  <c r="G26" i="16" s="1"/>
  <c r="G22" i="15"/>
  <c r="E23" i="15" s="1"/>
  <c r="G23" i="15" s="1"/>
  <c r="E24" i="15" s="1"/>
  <c r="G24" i="15" s="1"/>
  <c r="E25" i="15" s="1"/>
  <c r="G25" i="15" s="1"/>
  <c r="E26" i="15" s="1"/>
  <c r="G26" i="15" s="1"/>
  <c r="G130" i="15"/>
  <c r="E131" i="15"/>
  <c r="G131" i="15"/>
  <c r="G132" i="15"/>
  <c r="D133" i="15"/>
  <c r="E133" i="15"/>
  <c r="F133" i="15"/>
  <c r="G133" i="15"/>
  <c r="E134" i="15" s="1"/>
  <c r="G134" i="15" s="1"/>
  <c r="E135" i="15" s="1"/>
  <c r="D134" i="15"/>
  <c r="F134" i="15"/>
  <c r="F138" i="15" s="1"/>
  <c r="D135" i="15"/>
  <c r="D138" i="15" s="1"/>
  <c r="P135" i="15"/>
  <c r="P136" i="15"/>
  <c r="P137" i="15"/>
  <c r="G127" i="15"/>
  <c r="E127" i="15"/>
  <c r="G327" i="16"/>
  <c r="E328" i="16" s="1"/>
  <c r="G328" i="16" s="1"/>
  <c r="G326" i="16"/>
  <c r="G124" i="15"/>
  <c r="E125" i="15" s="1"/>
  <c r="G125" i="15" s="1"/>
  <c r="E123" i="15"/>
  <c r="G123" i="15" s="1"/>
  <c r="G126" i="15"/>
  <c r="E115" i="15"/>
  <c r="G115" i="15" s="1"/>
  <c r="G329" i="16"/>
  <c r="E330" i="16" s="1"/>
  <c r="G330" i="16" s="1"/>
  <c r="G304" i="16"/>
  <c r="G301" i="16"/>
  <c r="G118" i="15"/>
  <c r="G116" i="15"/>
  <c r="E117" i="15" s="1"/>
  <c r="G117" i="15" s="1"/>
  <c r="G302" i="16"/>
  <c r="E303" i="16" s="1"/>
  <c r="G303" i="16" s="1"/>
  <c r="G121" i="15"/>
  <c r="E122" i="15" s="1"/>
  <c r="G122" i="15" s="1"/>
  <c r="G113" i="15"/>
  <c r="E114" i="15" s="1"/>
  <c r="G114" i="15" s="1"/>
  <c r="G331" i="16"/>
  <c r="E332" i="16" s="1"/>
  <c r="G332" i="16" s="1"/>
  <c r="G305" i="16"/>
  <c r="E306" i="16" s="1"/>
  <c r="G306"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<sst xmlns="http://schemas.openxmlformats.org/spreadsheetml/2006/main" count="13823" uniqueCount="5701">
  <si>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</si>
  <si>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</si>
  <si>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</si>
  <si>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</si>
  <si>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</si>
  <si>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</si>
  <si>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</si>
  <si>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</si>
  <si>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</si>
  <si>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</si>
  <si>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</si>
  <si>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</si>
  <si>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</si>
  <si>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</si>
  <si>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</si>
  <si>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</si>
  <si>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</si>
  <si>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</si>
  <si>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</si>
  <si>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</si>
  <si>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</si>
  <si>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</si>
  <si>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</si>
  <si>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</si>
  <si>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</si>
  <si>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</si>
  <si>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</si>
  <si>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</si>
  <si>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</si>
  <si>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</si>
  <si>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</si>
  <si>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</si>
  <si>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</si>
  <si>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</si>
  <si>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</si>
  <si>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</si>
  <si>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</si>
  <si>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</si>
  <si>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</si>
  <si>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</si>
  <si>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</si>
  <si>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</si>
  <si>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</si>
  <si>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</si>
  <si>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</si>
  <si>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</si>
  <si>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</si>
  <si>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</si>
  <si>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</si>
  <si>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</si>
  <si>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</si>
  <si>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</si>
  <si>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</si>
  <si>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</si>
  <si>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</si>
  <si>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</si>
  <si>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</si>
  <si>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</si>
  <si>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</si>
  <si>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</si>
  <si>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</si>
  <si>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</si>
  <si>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</si>
  <si>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</si>
  <si>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</si>
  <si>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</si>
  <si>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</si>
  <si>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</si>
  <si>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</si>
  <si>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</si>
  <si>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</si>
  <si>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</si>
  <si>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</si>
  <si>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</si>
  <si>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</si>
  <si>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</si>
  <si>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</si>
  <si>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</si>
  <si>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</si>
  <si>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</si>
  <si>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</si>
  <si>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</si>
  <si>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</si>
  <si>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</si>
  <si>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</si>
  <si>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</si>
  <si>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</si>
  <si>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</si>
  <si>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</si>
  <si>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</si>
  <si>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</si>
  <si>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</si>
  <si>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</si>
  <si>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</si>
  <si>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</si>
  <si>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</si>
  <si>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</si>
  <si>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</si>
  <si>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</si>
  <si>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</si>
  <si>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</si>
  <si>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</si>
  <si>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</si>
  <si>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</si>
  <si>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</si>
  <si>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</si>
  <si>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</si>
  <si>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</si>
  <si>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</si>
  <si>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</si>
  <si>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</si>
  <si>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</si>
  <si>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</si>
  <si>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</si>
  <si>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</si>
  <si>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</si>
  <si>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</si>
  <si>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</si>
  <si>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</si>
  <si>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</si>
  <si>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</si>
  <si>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</si>
  <si>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</si>
  <si>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</si>
  <si>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</si>
  <si>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</si>
  <si>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</si>
  <si>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</si>
  <si>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</si>
  <si>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</si>
  <si>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</si>
  <si>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</si>
  <si>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</si>
  <si>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</si>
  <si>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</si>
  <si>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</si>
  <si>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</si>
  <si>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</si>
  <si>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</si>
  <si>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</si>
  <si>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</si>
  <si>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</si>
  <si>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</si>
  <si>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</si>
  <si>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</si>
  <si>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</si>
  <si>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</si>
  <si>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</si>
  <si>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</si>
  <si>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</si>
  <si>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</si>
  <si>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</si>
  <si>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</si>
  <si>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</si>
  <si>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</si>
  <si>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</si>
  <si>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</si>
  <si>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</si>
  <si>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</si>
  <si>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</si>
  <si>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</si>
  <si>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</si>
  <si>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</si>
  <si>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</si>
  <si>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</si>
  <si>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</si>
  <si>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</si>
  <si>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</si>
  <si>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</si>
  <si>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</si>
  <si>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</si>
  <si>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</si>
  <si>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</si>
  <si>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</si>
  <si>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</si>
  <si>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</si>
  <si>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</si>
  <si>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</si>
  <si>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</si>
  <si>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</si>
  <si>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</si>
  <si>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</si>
  <si>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</si>
  <si>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</si>
  <si>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</si>
  <si>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</si>
  <si>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</si>
  <si>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</si>
  <si>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</si>
  <si>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</si>
  <si>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</si>
  <si>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</si>
  <si>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</si>
  <si>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</si>
  <si>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</si>
  <si>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</si>
  <si>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</si>
  <si>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</si>
  <si>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</si>
  <si>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</si>
  <si>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</si>
  <si>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</si>
  <si>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</si>
  <si>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</si>
  <si>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</si>
  <si>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</si>
  <si>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</si>
  <si>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</si>
  <si>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</si>
  <si>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</si>
  <si>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</si>
  <si>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</si>
  <si>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</si>
  <si>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</si>
  <si>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</si>
  <si>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</si>
  <si>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</si>
  <si>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</si>
  <si>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</si>
  <si>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</si>
  <si>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</si>
  <si>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</si>
  <si>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</si>
  <si>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</si>
  <si>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</si>
  <si>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</si>
  <si>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</si>
  <si>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</si>
  <si>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</si>
  <si>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</si>
  <si>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</si>
  <si>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</si>
  <si>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</si>
  <si>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</si>
  <si>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</si>
  <si>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</si>
  <si>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</si>
  <si>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</si>
  <si>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</si>
  <si>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</si>
  <si>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</si>
  <si>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</si>
  <si>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</si>
  <si>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</si>
  <si>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</si>
  <si>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</si>
  <si>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</si>
  <si>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</si>
  <si>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</si>
  <si>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</si>
  <si>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</si>
  <si>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</si>
  <si>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</si>
  <si>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</si>
  <si>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</si>
  <si>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</si>
  <si>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</si>
  <si>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</si>
  <si>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</si>
  <si>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</si>
  <si>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</si>
  <si>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</si>
  <si>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</si>
  <si>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</si>
  <si>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</si>
  <si>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</si>
  <si>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</si>
  <si>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</si>
  <si>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</si>
  <si>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</si>
  <si>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</si>
  <si>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</si>
  <si>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</si>
  <si>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</si>
  <si>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</si>
  <si>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</si>
  <si>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</si>
  <si>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</si>
  <si>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</si>
  <si>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</si>
  <si>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</si>
  <si>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</si>
  <si>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</si>
  <si>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</si>
  <si>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</si>
  <si>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</si>
  <si>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</si>
  <si>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</si>
  <si>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</si>
  <si>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</si>
  <si>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</si>
  <si>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</si>
  <si>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</si>
  <si>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</si>
  <si>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</si>
  <si>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</si>
  <si>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</si>
  <si>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</si>
  <si>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</si>
  <si>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</si>
  <si>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</si>
  <si>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</si>
  <si>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</si>
  <si>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</si>
  <si>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</si>
  <si>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</si>
  <si>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</si>
  <si>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</si>
  <si>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</si>
  <si>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</si>
  <si>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</si>
  <si>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</si>
  <si>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</si>
  <si>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</si>
  <si>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</si>
  <si>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</si>
  <si>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</si>
  <si>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</si>
  <si>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</si>
  <si>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</si>
  <si>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</si>
  <si>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</si>
  <si>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</si>
  <si>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</si>
  <si>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</si>
  <si>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</si>
  <si>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</si>
  <si>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</si>
  <si>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</si>
  <si>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</si>
  <si>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</si>
  <si>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</si>
  <si>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</si>
  <si>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</si>
  <si>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</si>
  <si>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</si>
  <si>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</si>
  <si>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</si>
  <si>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</si>
  <si>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</si>
  <si>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</si>
  <si>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</si>
  <si>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</si>
  <si>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</si>
  <si>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</si>
  <si>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</si>
  <si>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</si>
  <si>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</si>
  <si>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</si>
  <si>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</si>
  <si>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</si>
  <si>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</si>
  <si>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</si>
  <si>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</si>
  <si>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</si>
  <si>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</si>
  <si>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</si>
  <si>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</si>
  <si>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</si>
  <si>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</si>
  <si>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</si>
  <si>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</si>
  <si>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</si>
  <si>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</si>
  <si>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</si>
  <si>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</si>
  <si>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</si>
  <si>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</si>
  <si>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</si>
  <si>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</si>
  <si>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</si>
  <si>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</si>
  <si>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</si>
  <si>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</si>
  <si>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</si>
  <si>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</si>
  <si>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</si>
  <si>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</si>
  <si>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</si>
  <si>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</si>
  <si>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</si>
  <si>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</si>
  <si>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</si>
  <si>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</si>
  <si>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</si>
  <si>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</si>
  <si>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</si>
  <si>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</si>
  <si>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</si>
  <si>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</si>
  <si>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</si>
  <si>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</si>
  <si>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</si>
  <si>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</si>
  <si>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</si>
  <si>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</si>
  <si>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</si>
  <si>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</si>
  <si>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</si>
  <si>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</si>
  <si>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</si>
  <si>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</si>
  <si>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</si>
  <si>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</si>
  <si>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</si>
  <si>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</si>
  <si>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</si>
  <si>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</si>
  <si>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</si>
  <si>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</si>
  <si>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</si>
  <si>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</si>
  <si>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</si>
  <si>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</si>
  <si>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</si>
  <si>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</si>
  <si>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</si>
  <si>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</si>
  <si>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</si>
  <si>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</si>
  <si>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</si>
  <si>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</si>
  <si>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</si>
  <si>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</si>
  <si>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</si>
  <si>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</si>
  <si>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</si>
  <si>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</si>
  <si>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</si>
  <si>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</si>
  <si>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</si>
  <si>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</si>
  <si>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</si>
  <si>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</si>
  <si>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</si>
  <si>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</si>
  <si>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</si>
  <si>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</si>
  <si>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</si>
  <si>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</si>
  <si>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</si>
  <si>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</si>
  <si>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</si>
  <si>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</si>
  <si>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</si>
  <si>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</si>
  <si>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</si>
  <si>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</si>
  <si>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</si>
  <si>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</si>
  <si>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</si>
  <si>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</si>
  <si>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</si>
  <si>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</si>
  <si>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</si>
  <si>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</si>
  <si>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</si>
  <si>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</si>
  <si>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</si>
  <si>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</si>
  <si>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</si>
  <si>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</si>
  <si>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</si>
  <si>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</si>
  <si>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</si>
  <si>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</si>
  <si>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</si>
  <si>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</si>
  <si>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</si>
  <si>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</si>
  <si>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</si>
  <si>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</si>
  <si>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</si>
  <si>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</si>
  <si>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</si>
  <si>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</si>
  <si>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</si>
  <si>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</si>
  <si>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</si>
  <si>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</si>
  <si>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</si>
  <si>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</si>
  <si>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</si>
  <si>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</si>
  <si>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</si>
  <si>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</si>
  <si>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</si>
  <si>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</si>
  <si>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</si>
  <si>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</si>
  <si>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</si>
  <si>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</si>
  <si>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</si>
  <si>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</si>
  <si>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</si>
  <si>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</si>
  <si>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</si>
  <si>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</si>
  <si>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</si>
  <si>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</si>
  <si>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</si>
  <si>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</si>
  <si>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</si>
  <si>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</si>
  <si>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</si>
  <si>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</si>
  <si>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</si>
  <si>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</si>
  <si>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</si>
  <si>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</si>
  <si>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</si>
  <si>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</si>
  <si>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</si>
  <si>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</si>
  <si>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</si>
  <si>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</si>
  <si>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</si>
  <si>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</si>
  <si>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</si>
  <si>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</si>
  <si>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</si>
  <si>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</si>
  <si>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</si>
  <si>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</si>
  <si>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</si>
  <si>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</si>
  <si>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</si>
  <si>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</si>
  <si>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</si>
  <si>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</si>
  <si>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</si>
  <si>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</si>
  <si>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</si>
  <si>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</si>
  <si>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</si>
  <si>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</si>
  <si>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</si>
  <si>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</si>
  <si>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</si>
  <si>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</si>
  <si>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</si>
  <si>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</si>
  <si>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</si>
  <si>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</si>
  <si>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</si>
  <si>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</si>
  <si>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</si>
  <si>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</si>
  <si>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</si>
  <si>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</si>
  <si>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</si>
  <si>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</si>
  <si>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</si>
  <si>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</si>
  <si>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</si>
  <si>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</si>
  <si>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</si>
  <si>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</si>
  <si>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</si>
  <si>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</si>
  <si>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</si>
  <si>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</si>
  <si>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</si>
  <si>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</si>
  <si>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</si>
  <si>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</si>
  <si>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</si>
  <si>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</si>
  <si>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</si>
  <si>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</si>
  <si>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</si>
  <si>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</si>
  <si>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</si>
  <si>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</si>
  <si>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</si>
  <si>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</si>
  <si>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</si>
  <si>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</si>
  <si>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</si>
  <si>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</si>
  <si>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</si>
  <si>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</si>
  <si>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</si>
  <si>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</si>
  <si>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</si>
  <si>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</si>
  <si>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</si>
  <si>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</si>
  <si>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</si>
  <si>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</si>
  <si>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</si>
  <si>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</si>
  <si>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</si>
  <si>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</si>
  <si>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</si>
  <si>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</si>
  <si>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</si>
  <si>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</si>
  <si>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</si>
  <si>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</si>
  <si>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</si>
  <si>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</si>
  <si>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</si>
  <si>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</si>
  <si>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</si>
  <si>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</si>
  <si>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</si>
  <si>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</si>
  <si>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</si>
  <si>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</si>
  <si>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</si>
  <si>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</si>
  <si>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</si>
  <si>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</si>
  <si>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</si>
  <si>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</si>
  <si>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</si>
  <si>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</si>
  <si>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</si>
  <si>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</si>
  <si>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</si>
  <si>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</si>
  <si>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</si>
  <si>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</si>
  <si>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</si>
  <si>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</si>
  <si>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</si>
  <si>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</si>
  <si>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</si>
  <si>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</si>
  <si>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</si>
  <si>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</si>
  <si>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</si>
  <si>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</si>
  <si>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</si>
  <si>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</si>
  <si>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</si>
  <si>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</si>
  <si>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</si>
  <si>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</si>
  <si>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</si>
  <si>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</si>
  <si>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</si>
  <si>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</si>
  <si>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</si>
  <si>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</si>
  <si>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</si>
  <si>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</si>
  <si>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</si>
  <si>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</si>
  <si>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</si>
  <si>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</si>
  <si>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</si>
  <si>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</si>
  <si>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</si>
  <si>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</si>
  <si>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</si>
  <si>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</si>
  <si>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</si>
  <si>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</si>
  <si>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</si>
  <si>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</si>
  <si>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</si>
  <si>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</si>
  <si>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</si>
  <si>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</si>
  <si>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</si>
  <si>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</si>
  <si>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</si>
  <si>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</si>
  <si>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</si>
  <si>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</si>
  <si>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</si>
  <si>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</si>
  <si>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</si>
  <si>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</si>
  <si>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</si>
  <si>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</si>
  <si>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</si>
  <si>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</si>
  <si>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</si>
  <si>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</si>
  <si>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</si>
  <si>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</si>
  <si>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</si>
  <si>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</si>
  <si>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</si>
  <si>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</si>
  <si>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</si>
  <si>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</si>
  <si>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</si>
  <si>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</si>
  <si>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</si>
  <si>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</si>
  <si>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</si>
  <si>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</si>
  <si>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</si>
  <si>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</si>
  <si>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</si>
  <si>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</si>
  <si>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</si>
  <si>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</si>
  <si>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</si>
  <si>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</si>
  <si>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</si>
  <si>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</si>
  <si>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</si>
  <si>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</si>
  <si>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</si>
  <si>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</si>
  <si>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</si>
  <si>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</si>
  <si>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</si>
  <si>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</si>
  <si>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</si>
  <si>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</si>
  <si>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</si>
  <si>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</si>
  <si>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</si>
  <si>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</si>
  <si>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</si>
  <si>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</si>
  <si>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</si>
  <si>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</si>
  <si>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</si>
  <si>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</si>
  <si>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</si>
  <si>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</si>
  <si>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</si>
  <si>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</si>
  <si>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</si>
  <si>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</si>
  <si>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</si>
  <si>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</si>
  <si>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</si>
  <si>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</si>
  <si>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</si>
  <si>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</si>
  <si>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</si>
  <si>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</si>
  <si>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</si>
  <si>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</si>
  <si>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</si>
  <si>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</si>
  <si>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</si>
  <si>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</si>
  <si>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</si>
  <si>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</si>
  <si>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</si>
  <si>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</si>
  <si>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</si>
  <si>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</si>
  <si>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</si>
  <si>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</si>
  <si>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</si>
  <si>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</si>
  <si>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</si>
  <si>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</si>
  <si>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</si>
  <si>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</si>
  <si>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</si>
  <si>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</si>
  <si>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</si>
  <si>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</si>
  <si>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</si>
  <si>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</si>
  <si>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</si>
  <si>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</si>
  <si>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</si>
  <si>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</si>
  <si>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</si>
  <si>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</si>
  <si>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</si>
  <si>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</si>
  <si>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</si>
  <si>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</si>
  <si>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</si>
  <si>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</si>
  <si>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</si>
  <si>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</si>
  <si>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</si>
  <si>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</si>
  <si>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</si>
  <si>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</si>
  <si>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</si>
  <si>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</si>
  <si>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</si>
  <si>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</si>
  <si>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</si>
  <si>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</si>
  <si>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</si>
  <si>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</si>
  <si>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</si>
  <si>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</si>
  <si>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</si>
  <si>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</si>
  <si>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</si>
  <si>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</si>
  <si>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</si>
  <si>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</si>
  <si>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</si>
  <si>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</si>
  <si>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</si>
  <si>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</si>
  <si>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</si>
  <si>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</si>
  <si>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</si>
  <si>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</si>
  <si>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</si>
  <si>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</si>
  <si>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</si>
  <si>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</si>
  <si>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</si>
  <si>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</si>
  <si>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</si>
  <si>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</si>
  <si>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</si>
  <si>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</si>
  <si>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</si>
  <si>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</si>
  <si>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</si>
  <si>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</si>
  <si>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</si>
  <si>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</si>
  <si>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</si>
  <si>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</si>
  <si>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</si>
  <si>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</si>
  <si>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</si>
  <si>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</si>
  <si>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</si>
  <si>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</si>
  <si>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</si>
  <si>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</si>
  <si>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</si>
  <si>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</si>
  <si>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</si>
  <si>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</si>
  <si>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</si>
  <si>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</si>
  <si>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</si>
  <si>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</si>
  <si>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</si>
  <si>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</si>
  <si>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</si>
  <si>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</si>
  <si>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</si>
  <si>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</si>
  <si>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</si>
  <si>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</si>
  <si>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</si>
  <si>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</si>
  <si>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</si>
  <si>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</si>
  <si>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</si>
  <si>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</si>
  <si>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</si>
  <si>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</si>
  <si>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</si>
  <si>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</si>
  <si>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</si>
  <si>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</si>
  <si>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</si>
  <si>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</si>
  <si>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</si>
  <si>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</si>
  <si>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</si>
  <si>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</si>
  <si>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</si>
  <si>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</si>
  <si>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</si>
  <si>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</si>
  <si>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</si>
  <si>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</si>
  <si>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</si>
  <si>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</si>
  <si>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</si>
  <si>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</si>
  <si>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</si>
  <si>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</si>
  <si>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</si>
  <si>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</si>
  <si>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</si>
  <si>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</si>
  <si>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</si>
  <si>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</si>
  <si>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</si>
  <si>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</si>
  <si>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</si>
  <si>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</si>
  <si>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</si>
  <si>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</si>
  <si>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</si>
  <si>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</si>
  <si>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</si>
  <si>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</si>
  <si>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</si>
  <si>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</si>
  <si>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</si>
  <si>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</si>
  <si>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</si>
  <si>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</si>
  <si>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</si>
  <si>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</si>
  <si>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</si>
  <si>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</si>
  <si>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</si>
  <si>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</si>
  <si>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</si>
  <si>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</si>
  <si>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</si>
  <si>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</si>
  <si>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</si>
  <si>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</si>
  <si>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</si>
  <si>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</si>
  <si>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</si>
  <si>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</si>
  <si>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</si>
  <si>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</si>
  <si>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</si>
  <si>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</si>
  <si>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</si>
  <si>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</si>
  <si>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</si>
  <si>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</si>
  <si>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</si>
  <si>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</si>
  <si>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</si>
  <si>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</si>
  <si>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</si>
  <si>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</si>
  <si>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</si>
  <si>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</si>
  <si>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</si>
  <si>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</si>
  <si>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</si>
  <si>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</si>
  <si>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</si>
  <si>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</si>
  <si>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</si>
  <si>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</si>
  <si>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</si>
  <si>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</si>
  <si>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</si>
  <si>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</si>
  <si>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</si>
  <si>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</si>
  <si>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</si>
  <si>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</si>
  <si>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</si>
  <si>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</si>
  <si>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</si>
  <si>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</si>
  <si>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</si>
  <si>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</si>
  <si>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</si>
  <si>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</si>
  <si>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</si>
  <si>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</si>
  <si>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</si>
  <si>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</si>
  <si>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</si>
  <si>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</si>
  <si>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</si>
  <si>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</si>
  <si>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</si>
  <si>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</si>
  <si>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</si>
  <si>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</si>
  <si>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</si>
  <si>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</si>
  <si>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</si>
  <si>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</si>
  <si>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</si>
  <si>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</si>
  <si>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</si>
  <si>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</si>
  <si>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</si>
  <si>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</si>
  <si>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</si>
  <si>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</si>
  <si>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</si>
  <si>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</si>
  <si>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</si>
  <si>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</si>
  <si>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</si>
  <si>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</si>
  <si>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</si>
  <si>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</si>
  <si>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</si>
  <si>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</si>
  <si>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</si>
  <si>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</si>
  <si>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</si>
  <si>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</si>
  <si>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</si>
  <si>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</si>
  <si>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</si>
  <si>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</si>
  <si>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</si>
  <si>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</si>
  <si>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</si>
  <si>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</si>
  <si>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</si>
  <si>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</si>
  <si>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</si>
  <si>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</si>
  <si>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</si>
  <si>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</si>
  <si>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</si>
  <si>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</si>
  <si>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</si>
  <si>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</si>
  <si>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</si>
  <si>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</si>
  <si>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</si>
  <si>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</si>
  <si>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</si>
  <si>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</si>
  <si>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</si>
  <si>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</si>
  <si>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</si>
  <si>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</si>
  <si>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</si>
  <si>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</si>
  <si>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</si>
  <si>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</si>
  <si>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</si>
  <si>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</si>
  <si>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</si>
  <si>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</si>
  <si>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</si>
  <si>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</si>
  <si>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</si>
  <si>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</si>
  <si>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</si>
  <si>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</si>
  <si>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</si>
  <si>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</si>
  <si>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</si>
  <si>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</si>
  <si>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</si>
  <si>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</si>
  <si>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</si>
  <si>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</si>
  <si>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</si>
  <si>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</si>
  <si>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</si>
  <si>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</si>
  <si>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</si>
  <si>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</si>
  <si>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</si>
  <si>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</si>
  <si>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</si>
  <si>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</si>
  <si>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</si>
  <si>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</si>
  <si>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</si>
  <si>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</si>
  <si>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</si>
  <si>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</si>
  <si>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</si>
  <si>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</si>
  <si>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</si>
  <si>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</si>
  <si>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</si>
  <si>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</si>
  <si>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</si>
  <si>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</si>
  <si>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</si>
  <si>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</si>
  <si>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</si>
  <si>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</si>
  <si>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</si>
  <si>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</si>
  <si>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</si>
  <si>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</si>
  <si>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</si>
  <si>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</si>
  <si>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</si>
  <si>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</si>
  <si>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</si>
  <si>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</si>
  <si>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</si>
  <si>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</si>
  <si>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</si>
  <si>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</si>
  <si>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</si>
  <si>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</si>
  <si>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</si>
  <si>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</si>
  <si>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</si>
  <si>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</si>
  <si>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</si>
  <si>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</si>
  <si>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</si>
  <si>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</si>
  <si>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</si>
  <si>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</si>
  <si>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</si>
  <si>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</si>
  <si>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</si>
  <si>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</si>
  <si>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</si>
  <si>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</si>
  <si>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</si>
  <si>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</si>
  <si>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</si>
  <si>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</si>
  <si>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</si>
  <si>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</si>
  <si>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</si>
  <si>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</si>
  <si>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</si>
  <si>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</si>
  <si>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</si>
  <si>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</si>
  <si>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</si>
  <si>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</si>
  <si>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</si>
  <si>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</si>
  <si>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</si>
  <si>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</si>
  <si>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</si>
  <si>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</si>
  <si>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</si>
  <si>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</si>
  <si>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</si>
  <si>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</si>
  <si>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</si>
  <si>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</si>
  <si>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</si>
  <si>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</si>
  <si>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</si>
  <si>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</si>
  <si>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</si>
  <si>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</si>
  <si>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</si>
  <si>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</si>
  <si>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</si>
  <si>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</si>
  <si>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</si>
  <si>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</si>
  <si>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</si>
  <si>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</si>
  <si>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</si>
  <si>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</si>
  <si>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</si>
  <si>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</si>
  <si>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</si>
  <si>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</si>
  <si>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</si>
  <si>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</si>
  <si>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</si>
  <si>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</si>
  <si>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</si>
  <si>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</si>
  <si>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</si>
  <si>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</si>
  <si>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</si>
  <si>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</si>
  <si>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</si>
  <si>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</si>
  <si>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</si>
  <si>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</si>
  <si>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</si>
  <si>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</si>
  <si>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</si>
  <si>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</si>
  <si>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</si>
  <si>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</si>
  <si>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</si>
  <si>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</si>
  <si>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</si>
  <si>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</si>
  <si>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</si>
  <si>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</si>
  <si>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</si>
  <si>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</si>
  <si>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</si>
  <si>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</si>
  <si>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</si>
  <si>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</si>
  <si>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</si>
  <si>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</si>
  <si>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</si>
  <si>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</si>
  <si>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</si>
  <si>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</si>
  <si>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</si>
  <si>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</si>
  <si>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</si>
  <si>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</si>
  <si>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</si>
  <si>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</si>
  <si>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</si>
  <si>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</si>
  <si>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</si>
  <si>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</si>
  <si>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</si>
  <si>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</si>
  <si>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</si>
  <si>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</si>
  <si>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</si>
  <si>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</si>
  <si>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</si>
  <si>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</si>
  <si>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</si>
  <si>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</si>
  <si>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</si>
  <si>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</si>
  <si>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</si>
  <si>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</si>
  <si>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</si>
  <si>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</si>
  <si>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</si>
  <si>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</si>
  <si>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</si>
  <si>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</si>
  <si>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</si>
  <si>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</si>
  <si>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</si>
  <si>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</si>
  <si>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</si>
  <si>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</si>
  <si>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</si>
  <si>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</si>
  <si>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</si>
  <si>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</si>
  <si>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</si>
  <si>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</si>
  <si>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</si>
  <si>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</si>
  <si>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</si>
  <si>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</si>
  <si>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</si>
  <si>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</si>
  <si>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</si>
  <si>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</si>
  <si>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</si>
  <si>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</si>
  <si>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</si>
  <si>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</si>
  <si>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</si>
  <si>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</si>
  <si>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</si>
  <si>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</si>
  <si>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</si>
  <si>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</si>
  <si>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</si>
  <si>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</si>
  <si>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</si>
  <si>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</si>
  <si>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</si>
  <si>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</si>
  <si>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</si>
  <si>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</si>
  <si>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</si>
  <si>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</si>
  <si>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</si>
  <si>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</si>
  <si>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</si>
  <si>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</si>
  <si>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</si>
  <si>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</si>
  <si>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</si>
  <si>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</si>
  <si>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</si>
  <si>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</si>
  <si>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</si>
  <si>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</si>
  <si>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</si>
  <si>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</si>
  <si>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</si>
  <si>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</si>
  <si>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</si>
  <si>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</si>
  <si>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</si>
  <si>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</si>
  <si>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</si>
  <si>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</si>
  <si>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</si>
  <si>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</si>
  <si>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</si>
  <si>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</si>
  <si>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</si>
  <si>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</si>
  <si>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</si>
  <si>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</si>
  <si>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</si>
  <si>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</si>
  <si>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</si>
  <si>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</si>
  <si>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</si>
  <si>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</si>
  <si>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</si>
  <si>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</si>
  <si>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</si>
  <si>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</si>
  <si>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</si>
  <si>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</si>
  <si>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</si>
  <si>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</si>
  <si>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</si>
  <si>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</si>
  <si>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</si>
  <si>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</si>
  <si>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</si>
  <si>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</si>
  <si>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</si>
  <si>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</si>
  <si>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</si>
  <si>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</si>
  <si>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</si>
  <si>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</si>
  <si>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</si>
  <si>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</si>
  <si>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</si>
  <si>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</si>
  <si>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</si>
  <si>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</si>
  <si>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</si>
  <si>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</si>
  <si>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</si>
  <si>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</si>
  <si>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</si>
  <si>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</si>
  <si>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</si>
  <si>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</si>
  <si>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</si>
  <si>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</si>
  <si>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</si>
  <si>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</si>
  <si>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</si>
  <si>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</si>
  <si>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</si>
  <si>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</si>
  <si>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</si>
  <si>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</si>
  <si>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</si>
  <si>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</si>
  <si>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</si>
  <si>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</si>
  <si>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</si>
  <si>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</si>
  <si>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</si>
  <si>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</si>
  <si>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</si>
  <si>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</si>
  <si>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</si>
  <si>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</si>
  <si>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</si>
  <si>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</si>
  <si>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</si>
  <si>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</si>
  <si>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</si>
  <si>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</si>
  <si>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</si>
  <si>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</si>
  <si>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</si>
  <si>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</si>
  <si>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</si>
  <si>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</si>
  <si>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</si>
  <si>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</si>
  <si>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</si>
  <si>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</si>
  <si>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</si>
  <si>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</si>
  <si>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</si>
  <si>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</si>
  <si>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</si>
  <si>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</si>
  <si>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</si>
  <si>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</si>
  <si>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</si>
  <si>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</si>
  <si>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</si>
  <si>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</si>
  <si>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</si>
  <si>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</si>
  <si>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</si>
  <si>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</si>
  <si>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</si>
  <si>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</si>
  <si>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</si>
  <si>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</si>
  <si>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</si>
  <si>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</si>
  <si>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</si>
  <si>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</si>
  <si>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</si>
  <si>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</si>
  <si>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</si>
  <si>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</si>
  <si>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</si>
  <si>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</si>
  <si>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</si>
  <si>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</si>
  <si>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</si>
  <si>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</si>
  <si>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</si>
  <si>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</si>
  <si>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</si>
  <si>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</si>
  <si>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</si>
  <si>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</si>
  <si>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</si>
  <si>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</si>
  <si>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</si>
  <si>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</si>
  <si>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</si>
  <si>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</si>
  <si>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</si>
  <si>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</si>
  <si>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</si>
  <si>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</si>
  <si>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</si>
  <si>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</si>
  <si>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</si>
  <si>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</si>
  <si>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</si>
  <si>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</si>
  <si>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</si>
  <si>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</si>
  <si>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</si>
  <si>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</si>
  <si>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</si>
  <si>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</si>
  <si>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</si>
  <si>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</si>
  <si>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</si>
  <si>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</si>
  <si>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</si>
  <si>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</si>
  <si>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</si>
  <si>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</si>
  <si>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</si>
  <si>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</si>
  <si>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</si>
  <si>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</si>
  <si>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</si>
  <si>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</si>
  <si>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</si>
  <si>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</si>
  <si>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</si>
  <si>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</si>
  <si>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</si>
  <si>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</si>
  <si>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</si>
  <si>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</si>
  <si>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</si>
  <si>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</si>
  <si>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</si>
  <si>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</si>
  <si>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</si>
  <si>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</si>
  <si>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</si>
  <si>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</si>
  <si>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</si>
  <si>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</si>
  <si>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</si>
  <si>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</si>
  <si>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</si>
  <si>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</si>
  <si>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</si>
  <si>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</si>
  <si>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</si>
  <si>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</si>
  <si>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</si>
  <si>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</si>
  <si>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</si>
  <si>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</si>
  <si>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</si>
  <si>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</si>
  <si>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</si>
  <si>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</si>
  <si>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</si>
  <si>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</si>
  <si>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</si>
  <si>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</si>
  <si>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</si>
  <si>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</si>
  <si>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</si>
  <si>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</si>
  <si>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</si>
  <si>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</si>
  <si>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</si>
  <si>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</si>
  <si>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</si>
  <si>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</si>
  <si>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</si>
  <si>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</si>
  <si>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</si>
  <si>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</si>
  <si>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</si>
  <si>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</si>
  <si>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</si>
  <si>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</si>
  <si>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</si>
  <si>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</si>
  <si>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</si>
  <si>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</si>
  <si>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</si>
  <si>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</si>
  <si>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</si>
  <si>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</si>
  <si>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</si>
  <si>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</si>
  <si>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</si>
  <si>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</si>
  <si>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</si>
  <si>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</si>
  <si>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</si>
  <si>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</si>
  <si>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</si>
  <si>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</si>
  <si>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</si>
  <si>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</si>
  <si>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</si>
  <si>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</si>
  <si>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</si>
  <si>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</si>
  <si>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</si>
  <si>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</si>
  <si>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</si>
  <si>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</si>
  <si>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</si>
  <si>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</si>
  <si>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</si>
  <si>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</si>
  <si>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</si>
  <si>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</si>
  <si>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</si>
  <si>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</si>
  <si>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</si>
  <si>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</si>
  <si>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</si>
  <si>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</si>
  <si>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</si>
  <si>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</si>
  <si>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</si>
  <si>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</si>
  <si>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</si>
  <si>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</si>
  <si>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</si>
  <si>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</si>
  <si>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</si>
  <si>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</si>
  <si>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</si>
  <si>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</si>
  <si>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</si>
  <si>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</si>
  <si>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</si>
  <si>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</si>
  <si>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</si>
  <si>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</si>
  <si>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</si>
  <si>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</si>
  <si>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</si>
  <si>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</si>
  <si>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</si>
  <si>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</si>
  <si>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</si>
  <si>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</si>
  <si>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</si>
  <si>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</si>
  <si>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</si>
  <si>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</si>
  <si>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</si>
  <si>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</si>
  <si>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</si>
  <si>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</si>
  <si>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</si>
  <si>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</si>
  <si>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</si>
  <si>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</si>
  <si>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</si>
  <si>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</si>
  <si>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</si>
  <si>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</si>
  <si>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</si>
  <si>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</si>
  <si>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</si>
  <si>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</si>
  <si>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</si>
  <si>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</si>
  <si>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</si>
  <si>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</si>
  <si>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</si>
  <si>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</si>
  <si>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</si>
  <si>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</si>
  <si>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</si>
  <si>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</si>
  <si>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</si>
  <si>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</si>
  <si>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</si>
  <si>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</si>
  <si>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</si>
  <si>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</si>
  <si>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</si>
  <si>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</si>
  <si>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</si>
  <si>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</si>
  <si>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</si>
  <si>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</si>
  <si>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</si>
  <si>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</si>
  <si>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</si>
  <si>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</si>
  <si>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</si>
  <si>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</si>
  <si>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</si>
  <si>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</si>
  <si>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</si>
  <si>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</si>
  <si>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</si>
  <si>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</si>
  <si>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</si>
  <si>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</si>
  <si>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</si>
  <si>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</si>
  <si>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</si>
  <si>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</si>
  <si>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</si>
  <si>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</si>
  <si>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</si>
  <si>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</si>
  <si>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</si>
  <si>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</si>
  <si>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</si>
  <si>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</si>
  <si>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</si>
  <si>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</si>
  <si>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</si>
  <si>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</si>
  <si>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</si>
  <si>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</si>
  <si>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</si>
  <si>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</si>
  <si>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</si>
  <si>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</si>
  <si>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</si>
  <si>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</si>
  <si>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</si>
  <si>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</si>
  <si>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</si>
  <si>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</si>
  <si>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</si>
  <si>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</si>
  <si>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</si>
  <si>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</si>
  <si>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</si>
  <si>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</si>
  <si>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</si>
  <si>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</si>
  <si>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</si>
  <si>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</si>
  <si>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</si>
  <si>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</si>
  <si>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</si>
  <si>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</si>
  <si>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</si>
  <si>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</si>
  <si>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</si>
  <si>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</si>
  <si>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</si>
  <si>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</si>
  <si>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</si>
  <si>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</si>
  <si>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</si>
  <si>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</si>
  <si>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</si>
  <si>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</si>
  <si>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</si>
  <si>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</si>
  <si>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</si>
  <si>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</si>
  <si>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</si>
  <si>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</si>
  <si>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</si>
  <si>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</si>
  <si>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</si>
  <si>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</si>
  <si>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</si>
  <si>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</si>
  <si>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</si>
  <si>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</si>
  <si>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</si>
  <si>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</si>
  <si>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</si>
  <si>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</si>
  <si>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</si>
  <si>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</si>
  <si>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</si>
  <si>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</si>
  <si>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</si>
  <si>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</si>
  <si>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</si>
  <si>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</si>
  <si>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</si>
  <si>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</si>
  <si>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</si>
  <si>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</si>
  <si>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</si>
  <si>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</si>
  <si>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</si>
  <si>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</si>
  <si>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</si>
  <si>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</si>
  <si>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</si>
  <si>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</si>
  <si>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</si>
  <si>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</si>
  <si>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</si>
  <si>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</si>
  <si>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</si>
  <si>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</si>
  <si>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</si>
  <si>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</si>
  <si>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</si>
  <si>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</si>
  <si>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</si>
  <si>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</si>
  <si>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</si>
  <si>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</si>
  <si>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</si>
  <si>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</si>
  <si>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</si>
  <si>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</si>
  <si>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</si>
  <si>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</si>
  <si>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</si>
  <si>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</si>
  <si>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</si>
  <si>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</si>
  <si>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</si>
  <si>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</si>
  <si>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</si>
  <si>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</si>
  <si>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</si>
  <si>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</si>
  <si>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</si>
  <si>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</si>
  <si>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</si>
  <si>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</si>
  <si>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</si>
  <si>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</si>
  <si>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</si>
  <si>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</si>
  <si>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</si>
  <si>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</si>
  <si>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</si>
  <si>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</si>
  <si>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</si>
  <si>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</si>
  <si>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</si>
  <si>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</si>
  <si>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</si>
  <si>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</si>
  <si>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</si>
  <si>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</si>
  <si>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</si>
  <si>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</si>
  <si>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</si>
  <si>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</si>
  <si>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</si>
  <si>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</si>
  <si>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</si>
  <si>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</si>
  <si>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</si>
  <si>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</si>
  <si>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</si>
  <si>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</si>
  <si>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</si>
  <si>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</si>
  <si>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</si>
  <si>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</si>
  <si>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</si>
  <si>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</si>
  <si>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</si>
  <si>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</si>
  <si>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</si>
  <si>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</si>
  <si>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</si>
  <si>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</si>
  <si>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</si>
  <si>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</si>
  <si>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</si>
  <si>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</si>
  <si>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</si>
  <si>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</si>
  <si>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</si>
  <si>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</si>
  <si>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</si>
  <si>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</si>
  <si>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</si>
  <si>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</si>
  <si>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</si>
  <si>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</si>
  <si>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</si>
  <si>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</si>
  <si>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</si>
  <si>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</si>
  <si>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</si>
  <si>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</si>
  <si>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</si>
  <si>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</si>
  <si>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</si>
  <si>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</si>
  <si>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</si>
  <si>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</si>
  <si>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</si>
  <si>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</si>
  <si>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</si>
  <si>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</si>
  <si>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</si>
  <si>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</si>
  <si>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</si>
  <si>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</si>
  <si>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</si>
  <si>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</si>
  <si>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</si>
  <si>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</si>
  <si>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</si>
  <si>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</si>
  <si>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</si>
  <si>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</si>
  <si>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</si>
  <si>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</si>
  <si>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</si>
  <si>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</si>
  <si>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</si>
  <si>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</si>
  <si>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</si>
  <si>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</si>
  <si>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</si>
  <si>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</si>
  <si>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</si>
  <si>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</si>
  <si>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</si>
  <si>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</si>
  <si>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</si>
  <si>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</si>
  <si>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</si>
  <si>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</si>
  <si>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</si>
  <si>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</si>
  <si>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</si>
  <si>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</si>
  <si>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</si>
  <si>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</si>
  <si>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</si>
  <si>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</si>
  <si>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</si>
  <si>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</si>
  <si>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</si>
  <si>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</si>
  <si>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</si>
  <si>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</si>
  <si>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</si>
  <si>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</si>
  <si>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</si>
  <si>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</si>
  <si>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</si>
  <si>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</si>
  <si>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</si>
  <si>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</si>
  <si>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</si>
  <si>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</si>
  <si>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</si>
  <si>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</si>
  <si>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</si>
  <si>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</si>
  <si>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</si>
  <si>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</si>
  <si>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</si>
  <si>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</si>
  <si>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</si>
  <si>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</si>
  <si>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</si>
  <si>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</si>
  <si>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</si>
  <si>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</si>
  <si>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</si>
  <si>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</si>
  <si>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</si>
  <si>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</si>
  <si>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</si>
  <si>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</si>
  <si>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</si>
  <si>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</si>
  <si>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</si>
  <si>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</si>
  <si>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</si>
  <si>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</si>
  <si>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</si>
  <si>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</si>
  <si>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</si>
  <si>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</si>
  <si>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</si>
  <si>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</si>
  <si>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</si>
  <si>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</si>
  <si>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</si>
  <si>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</si>
  <si>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</si>
  <si>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</si>
  <si>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</si>
  <si>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</si>
  <si>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</si>
  <si>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</si>
  <si>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</si>
  <si>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</si>
  <si>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</si>
  <si>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</si>
  <si>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</si>
  <si>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</si>
  <si>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</si>
  <si>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</si>
  <si>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</si>
  <si>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</si>
  <si>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</si>
  <si>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</si>
  <si>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</si>
  <si>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</si>
  <si>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</si>
  <si>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</si>
  <si>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</si>
  <si>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</si>
  <si>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</si>
  <si>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</si>
  <si>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</si>
  <si>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</si>
  <si>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</si>
  <si>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</si>
  <si>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</si>
  <si>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</si>
  <si>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</si>
  <si>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</si>
  <si>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</si>
  <si>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</si>
  <si>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</si>
  <si>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</si>
  <si>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</si>
  <si>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</si>
  <si>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</si>
  <si>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</si>
  <si>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</si>
  <si>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</si>
  <si>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</si>
  <si>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</si>
  <si>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</si>
  <si>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</si>
  <si>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</si>
  <si>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</si>
  <si>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</si>
  <si>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</si>
  <si>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</si>
  <si>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</si>
  <si>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</si>
  <si>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</si>
  <si>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</si>
  <si>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</si>
  <si>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</si>
  <si>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</si>
  <si>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</si>
  <si>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</si>
  <si>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</si>
  <si>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</si>
  <si>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</si>
  <si>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</si>
  <si>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</si>
  <si>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</si>
  <si>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</si>
  <si>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</si>
  <si>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</si>
  <si>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</si>
  <si>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</si>
  <si>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</si>
  <si>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</si>
  <si>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</si>
  <si>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</si>
  <si>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</si>
  <si>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</si>
  <si>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</si>
  <si>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</si>
  <si>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</si>
  <si>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</si>
  <si>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</si>
  <si>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</si>
  <si>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</si>
  <si>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</si>
  <si>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</si>
  <si>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</si>
  <si>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</si>
  <si>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</si>
  <si>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</si>
  <si>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</si>
  <si>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</si>
  <si>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</si>
  <si>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</si>
  <si>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</si>
  <si>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</si>
  <si>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</si>
  <si>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</si>
  <si>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</si>
  <si>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</si>
  <si>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</si>
  <si>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</si>
  <si>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</si>
  <si>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</si>
  <si>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</si>
  <si>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</si>
  <si>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</si>
  <si>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</si>
  <si>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</si>
  <si>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</si>
  <si>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</si>
  <si>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</si>
  <si>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</si>
  <si>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</si>
  <si>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</si>
  <si>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</si>
  <si>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</si>
  <si>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</si>
  <si>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</si>
  <si>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</si>
  <si>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</si>
  <si>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</si>
  <si>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</si>
  <si>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</si>
  <si>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</si>
  <si>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</si>
  <si>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</si>
  <si>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</si>
  <si>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</si>
  <si>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</si>
  <si>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</si>
  <si>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</si>
  <si>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</si>
  <si>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</si>
  <si>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</si>
  <si>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</si>
  <si>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</si>
  <si>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</si>
  <si>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</si>
  <si>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</si>
  <si>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</si>
  <si>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</si>
  <si>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</si>
  <si>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</si>
  <si>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</si>
  <si>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</si>
  <si>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</si>
  <si>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</si>
  <si>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</si>
  <si>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</si>
  <si>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</si>
  <si>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</si>
  <si>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</si>
  <si>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</si>
  <si>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</si>
  <si>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</si>
  <si>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</si>
  <si>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</si>
  <si>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</si>
  <si>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</si>
  <si>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</si>
  <si>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</si>
  <si>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</si>
  <si>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</si>
  <si>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</si>
  <si>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</si>
  <si>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</si>
  <si>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</si>
  <si>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</si>
  <si>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</si>
  <si>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</si>
  <si>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</si>
  <si>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</si>
  <si>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</si>
  <si>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</si>
  <si>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</si>
  <si>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</si>
  <si>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</si>
  <si>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</si>
  <si>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</si>
  <si>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</si>
  <si>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</si>
  <si>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</si>
  <si>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</si>
  <si>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</si>
  <si>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</si>
  <si>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</si>
  <si>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</si>
  <si>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</si>
  <si>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</si>
  <si>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</si>
  <si>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</si>
  <si>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</si>
  <si>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</si>
  <si>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</si>
  <si>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</si>
  <si>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</si>
  <si>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</si>
  <si>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</si>
  <si>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</si>
  <si>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</si>
  <si>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</si>
  <si>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</si>
  <si>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</si>
  <si>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</si>
  <si>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</si>
  <si>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</si>
  <si>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</si>
  <si>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</si>
  <si>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</si>
  <si>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</si>
  <si>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</si>
  <si>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</si>
  <si>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</si>
  <si>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</si>
  <si>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</si>
  <si>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</si>
  <si>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</si>
  <si>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</si>
  <si>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</si>
  <si>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</si>
  <si>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</si>
  <si>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</si>
  <si>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</si>
  <si>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</si>
  <si>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</si>
  <si>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</si>
  <si>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</si>
  <si>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</si>
  <si>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</si>
  <si>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</si>
  <si>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</si>
  <si>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</si>
  <si>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</si>
  <si>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</si>
  <si>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</si>
  <si>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</si>
  <si>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</si>
  <si>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</si>
  <si>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</si>
  <si>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</si>
  <si>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</si>
  <si>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</si>
  <si>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</si>
  <si>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</si>
  <si>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</si>
  <si>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</si>
  <si>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</si>
  <si>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</si>
  <si>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</si>
  <si>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</si>
  <si>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</si>
  <si>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</si>
  <si>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</si>
  <si>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</si>
  <si>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</si>
  <si>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</si>
  <si>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</si>
  <si>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</si>
  <si>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</si>
  <si>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</si>
  <si>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</si>
  <si>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</si>
  <si>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</si>
  <si>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</si>
  <si>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</si>
  <si>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</si>
  <si>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</si>
  <si>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</si>
  <si>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</si>
  <si>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</si>
  <si>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</si>
  <si>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</si>
  <si>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</si>
  <si>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</si>
  <si>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</si>
  <si>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</si>
  <si>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</si>
  <si>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</si>
  <si>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</si>
  <si>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</si>
  <si>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</si>
  <si>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</si>
  <si>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</si>
  <si>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</si>
  <si>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</si>
  <si>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</si>
  <si>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</si>
  <si>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</si>
  <si>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</si>
  <si>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</si>
  <si>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</si>
  <si>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</si>
  <si>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</si>
  <si>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</si>
  <si>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</si>
  <si>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</si>
  <si>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</si>
  <si>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</si>
  <si>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</si>
  <si>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</si>
  <si>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</si>
  <si>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</si>
  <si>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</si>
  <si>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</si>
  <si>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</si>
  <si>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</si>
  <si>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</si>
  <si>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</si>
  <si>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</si>
  <si>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</si>
  <si>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</si>
  <si>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</si>
  <si>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</si>
  <si>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</si>
  <si>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</si>
  <si>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</si>
  <si>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</si>
  <si>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</si>
  <si>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</si>
  <si>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</si>
  <si>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</si>
  <si>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</si>
  <si>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</si>
  <si>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</si>
  <si>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</si>
  <si>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</si>
  <si>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</si>
  <si>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</si>
  <si>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</si>
  <si>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</si>
  <si>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</si>
  <si>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</si>
  <si>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</si>
  <si>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</si>
  <si>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</si>
  <si>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</si>
  <si>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</si>
  <si>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</si>
  <si>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</si>
  <si>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</si>
  <si>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</si>
  <si>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</si>
  <si>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</si>
  <si>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</si>
  <si>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</si>
  <si>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</si>
  <si>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</si>
  <si>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</si>
  <si>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</si>
  <si>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</si>
  <si>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</si>
  <si>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</si>
  <si>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</si>
  <si>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</si>
  <si>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</si>
  <si>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</si>
  <si>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</si>
  <si>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</si>
  <si>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</si>
  <si>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</si>
  <si>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</si>
  <si>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</si>
  <si>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</si>
  <si>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</si>
  <si>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</si>
  <si>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</si>
  <si>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</si>
  <si>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</si>
  <si>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</si>
  <si>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</si>
  <si>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</si>
  <si>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</si>
  <si>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</si>
  <si>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</si>
  <si>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</si>
  <si>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</si>
  <si>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</si>
  <si>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</si>
  <si>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</si>
  <si>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</si>
  <si>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</si>
  <si>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</si>
  <si>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</si>
  <si>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</si>
  <si>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</si>
  <si>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</si>
  <si>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</si>
  <si>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</si>
  <si>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</si>
  <si>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</si>
  <si>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</si>
  <si>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</si>
  <si>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</si>
  <si>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</si>
  <si>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</si>
  <si>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</si>
  <si>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</si>
  <si>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</si>
  <si>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</si>
  <si>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</si>
  <si>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</si>
  <si>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</si>
  <si>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</si>
  <si>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</si>
  <si>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</si>
  <si>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</si>
  <si>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</si>
  <si>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</si>
  <si>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</si>
  <si>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</si>
  <si>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</si>
  <si>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</si>
  <si>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</si>
  <si>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</si>
  <si>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</si>
  <si>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</si>
  <si>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</si>
  <si>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</si>
  <si>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</si>
  <si>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</si>
  <si>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</si>
  <si>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</si>
  <si>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</si>
  <si>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</si>
  <si>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</si>
  <si>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</si>
  <si>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</si>
  <si>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</si>
  <si>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</si>
  <si>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</si>
  <si>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</si>
  <si>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</si>
  <si>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</si>
  <si>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</si>
  <si>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</si>
  <si>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</si>
  <si>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</si>
  <si>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</si>
  <si>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</si>
  <si>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</si>
  <si>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</si>
  <si>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</si>
  <si>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</si>
  <si>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</si>
  <si>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</si>
  <si>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</si>
  <si>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</si>
  <si>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</si>
  <si>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</si>
  <si>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</si>
  <si>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</si>
  <si>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</si>
  <si>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</si>
  <si>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</si>
  <si>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</si>
  <si>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</si>
  <si>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</si>
  <si>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</si>
  <si>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</si>
  <si>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</si>
  <si>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</si>
  <si>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</si>
  <si>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</si>
  <si>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</si>
  <si>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</si>
  <si>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</si>
  <si>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</si>
  <si>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</si>
  <si>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</si>
  <si>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</si>
  <si>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</si>
  <si>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</si>
  <si>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</si>
  <si>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</si>
  <si>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</si>
  <si>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</si>
  <si>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</si>
  <si>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</si>
  <si>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</si>
  <si>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</si>
  <si>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</si>
  <si>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</si>
  <si>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</si>
  <si>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</si>
  <si>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</si>
  <si>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</si>
  <si>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</si>
  <si>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</si>
  <si>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</si>
  <si>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</si>
  <si>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</si>
  <si>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</si>
  <si>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</si>
  <si>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</si>
  <si>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</si>
  <si>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</si>
  <si>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</si>
  <si>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</si>
  <si>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</si>
  <si>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</si>
  <si>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</si>
  <si>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</si>
  <si>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</si>
  <si>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</si>
  <si>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</si>
  <si>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</si>
  <si>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</si>
  <si>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</si>
  <si>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</si>
  <si>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</si>
  <si>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</si>
  <si>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</si>
  <si>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</si>
  <si>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</si>
  <si>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</si>
  <si>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</si>
  <si>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</si>
  <si>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</si>
  <si>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</si>
  <si>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</si>
  <si>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</si>
  <si>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</si>
  <si>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</si>
  <si>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</si>
  <si>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</si>
  <si>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</si>
  <si>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</si>
  <si>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</si>
  <si>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</si>
  <si>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</si>
  <si>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</si>
  <si>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</si>
  <si>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</si>
  <si>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</si>
  <si>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</si>
  <si>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</si>
  <si>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</si>
  <si>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</si>
  <si>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</si>
  <si>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</si>
  <si>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</si>
  <si>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</si>
  <si>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</si>
  <si>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</si>
  <si>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</si>
  <si>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</si>
  <si>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</si>
  <si>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</si>
  <si>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</si>
  <si>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</si>
  <si>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</si>
  <si>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</si>
  <si>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</si>
  <si>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</si>
  <si>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</si>
  <si>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</si>
  <si>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</si>
  <si>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</si>
  <si>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</si>
  <si>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</si>
  <si>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</si>
  <si>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</si>
  <si>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</si>
  <si>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</si>
  <si>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</si>
  <si>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</si>
  <si>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</si>
  <si>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</si>
  <si>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</si>
  <si>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</si>
  <si>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</si>
  <si>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</si>
  <si>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</si>
  <si>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</si>
  <si>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</si>
  <si>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</si>
  <si>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</si>
  <si>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</si>
  <si>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</si>
  <si>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</si>
  <si>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</si>
  <si>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</si>
  <si>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</si>
  <si>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</si>
  <si>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</si>
  <si>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</si>
  <si>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</si>
  <si>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</si>
  <si>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</si>
  <si>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</si>
  <si>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</si>
  <si>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</si>
  <si>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</si>
  <si>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</si>
  <si>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</si>
  <si>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</si>
  <si>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</si>
  <si>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</si>
  <si>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</si>
  <si>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</si>
  <si>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</si>
  <si>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</si>
  <si>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</si>
  <si>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</si>
  <si>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</si>
  <si>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</si>
  <si>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</si>
  <si>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</si>
  <si>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</si>
  <si>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</si>
  <si>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</si>
  <si>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</si>
  <si>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</si>
  <si>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</si>
  <si>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</si>
  <si>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</si>
  <si>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</si>
  <si>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</si>
  <si>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</si>
  <si>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</si>
  <si>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</si>
  <si>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</si>
  <si>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</si>
  <si>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</si>
  <si>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</si>
  <si>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</si>
  <si>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</si>
  <si>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</si>
  <si>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</si>
  <si>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</si>
  <si>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</si>
  <si>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</si>
  <si>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</si>
  <si>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</si>
  <si>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</si>
  <si>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</si>
  <si>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</si>
  <si>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</si>
  <si>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</si>
  <si>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</si>
  <si>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</si>
  <si>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</si>
  <si>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</si>
  <si>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</si>
  <si>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</si>
  <si>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</si>
  <si>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</si>
  <si>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</si>
  <si>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</si>
  <si>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</si>
  <si>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</si>
  <si>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</si>
  <si>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</si>
  <si>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</si>
  <si>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</si>
  <si>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</si>
  <si>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</si>
  <si>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</si>
  <si>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</si>
  <si>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</si>
  <si>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</si>
  <si>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</si>
  <si>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</si>
  <si>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</si>
  <si>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</si>
  <si>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</si>
  <si>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</si>
  <si>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</si>
  <si>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</si>
  <si>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</si>
  <si>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</si>
  <si>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</si>
  <si>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</si>
  <si>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</si>
  <si>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</si>
  <si>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</si>
  <si>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</si>
  <si>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</si>
  <si>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</si>
  <si>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</si>
  <si>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</si>
  <si>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</si>
  <si>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</si>
  <si>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</si>
  <si>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</si>
  <si>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</si>
  <si>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</si>
  <si>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</si>
  <si>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</si>
  <si>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</si>
  <si>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</si>
  <si>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</si>
  <si>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</si>
  <si>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</si>
  <si>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</si>
  <si>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</si>
  <si>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</si>
  <si>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</si>
  <si>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</si>
  <si>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</si>
  <si>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</si>
  <si>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</si>
  <si>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</si>
  <si>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</si>
  <si>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</si>
  <si>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</si>
  <si>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</si>
  <si>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</si>
  <si>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</si>
  <si>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</si>
  <si>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</si>
  <si>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</si>
  <si>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</si>
  <si>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</si>
  <si>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</si>
  <si>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</si>
  <si>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</si>
  <si>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</si>
  <si>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</si>
  <si>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</si>
  <si>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</si>
  <si>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</si>
  <si>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</si>
  <si>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</si>
  <si>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</si>
  <si>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</si>
  <si>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</si>
  <si>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</si>
  <si>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</si>
  <si>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</si>
  <si>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</si>
  <si>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</si>
  <si>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</si>
  <si>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</si>
  <si>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</si>
  <si>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</si>
  <si>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</si>
  <si>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</si>
  <si>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</si>
  <si>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</si>
  <si>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</si>
  <si>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</si>
  <si>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</si>
  <si>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</si>
  <si>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</si>
  <si>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</si>
  <si>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</si>
  <si>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</si>
  <si>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</si>
  <si>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</si>
  <si>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</si>
  <si>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</si>
  <si>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</si>
  <si>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</si>
  <si>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</si>
  <si>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</si>
  <si>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</si>
  <si>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</si>
  <si>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</si>
  <si>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</si>
  <si>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</si>
  <si>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</si>
  <si>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</si>
  <si>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</si>
  <si>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</si>
  <si>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</si>
  <si>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</si>
  <si>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</si>
  <si>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</si>
  <si>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</si>
  <si>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</si>
  <si>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</si>
  <si>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</si>
  <si>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</si>
  <si>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</si>
  <si>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</si>
  <si>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</si>
  <si>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</si>
  <si>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</si>
  <si>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</si>
  <si>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</si>
  <si>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</si>
  <si>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</si>
  <si>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</si>
  <si>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</si>
  <si>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</si>
  <si>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</si>
  <si>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</si>
  <si>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</si>
  <si>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</si>
  <si>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</si>
  <si>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</si>
  <si>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</si>
  <si>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</si>
  <si>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</si>
  <si>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</si>
  <si>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</si>
  <si>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</si>
  <si>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</si>
  <si>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</si>
  <si>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</si>
  <si>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</si>
  <si>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</si>
  <si>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</si>
  <si>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</si>
  <si>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</si>
  <si>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</si>
  <si>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</si>
  <si>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</si>
  <si>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</si>
  <si>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</si>
  <si>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</si>
  <si>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</si>
  <si>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</si>
  <si>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</si>
  <si>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</si>
  <si>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</si>
  <si>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</si>
  <si>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</si>
  <si>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</si>
  <si>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</si>
  <si>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</si>
  <si>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</si>
  <si>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</si>
  <si>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</si>
  <si>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</si>
  <si>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</si>
  <si>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</si>
  <si>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</si>
  <si>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</si>
  <si>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</si>
  <si>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</si>
  <si>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</si>
  <si>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</si>
  <si>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</si>
  <si>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</si>
  <si>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</si>
  <si>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</si>
  <si>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</si>
  <si>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</si>
  <si>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</si>
  <si>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</si>
  <si>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</si>
  <si>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</si>
  <si>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</si>
  <si>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</si>
  <si>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</si>
  <si>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</si>
  <si>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</si>
  <si>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</si>
  <si>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</si>
  <si>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</si>
  <si>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</si>
  <si>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</si>
  <si>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</si>
  <si>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</si>
  <si>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</si>
  <si>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</si>
  <si>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</si>
  <si>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</si>
  <si>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</si>
  <si>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</si>
  <si>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</si>
  <si>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</si>
  <si>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</si>
  <si>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</si>
  <si>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</si>
  <si>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</si>
  <si>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</si>
  <si>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</si>
  <si>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</si>
  <si>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</si>
  <si>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</si>
  <si>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</si>
  <si>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</si>
  <si>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</si>
  <si>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</si>
  <si>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</si>
  <si>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</si>
  <si>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</si>
  <si>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</si>
  <si>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</si>
  <si>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</si>
  <si>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</si>
  <si>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</si>
  <si>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</si>
  <si>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</si>
  <si>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</si>
  <si>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</si>
  <si>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</si>
  <si>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</si>
  <si>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</si>
  <si>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</si>
  <si>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</si>
  <si>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</si>
  <si>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</si>
  <si>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</si>
  <si>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</si>
  <si>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</si>
  <si>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</si>
  <si>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</si>
  <si>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</si>
  <si>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</si>
  <si>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</si>
  <si>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</si>
  <si>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</si>
  <si>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</si>
  <si>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</si>
  <si>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</si>
  <si>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</si>
  <si>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</si>
  <si>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</si>
  <si>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</si>
  <si>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</si>
  <si>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</si>
  <si>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</si>
  <si>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</si>
  <si>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</si>
  <si>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</si>
  <si>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</si>
  <si>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</si>
  <si>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</si>
  <si>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</si>
  <si>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</si>
  <si>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</si>
  <si>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</si>
  <si>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</si>
  <si>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</si>
  <si>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</si>
  <si>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</si>
  <si>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</si>
  <si>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</si>
  <si>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</si>
  <si>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</si>
  <si>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</si>
  <si>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</si>
  <si>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</si>
  <si>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</si>
  <si>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</si>
  <si>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</si>
  <si>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</si>
  <si>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</si>
  <si>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</si>
  <si>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</si>
  <si>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</si>
  <si>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</si>
  <si>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</si>
  <si>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</si>
  <si>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</si>
  <si>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</si>
  <si>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</si>
  <si>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</si>
  <si>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</si>
  <si>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</si>
  <si>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</si>
  <si>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</si>
  <si>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</si>
  <si>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</si>
  <si>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</si>
  <si>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</si>
  <si>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</si>
  <si>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</si>
  <si>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</si>
  <si>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</si>
  <si>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</si>
  <si>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</si>
  <si>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</si>
  <si>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</si>
  <si>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</si>
  <si>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</si>
  <si>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</si>
  <si>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</si>
  <si>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</si>
  <si>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</si>
  <si>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</si>
  <si>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</si>
  <si>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</si>
  <si>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</si>
  <si>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</si>
  <si>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</si>
  <si>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</si>
  <si>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</si>
  <si>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</si>
  <si>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</si>
  <si>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</si>
  <si>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</si>
  <si>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</si>
  <si>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</si>
  <si>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</si>
  <si>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</si>
  <si>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</si>
  <si>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</si>
  <si>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</si>
  <si>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</si>
  <si>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</si>
  <si>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</si>
  <si>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</si>
  <si>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</si>
  <si>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</si>
  <si>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</si>
  <si>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</si>
  <si>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</si>
  <si>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</si>
  <si>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</si>
  <si>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</si>
  <si>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</si>
  <si>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</si>
  <si>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</si>
  <si>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</si>
  <si>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</si>
  <si>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</si>
  <si>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</si>
  <si>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</si>
  <si>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</si>
  <si>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</si>
  <si>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</si>
  <si>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</si>
  <si>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</si>
  <si>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</si>
  <si>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</si>
  <si>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</si>
  <si>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</si>
  <si>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</si>
  <si>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</si>
  <si>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</si>
  <si>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</si>
  <si>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</si>
  <si>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</si>
  <si>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</si>
  <si>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</si>
  <si>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</si>
  <si>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</si>
  <si>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</si>
  <si>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</si>
  <si>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</si>
  <si>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</si>
  <si>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</si>
  <si>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</si>
  <si>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</si>
  <si>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</si>
  <si>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</si>
  <si>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</si>
  <si>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</si>
  <si>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</si>
  <si>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</si>
  <si>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</si>
  <si>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</si>
  <si>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</si>
  <si>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</si>
  <si>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</si>
  <si>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</si>
  <si>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</si>
  <si>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</si>
  <si>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</si>
  <si>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</si>
  <si>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</si>
  <si>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</si>
  <si>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</si>
  <si>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</si>
  <si>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</si>
  <si>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</si>
  <si>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</si>
  <si>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</si>
  <si>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</si>
  <si>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</si>
  <si>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</si>
  <si>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</si>
  <si>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</si>
  <si>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</si>
  <si>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</si>
  <si>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</si>
  <si>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</si>
  <si>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</si>
  <si>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</si>
  <si>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</si>
  <si>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</si>
  <si>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</si>
  <si>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</si>
  <si>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</si>
  <si>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</si>
  <si>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</si>
  <si>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</si>
  <si>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</si>
  <si>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</si>
  <si>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</si>
  <si>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</si>
  <si>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</si>
  <si>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</si>
  <si>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</si>
  <si>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</si>
  <si>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</si>
  <si>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</si>
  <si>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</si>
  <si>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</si>
  <si>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</si>
  <si>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</si>
  <si>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</si>
  <si>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</si>
  <si>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</si>
  <si>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</si>
  <si>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</si>
  <si>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</si>
  <si>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</si>
  <si>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</si>
  <si>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</si>
  <si>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</si>
  <si>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</si>
  <si>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</si>
  <si>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</si>
  <si>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</si>
  <si>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</si>
  <si>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</si>
  <si>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</si>
  <si>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</si>
  <si>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</si>
  <si>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</si>
  <si>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</si>
  <si>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</si>
  <si>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</si>
  <si>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</si>
  <si>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</si>
  <si>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</si>
  <si>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</si>
  <si>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</si>
  <si>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</si>
  <si>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</si>
  <si>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</si>
  <si>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</si>
  <si>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</si>
  <si>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</si>
  <si>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</si>
  <si>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</si>
  <si>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</si>
  <si>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</si>
  <si>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</si>
  <si>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</si>
  <si>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</si>
  <si>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</si>
  <si>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</si>
  <si>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</si>
  <si>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</si>
  <si>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</si>
  <si>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</si>
  <si>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</si>
  <si>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</si>
  <si>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</si>
  <si>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</si>
  <si>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</si>
  <si>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</si>
  <si>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</si>
  <si>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</si>
  <si>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</si>
  <si>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</si>
  <si>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</si>
  <si>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</si>
  <si>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</si>
  <si>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</si>
  <si>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</si>
  <si>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</si>
  <si>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</si>
  <si>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</si>
  <si>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</si>
  <si>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</si>
  <si>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</si>
  <si>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</si>
  <si>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</si>
  <si>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</si>
  <si>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</si>
  <si>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</si>
  <si>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</si>
  <si>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</si>
  <si>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</si>
  <si>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</si>
  <si>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</si>
  <si>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</si>
  <si>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</si>
  <si>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</si>
  <si>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</si>
  <si>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</si>
  <si>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</si>
  <si>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</si>
  <si>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</si>
  <si>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</si>
  <si>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</si>
  <si>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</si>
  <si>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</si>
  <si>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</si>
  <si>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</si>
  <si>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</si>
  <si>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</si>
  <si>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</si>
  <si>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</si>
  <si>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</si>
  <si>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</si>
  <si>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</si>
  <si>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</si>
  <si>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</si>
  <si>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</si>
  <si>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</si>
  <si>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</si>
  <si>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</si>
  <si>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</si>
  <si>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</si>
  <si>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</si>
  <si>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</si>
  <si>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</si>
  <si>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</si>
  <si>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</si>
  <si>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</si>
  <si>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</si>
  <si>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</si>
  <si>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</si>
  <si>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</si>
  <si>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</si>
  <si>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</si>
  <si>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</si>
  <si>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</si>
  <si>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</si>
  <si>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</si>
  <si>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</si>
  <si>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</si>
  <si>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</si>
  <si>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</si>
  <si>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</si>
  <si>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</si>
  <si>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</si>
  <si>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</si>
  <si>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</si>
  <si>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</si>
  <si>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</si>
  <si>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</si>
  <si>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</si>
  <si>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</si>
  <si>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</si>
  <si>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</si>
  <si>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</si>
  <si>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</si>
  <si>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</si>
  <si>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</si>
  <si>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</si>
  <si>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</si>
  <si>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</si>
  <si>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</si>
  <si>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</si>
  <si>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</si>
  <si>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</si>
  <si>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</si>
  <si>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</si>
  <si>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</si>
  <si>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</si>
  <si>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</si>
  <si>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</si>
  <si>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</si>
  <si>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</si>
  <si>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</si>
  <si>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</si>
  <si>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</si>
  <si>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</si>
  <si>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</si>
  <si>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</si>
  <si>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</si>
  <si>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</si>
  <si>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</si>
  <si>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</si>
  <si>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</si>
  <si>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</si>
  <si>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</si>
  <si>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</si>
  <si>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</si>
  <si>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</si>
  <si>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</si>
  <si>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</si>
  <si>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</si>
  <si>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</si>
  <si>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</si>
  <si>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</si>
  <si>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</si>
  <si>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</si>
  <si>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</si>
  <si>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</si>
  <si>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</si>
  <si>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</si>
  <si>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</si>
  <si>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</si>
  <si>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</si>
  <si>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</si>
  <si>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</si>
  <si>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</si>
  <si>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</si>
  <si>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</si>
  <si>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</si>
  <si>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</si>
  <si>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</si>
  <si>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</si>
  <si>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</si>
  <si>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</si>
  <si>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</si>
  <si>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</si>
  <si>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</si>
  <si>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</si>
  <si>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</si>
  <si>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</si>
  <si>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</si>
  <si>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</si>
  <si>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</si>
  <si>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</si>
  <si>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</si>
  <si>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</si>
  <si>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</si>
  <si>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</si>
  <si>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</si>
  <si>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</si>
  <si>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</si>
  <si>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</si>
  <si>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</si>
  <si>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</si>
  <si>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</si>
  <si>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</si>
  <si>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</si>
  <si>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</si>
  <si>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</si>
  <si>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</si>
  <si>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</si>
  <si>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</si>
  <si>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</si>
  <si>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</si>
  <si>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</si>
  <si>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</si>
  <si>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</si>
  <si>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</si>
  <si>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</si>
  <si>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</si>
  <si>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</si>
  <si>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</si>
  <si>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</si>
  <si>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</si>
  <si>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</si>
  <si>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</si>
  <si>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</si>
  <si>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</si>
  <si>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</si>
  <si>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</si>
  <si>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</si>
  <si>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</si>
  <si>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</si>
  <si>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</si>
  <si>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</si>
  <si>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</si>
  <si>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</si>
  <si>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</si>
  <si>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</si>
  <si>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</si>
  <si>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</si>
  <si>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</si>
  <si>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</si>
  <si>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</si>
  <si>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</si>
  <si>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</si>
  <si>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</si>
  <si>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</si>
  <si>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</si>
  <si>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</si>
  <si>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</si>
  <si>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</si>
  <si>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</si>
  <si>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</si>
  <si>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</si>
  <si>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</si>
  <si>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</si>
  <si>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</si>
  <si>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</si>
  <si>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</si>
  <si>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</si>
  <si>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</si>
  <si>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</si>
  <si>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</si>
  <si>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</si>
  <si>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</si>
  <si>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</si>
  <si>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</si>
  <si>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</si>
  <si>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</si>
  <si>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</si>
  <si>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</si>
  <si>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</si>
  <si>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</si>
  <si>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</si>
  <si>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</si>
  <si>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</si>
  <si>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</si>
  <si>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</si>
  <si>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</si>
  <si>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</si>
  <si>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</si>
  <si>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</si>
  <si>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</si>
  <si>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</si>
  <si>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</si>
  <si>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</si>
  <si>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</si>
  <si>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</si>
  <si>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</si>
  <si>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</si>
  <si>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</si>
  <si>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</si>
  <si>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</si>
  <si>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</si>
  <si>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</si>
  <si>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</si>
  <si>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</si>
  <si>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</si>
  <si>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</si>
  <si>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</si>
  <si>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</si>
  <si>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</si>
  <si>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</si>
  <si>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</si>
  <si>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</si>
  <si>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</si>
  <si>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</si>
  <si>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</si>
  <si>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</si>
  <si>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</si>
  <si>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</si>
  <si>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</si>
  <si>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</si>
  <si>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</si>
  <si>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</si>
  <si>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</si>
  <si>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</si>
  <si>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</si>
  <si>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</si>
  <si>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</si>
  <si>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</si>
  <si>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</si>
  <si>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</si>
  <si>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</si>
  <si>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</si>
  <si>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</si>
  <si>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</si>
  <si>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</si>
  <si>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</si>
  <si>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</si>
  <si>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</si>
  <si>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</si>
  <si>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</si>
  <si>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</si>
  <si>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</si>
  <si>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</si>
  <si>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</si>
  <si>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</si>
  <si>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</si>
  <si>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</si>
  <si>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</si>
  <si>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</si>
  <si>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</si>
  <si>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</si>
  <si>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</si>
  <si>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</si>
  <si>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</si>
  <si>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</si>
  <si>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</si>
  <si>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</si>
  <si>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</si>
  <si>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</si>
  <si>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</si>
  <si>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</si>
  <si>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</si>
  <si>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</si>
  <si>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</si>
  <si>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</si>
  <si>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</si>
  <si>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</si>
  <si>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</si>
  <si>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</si>
  <si>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</si>
  <si>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</si>
  <si>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</si>
  <si>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</si>
  <si>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</si>
  <si>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</si>
  <si>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</si>
  <si>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</si>
  <si>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</si>
  <si>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</si>
  <si>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</si>
  <si>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</si>
  <si>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</si>
  <si>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</si>
  <si>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</si>
  <si>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</si>
  <si>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</si>
  <si>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</si>
  <si>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</si>
  <si>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</si>
  <si>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</si>
  <si>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</si>
  <si>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</si>
  <si>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</si>
  <si>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</si>
  <si>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</si>
  <si>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</si>
  <si>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</si>
  <si>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</si>
  <si>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</si>
  <si>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</si>
  <si>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</si>
  <si>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</si>
  <si>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</si>
  <si>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</si>
  <si>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</si>
  <si>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</si>
  <si>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</si>
  <si>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</si>
  <si>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</si>
  <si>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</si>
  <si>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</si>
  <si>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</si>
  <si>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</si>
  <si>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</si>
  <si>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</si>
  <si>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</si>
  <si>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</si>
  <si>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</si>
  <si>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</si>
  <si>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</si>
  <si>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</si>
  <si>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</si>
  <si>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</si>
  <si>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</si>
  <si>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</si>
  <si>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</si>
  <si>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</si>
  <si>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</si>
  <si>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</si>
  <si>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</si>
  <si>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</si>
  <si>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</si>
  <si>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</si>
  <si>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</si>
  <si>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</si>
  <si>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</si>
  <si>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</si>
  <si>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</si>
  <si>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</si>
  <si>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</si>
  <si>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</si>
  <si>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</si>
  <si>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</si>
  <si>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</si>
  <si>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</si>
  <si>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</si>
  <si>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</si>
  <si>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</si>
  <si>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</si>
  <si>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</si>
  <si>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</si>
  <si>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</si>
  <si>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</si>
  <si>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</si>
  <si>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</si>
  <si>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</si>
  <si>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</si>
  <si>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</si>
  <si>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</si>
  <si>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</si>
  <si>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</si>
  <si>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</si>
  <si>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</si>
  <si>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</si>
  <si>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</si>
  <si>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</si>
  <si>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</si>
  <si>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</si>
  <si>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</si>
  <si>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</si>
  <si>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</si>
  <si>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</si>
  <si>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</si>
  <si>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</si>
  <si>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</si>
  <si>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</si>
  <si>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</si>
  <si>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</si>
  <si>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</si>
  <si>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</si>
  <si>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</si>
  <si>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</si>
  <si>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</si>
  <si>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</si>
  <si>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</si>
  <si>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</si>
  <si>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</si>
  <si>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</si>
  <si>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</si>
  <si>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</si>
  <si>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</si>
  <si>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</si>
  <si>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</si>
  <si>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</si>
  <si>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</si>
  <si>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</si>
  <si>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</si>
  <si>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</si>
  <si>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</si>
  <si>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</si>
  <si>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</si>
  <si>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</si>
  <si>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</si>
  <si>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</si>
  <si>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</si>
  <si>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</si>
  <si>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</si>
  <si>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</si>
  <si>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</si>
  <si>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</si>
  <si>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</si>
  <si>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</si>
  <si>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</si>
  <si>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</si>
  <si>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</si>
  <si>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</si>
  <si>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</si>
  <si>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</si>
  <si>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</si>
  <si>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</si>
  <si>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</si>
  <si>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</si>
  <si>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</si>
  <si>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</si>
  <si>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</si>
  <si>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</si>
  <si>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</si>
  <si>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</si>
  <si>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</si>
  <si>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</si>
  <si>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</si>
  <si>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</si>
  <si>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</si>
  <si>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</si>
  <si>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</si>
  <si>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</si>
  <si>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</si>
  <si>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</si>
  <si>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</si>
  <si>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</si>
  <si>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</si>
  <si>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</si>
  <si>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</si>
  <si>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</si>
  <si>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</si>
  <si>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</si>
  <si>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</si>
  <si>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</si>
  <si>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</si>
  <si>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</si>
  <si>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</si>
  <si>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</si>
  <si>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</si>
  <si>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</si>
  <si>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</si>
  <si>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</si>
  <si>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</si>
  <si>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</si>
  <si>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</si>
  <si>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</si>
  <si>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</si>
  <si>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</si>
  <si>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</si>
  <si>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</si>
  <si>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</si>
  <si>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</si>
  <si>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</si>
  <si>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</si>
  <si>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</si>
  <si>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</si>
  <si>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</si>
  <si>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</si>
  <si>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</si>
  <si>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</si>
  <si>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</si>
  <si>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</si>
  <si>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</si>
  <si>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</si>
  <si>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</si>
  <si>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</si>
  <si>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</si>
  <si>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</si>
  <si>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</si>
  <si>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</si>
  <si>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</si>
  <si>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</si>
  <si>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</si>
  <si>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</si>
  <si>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</si>
  <si>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</si>
  <si>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</si>
  <si>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</si>
  <si>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</si>
  <si>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</si>
  <si>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</si>
  <si>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</si>
  <si>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</si>
  <si>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</si>
  <si>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</si>
  <si>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</si>
  <si>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</si>
  <si>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</si>
  <si>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</si>
  <si>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</si>
  <si>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</si>
  <si>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</si>
  <si>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</si>
  <si>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</si>
  <si>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</si>
  <si>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</si>
  <si>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</si>
  <si>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</si>
  <si>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</si>
  <si>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</si>
  <si>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</si>
  <si>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</si>
  <si>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</si>
  <si>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</si>
  <si>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</si>
  <si>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</si>
  <si>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</si>
  <si>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</si>
  <si>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</si>
  <si>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</si>
  <si>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</si>
  <si>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</si>
  <si>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</si>
  <si>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</si>
  <si>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</si>
  <si>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</si>
  <si>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</si>
  <si>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</si>
  <si>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</si>
  <si>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</si>
  <si>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</si>
  <si>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</si>
  <si>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</si>
  <si>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</si>
  <si>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</si>
  <si>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</si>
  <si>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</si>
  <si>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</si>
  <si>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</si>
  <si>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</si>
  <si>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</si>
  <si>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</si>
  <si>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</si>
  <si>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</si>
  <si>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</si>
  <si>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</si>
  <si>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</si>
  <si>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</si>
  <si>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</si>
  <si>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</si>
  <si>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</si>
  <si>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</si>
  <si>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</si>
  <si>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</si>
  <si>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</si>
  <si>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</si>
  <si>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</si>
  <si>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</si>
  <si>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</si>
  <si>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</si>
  <si>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</si>
  <si>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</si>
  <si>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</si>
  <si>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</si>
  <si>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</si>
  <si>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</si>
  <si>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</si>
  <si>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</si>
  <si>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</si>
  <si>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</si>
  <si>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</si>
  <si>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</si>
  <si>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</si>
  <si>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</si>
  <si>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</si>
  <si>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</si>
  <si>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</si>
  <si>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</si>
  <si>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</si>
  <si>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</si>
  <si>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</si>
  <si>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</si>
  <si>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</si>
  <si>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</si>
  <si>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</si>
  <si>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</si>
  <si>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</si>
  <si>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</si>
  <si>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</si>
  <si>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</si>
  <si>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</si>
  <si>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</si>
  <si>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</si>
  <si>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</si>
  <si>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</si>
  <si>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</si>
  <si>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</si>
  <si>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</si>
  <si>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</si>
  <si>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</si>
  <si>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</si>
  <si>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</si>
  <si>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</si>
  <si>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</si>
  <si>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</si>
  <si>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</si>
  <si>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</si>
  <si>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</si>
  <si>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</si>
  <si>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</si>
  <si>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</si>
  <si>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</si>
  <si>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</si>
  <si>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</si>
  <si>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</si>
  <si>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</si>
  <si>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</si>
  <si>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</si>
  <si>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</si>
  <si>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</si>
  <si>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</si>
  <si>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</si>
  <si>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</si>
  <si>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</si>
  <si>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</si>
  <si>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</si>
  <si>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</si>
  <si>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</si>
  <si>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</si>
  <si>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</si>
  <si>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</si>
  <si>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</si>
  <si>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</si>
  <si>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</si>
  <si>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</si>
  <si>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</si>
  <si>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</si>
  <si>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</si>
  <si>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</si>
  <si>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</si>
  <si>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</si>
  <si>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</si>
  <si>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</si>
  <si>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</si>
  <si>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</si>
  <si>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</si>
  <si>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</si>
  <si>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</si>
  <si>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</si>
  <si>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</si>
  <si>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</si>
  <si>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</si>
  <si>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</si>
  <si>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</si>
  <si>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</si>
  <si>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</si>
  <si>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</si>
  <si>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</si>
  <si>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</si>
  <si>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</si>
  <si>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</si>
  <si>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</si>
  <si>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</si>
  <si>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</si>
  <si>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</si>
  <si>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</si>
  <si>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</si>
  <si>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</si>
  <si>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</si>
  <si>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</si>
  <si>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</si>
  <si>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</si>
  <si>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</si>
  <si>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</si>
  <si>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</si>
  <si>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</si>
  <si>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</si>
  <si>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</si>
  <si>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</si>
  <si>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</si>
  <si>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</si>
  <si>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</si>
  <si>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</si>
  <si>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</si>
  <si>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</si>
  <si>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</si>
  <si>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</si>
  <si>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</si>
  <si>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</si>
  <si>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</si>
  <si>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</si>
  <si>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</si>
  <si>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</si>
  <si>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</si>
  <si>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</si>
  <si>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</si>
  <si>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</si>
  <si>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</si>
  <si>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</si>
  <si>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</si>
  <si>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</si>
  <si>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</si>
  <si>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</si>
  <si>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</si>
  <si>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</si>
  <si>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</si>
  <si>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</si>
  <si>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</si>
  <si>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</si>
  <si>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</si>
  <si>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</si>
  <si>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</si>
  <si>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</si>
  <si>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</si>
  <si>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</si>
  <si>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</si>
  <si>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</si>
  <si>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</si>
  <si>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</si>
  <si>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</si>
  <si>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</si>
  <si>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</si>
  <si>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</si>
  <si>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</si>
  <si>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</si>
  <si>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</si>
  <si>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</si>
  <si>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</si>
  <si>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</si>
  <si>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</si>
  <si>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</si>
  <si>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</si>
  <si>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</si>
  <si>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</si>
  <si>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</si>
  <si>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</si>
  <si>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</si>
  <si>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</si>
  <si>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</si>
  <si>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</si>
  <si>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</si>
  <si>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</si>
  <si>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</si>
  <si>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</si>
  <si>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</si>
  <si>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</si>
  <si>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</si>
  <si>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</si>
  <si>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</si>
  <si>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</si>
  <si>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</si>
  <si>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</si>
  <si>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</si>
  <si>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</si>
  <si>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</si>
  <si>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</si>
  <si>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</si>
  <si>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</si>
  <si>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</si>
  <si>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</si>
  <si>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</si>
  <si>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</si>
  <si>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</si>
  <si>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</si>
  <si>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</si>
  <si>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</si>
  <si>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</si>
  <si>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</si>
  <si>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</si>
  <si>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</si>
  <si>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</si>
  <si>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</si>
  <si>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</si>
  <si>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</si>
  <si>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</si>
  <si>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</si>
  <si>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</si>
  <si>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</si>
  <si>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</si>
  <si>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</si>
  <si>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</si>
  <si>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</si>
  <si>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</si>
  <si>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</si>
  <si>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</si>
  <si>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</si>
  <si>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</si>
  <si>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</si>
  <si>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</si>
  <si>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</si>
  <si>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</si>
  <si>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</si>
  <si>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</si>
  <si>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</si>
  <si>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</si>
  <si>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</si>
  <si>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</si>
  <si>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</si>
  <si>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</si>
  <si>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</si>
  <si>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</si>
  <si>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</si>
  <si>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</si>
  <si>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</si>
  <si>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</si>
  <si>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</si>
  <si>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</si>
  <si>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</si>
  <si>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</si>
  <si>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</si>
  <si>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</si>
  <si>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</si>
  <si>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</si>
  <si>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</si>
  <si>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</si>
  <si>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</si>
  <si>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</si>
  <si>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</si>
  <si>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</si>
  <si>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</si>
  <si>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</si>
  <si>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</si>
  <si>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</si>
  <si>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</si>
  <si>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</si>
  <si>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</si>
  <si>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</si>
  <si>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</si>
  <si>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</si>
  <si>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</si>
  <si>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</si>
  <si>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</si>
  <si>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</si>
  <si>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</si>
  <si>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</si>
  <si>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</si>
  <si>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</si>
  <si>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</si>
  <si>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</si>
  <si>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</si>
  <si>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</si>
  <si>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</si>
  <si>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</si>
  <si>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</si>
  <si>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</si>
  <si>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</si>
  <si>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</si>
  <si>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</si>
  <si>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</si>
  <si>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</si>
  <si>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</si>
  <si>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</si>
  <si>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</si>
  <si>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</si>
  <si>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</si>
  <si>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</si>
  <si>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</si>
  <si>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</si>
  <si>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</si>
  <si>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</si>
  <si>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</si>
  <si>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</si>
  <si>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</si>
  <si>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</si>
  <si>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</si>
  <si>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</si>
  <si>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</si>
  <si>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</si>
  <si>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</si>
  <si>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</si>
  <si>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</si>
  <si>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</si>
  <si>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</si>
  <si>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</si>
  <si>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</si>
  <si>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</si>
  <si>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</si>
  <si>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</si>
  <si>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</si>
  <si>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</si>
  <si>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</si>
  <si>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</si>
  <si>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</si>
  <si>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</si>
  <si>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</si>
  <si>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</si>
  <si>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</si>
  <si>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</si>
  <si>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</si>
  <si>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</si>
  <si>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</si>
  <si>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</si>
  <si>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</si>
  <si>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</si>
  <si>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</si>
  <si>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</si>
  <si>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</si>
  <si>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</si>
  <si>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</si>
  <si>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</si>
  <si>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</si>
  <si>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</si>
  <si>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</si>
  <si>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</si>
  <si>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</si>
  <si>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</si>
  <si>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</si>
  <si>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</si>
  <si>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</si>
  <si>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</si>
  <si>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</si>
  <si>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</si>
  <si>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</si>
  <si>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</si>
  <si>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</si>
  <si>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</si>
  <si>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</si>
  <si>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</si>
  <si>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</si>
  <si>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</si>
  <si>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</si>
  <si>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</si>
  <si>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</si>
  <si>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</si>
  <si>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</si>
  <si>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</si>
  <si>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</si>
  <si>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</si>
  <si>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</si>
  <si>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</si>
  <si>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</si>
  <si>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</si>
  <si>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</si>
  <si>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</si>
  <si>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</si>
  <si>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</si>
  <si>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</si>
  <si>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</si>
  <si>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</si>
  <si>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</si>
  <si>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</si>
  <si>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</si>
  <si>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</si>
  <si>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</si>
  <si>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</si>
  <si>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</si>
  <si>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</si>
  <si>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</si>
  <si>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</si>
  <si>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</si>
  <si>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</si>
  <si>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</si>
  <si>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</si>
  <si>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</si>
  <si>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</si>
  <si>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</si>
  <si>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</si>
  <si>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</si>
  <si>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</si>
  <si>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</si>
  <si>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</si>
  <si>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</si>
  <si>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</si>
  <si>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</si>
  <si>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</si>
  <si>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</si>
  <si>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</si>
  <si>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</si>
  <si>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</si>
  <si>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</si>
  <si>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</si>
  <si>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</si>
  <si>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</si>
  <si>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</si>
  <si>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</si>
  <si>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</si>
  <si>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</si>
  <si>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</si>
  <si>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</si>
  <si>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</si>
  <si>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</si>
  <si>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</si>
  <si>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</si>
  <si>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</si>
  <si>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</si>
  <si>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</si>
  <si>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</si>
  <si>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</si>
  <si>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</si>
  <si>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</si>
  <si>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</si>
  <si>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</si>
  <si>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</si>
  <si>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</si>
  <si>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</si>
  <si>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</si>
  <si>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</si>
  <si>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</si>
  <si>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</si>
  <si>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</si>
  <si>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</si>
  <si>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</si>
  <si>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</si>
  <si>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</si>
  <si>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</si>
  <si>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</si>
  <si>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</si>
  <si>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</si>
  <si>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</si>
  <si>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</si>
  <si>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</si>
  <si>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</si>
  <si>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</si>
  <si>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</si>
  <si>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</si>
  <si>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</si>
  <si>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</si>
  <si>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</si>
  <si>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</si>
  <si>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</si>
  <si>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</si>
  <si>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</si>
  <si>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</si>
  <si>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</si>
  <si>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</si>
  <si>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</si>
  <si>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</si>
  <si>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</si>
  <si>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</si>
  <si>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</si>
  <si>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</si>
  <si>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</si>
  <si>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</si>
  <si>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</si>
  <si>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</si>
  <si>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</si>
  <si>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</si>
  <si>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</si>
  <si>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</si>
  <si>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</si>
  <si>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</si>
  <si>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</si>
  <si>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</si>
  <si>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</si>
  <si>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</si>
  <si>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</si>
  <si>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</si>
  <si>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</si>
  <si>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</si>
  <si>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</si>
  <si>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</si>
  <si>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</si>
  <si>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</si>
  <si>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</si>
  <si>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</si>
  <si>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</si>
  <si>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</si>
  <si>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</si>
  <si>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</si>
  <si>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</si>
  <si>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</si>
  <si>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</si>
  <si>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</si>
  <si>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</si>
  <si>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</si>
  <si>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</si>
  <si>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</si>
  <si>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</si>
  <si>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</si>
  <si>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</si>
  <si>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</si>
  <si>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</si>
  <si>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</si>
  <si>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</si>
  <si>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</si>
  <si>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</si>
  <si>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</si>
  <si>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</si>
  <si>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</si>
  <si>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</si>
  <si>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</si>
  <si>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</si>
  <si>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</si>
  <si>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</si>
  <si>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</si>
  <si>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</si>
  <si>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</si>
  <si>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</si>
  <si>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</si>
  <si>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</si>
  <si>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</si>
  <si>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</si>
  <si>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</si>
  <si>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</si>
  <si>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</si>
  <si>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</si>
  <si>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</si>
  <si>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</si>
  <si>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</si>
  <si>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</si>
  <si>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</si>
  <si>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</si>
  <si>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</si>
  <si>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</si>
  <si>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</si>
  <si>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</si>
  <si>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</si>
  <si>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</si>
  <si>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</si>
  <si>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</si>
  <si>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</si>
  <si>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</si>
  <si>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</si>
  <si>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</si>
  <si>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</si>
  <si>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</si>
  <si>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</si>
  <si>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</si>
  <si>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</si>
  <si>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</si>
  <si>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</si>
  <si>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</si>
  <si>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</si>
  <si>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</si>
  <si>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</si>
  <si>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</si>
  <si>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</si>
  <si>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</si>
  <si>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</si>
  <si>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</si>
  <si>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</si>
  <si>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</si>
  <si>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</si>
  <si>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</si>
  <si>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</si>
  <si>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</si>
  <si>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</si>
  <si>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</si>
  <si>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</si>
  <si>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</si>
  <si>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</si>
  <si>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</si>
  <si>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</si>
  <si>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</si>
  <si>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</si>
  <si>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</si>
  <si>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</si>
  <si>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</si>
  <si>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</si>
  <si>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</si>
  <si>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</si>
  <si>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</si>
  <si>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</si>
  <si>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</si>
  <si>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</si>
  <si>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</si>
  <si>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</si>
  <si>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</si>
  <si>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</si>
  <si>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</si>
  <si>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</si>
  <si>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</si>
  <si>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</si>
  <si>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</si>
  <si>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</si>
  <si>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</si>
  <si>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</si>
  <si>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</si>
  <si>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</si>
  <si>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</si>
  <si>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</si>
  <si>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</si>
  <si>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</si>
  <si>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</si>
  <si>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</si>
  <si>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</si>
  <si>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</si>
  <si>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</si>
  <si>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</si>
  <si>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</si>
  <si>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</si>
  <si>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</si>
  <si>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</si>
  <si>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</si>
  <si>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</si>
  <si>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</si>
  <si>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</si>
  <si>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</si>
  <si>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</si>
  <si>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</si>
  <si>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</si>
  <si>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</si>
  <si>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</si>
  <si>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</si>
  <si>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</si>
  <si>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</si>
  <si>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</si>
  <si>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</si>
  <si>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</si>
  <si>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</si>
  <si>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</si>
  <si>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</si>
  <si>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</si>
  <si>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</si>
  <si>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</si>
  <si>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</si>
  <si>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</si>
  <si>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</si>
  <si>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</si>
  <si>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</si>
  <si>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</si>
  <si>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</si>
  <si>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</si>
  <si>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</si>
  <si>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</si>
  <si>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</si>
  <si>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</si>
  <si>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</si>
  <si>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</si>
  <si>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</si>
  <si>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</si>
  <si>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</si>
  <si>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</si>
  <si>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</si>
  <si>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</si>
  <si>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</si>
  <si>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</si>
  <si>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</si>
  <si>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</si>
  <si>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</si>
  <si>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</si>
  <si>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</si>
  <si>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</si>
  <si>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</si>
  <si>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</si>
  <si>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</si>
  <si>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</si>
  <si>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</si>
  <si>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</si>
  <si>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</si>
  <si>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</si>
  <si>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</si>
  <si>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</si>
  <si>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</si>
  <si>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</si>
  <si>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</si>
  <si>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</si>
  <si>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</si>
  <si>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</si>
  <si>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</si>
  <si>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</si>
  <si>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</si>
  <si>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</si>
  <si>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</si>
  <si>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</si>
  <si>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</si>
  <si>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</si>
  <si>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</si>
  <si>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</si>
  <si>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</si>
  <si>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</si>
  <si>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</si>
  <si>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</si>
  <si>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</si>
  <si>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</si>
  <si>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</si>
  <si>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</si>
  <si>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</si>
  <si>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</si>
  <si>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</si>
  <si>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</si>
  <si>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</si>
  <si>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</si>
  <si>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</si>
  <si>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</si>
  <si>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</si>
  <si>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</si>
  <si>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</si>
  <si>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</si>
  <si>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</si>
  <si>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</si>
  <si>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</si>
  <si>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</si>
  <si>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</si>
  <si>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</si>
  <si>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</si>
  <si>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</si>
  <si>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</si>
  <si>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</si>
  <si>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</si>
  <si>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</si>
  <si>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</si>
  <si>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</si>
  <si>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</si>
  <si>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</si>
  <si>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</si>
  <si>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</si>
  <si>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</si>
  <si>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</si>
  <si>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</si>
  <si>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</si>
  <si>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</si>
  <si>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</si>
  <si>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</si>
  <si>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</si>
  <si>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</si>
  <si>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</si>
  <si>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</si>
  <si>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</si>
  <si>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</si>
  <si>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</si>
  <si>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</si>
  <si>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</si>
  <si>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</si>
  <si>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</si>
  <si>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</si>
  <si>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</si>
  <si>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</si>
  <si>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</si>
  <si>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</si>
  <si>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</si>
  <si>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</si>
  <si>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</si>
  <si>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</si>
  <si>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</si>
  <si>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</si>
  <si>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</si>
  <si>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</si>
  <si>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</si>
  <si>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</si>
  <si>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</si>
  <si>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</si>
  <si>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</si>
  <si>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</si>
  <si>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</si>
  <si>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</si>
  <si>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</si>
  <si>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</si>
  <si>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</si>
  <si>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</si>
  <si>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</si>
  <si>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</si>
  <si>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</si>
  <si>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</si>
  <si>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</si>
  <si>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</si>
  <si>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</si>
  <si>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</si>
  <si>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</si>
  <si>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</si>
  <si>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</si>
  <si>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</si>
  <si>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</si>
  <si>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</si>
  <si>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</si>
  <si>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</si>
  <si>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</si>
  <si>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</si>
  <si>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</si>
  <si>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</si>
  <si>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</si>
  <si>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</si>
  <si>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</si>
  <si>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</si>
  <si>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</si>
  <si>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</si>
  <si>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</si>
  <si>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</si>
  <si>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</si>
  <si>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</si>
  <si>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</si>
  <si>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</si>
  <si>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</si>
  <si>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</si>
  <si>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</si>
  <si>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</si>
  <si>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</si>
  <si>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</si>
  <si>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</si>
  <si>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</si>
  <si>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</si>
  <si>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</si>
  <si>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</si>
  <si>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</si>
  <si>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</si>
  <si>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</si>
  <si>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</si>
  <si>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</si>
  <si>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</si>
  <si>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</si>
  <si>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</si>
  <si>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</si>
  <si>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</si>
  <si>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</si>
  <si>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</si>
  <si>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</si>
  <si>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</si>
  <si>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</si>
  <si>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</si>
  <si>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</si>
  <si>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</si>
  <si>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</si>
  <si>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</si>
  <si>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</si>
  <si>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</si>
  <si>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</si>
  <si>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</si>
  <si>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</si>
  <si>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</si>
  <si>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</si>
  <si>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</si>
  <si>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</si>
  <si>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</si>
  <si>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</si>
  <si>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</si>
  <si>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</si>
  <si>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</si>
  <si>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</si>
  <si>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</si>
  <si>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</si>
  <si>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</si>
  <si>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</si>
  <si>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</si>
  <si>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</si>
  <si>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</si>
  <si>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</si>
  <si>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</si>
  <si>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</si>
  <si>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</si>
  <si>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</si>
  <si>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</si>
  <si>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</si>
  <si>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</si>
  <si>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</si>
  <si>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</si>
  <si>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</si>
  <si>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</si>
  <si>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</si>
  <si>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</si>
  <si>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</si>
  <si>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</si>
  <si>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</si>
  <si>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</si>
  <si>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</si>
  <si>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</si>
  <si>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</si>
  <si>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</si>
  <si>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</si>
  <si>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</si>
  <si>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</si>
  <si>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</si>
  <si>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</si>
  <si>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</si>
  <si>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</si>
  <si>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</si>
  <si>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</si>
  <si>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</si>
  <si>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</si>
  <si>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</si>
  <si>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</si>
  <si>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</si>
  <si>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</si>
  <si>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</si>
  <si>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</si>
  <si>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</si>
  <si>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</si>
  <si>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</si>
  <si>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</si>
  <si>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</si>
  <si>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</si>
  <si>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</si>
  <si>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</si>
  <si>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</si>
  <si>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</si>
  <si>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</si>
  <si>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</si>
  <si>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</si>
  <si>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</si>
  <si>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</si>
  <si>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</si>
  <si>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</si>
  <si>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</si>
  <si>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</si>
  <si>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</si>
  <si>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</si>
  <si>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</si>
  <si>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</si>
  <si>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</si>
  <si>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</si>
  <si>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</si>
  <si>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</si>
  <si>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</si>
  <si>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</si>
  <si>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</si>
  <si>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</si>
  <si>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</si>
  <si>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</si>
  <si>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</si>
  <si>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</si>
  <si>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</si>
  <si>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</si>
  <si>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</si>
  <si>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</si>
  <si>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</si>
  <si>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</si>
  <si>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</si>
  <si>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</si>
  <si>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</si>
  <si>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</si>
  <si>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</si>
  <si>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</si>
  <si>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</si>
  <si>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</si>
  <si>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</si>
  <si>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</si>
  <si>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</si>
  <si>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</si>
  <si>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</si>
  <si>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</si>
  <si>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</si>
  <si>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</si>
  <si>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</si>
  <si>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</si>
  <si>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</si>
  <si>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</si>
  <si>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</si>
  <si>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</si>
  <si>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</si>
  <si>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</si>
  <si>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</si>
  <si>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</si>
  <si>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</si>
  <si>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</si>
  <si>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</si>
  <si>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</si>
  <si>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</si>
  <si>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</si>
  <si>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</si>
  <si>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</si>
  <si>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</si>
  <si>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</si>
  <si>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</si>
  <si>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</si>
  <si>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</si>
  <si>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</si>
  <si>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</si>
  <si>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</si>
  <si>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</si>
  <si>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</si>
  <si>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</si>
  <si>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</si>
  <si>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</si>
  <si>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</si>
  <si>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</si>
  <si>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</si>
  <si>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</si>
  <si>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</si>
  <si>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</si>
  <si>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</si>
  <si>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</si>
  <si>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</si>
  <si>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</si>
  <si>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</si>
  <si>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</si>
  <si>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</si>
  <si>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</si>
  <si>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</si>
  <si>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</si>
  <si>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</si>
  <si>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</si>
  <si>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</si>
  <si>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</si>
  <si>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</si>
  <si>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</si>
  <si>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</si>
  <si>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</si>
  <si>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</si>
  <si>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</si>
  <si>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</si>
  <si>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</si>
  <si>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</si>
  <si>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</si>
  <si>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</si>
  <si>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</si>
  <si>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</si>
  <si>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</si>
  <si>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</si>
  <si>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</si>
  <si>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</si>
  <si>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</si>
  <si>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</si>
  <si>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</si>
  <si>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</si>
  <si>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</si>
  <si>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</si>
  <si>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</si>
  <si>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</si>
  <si>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</si>
  <si>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</si>
  <si>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</si>
  <si>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</si>
  <si>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</si>
  <si>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</si>
  <si>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</si>
  <si>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</si>
  <si>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</si>
  <si>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</si>
  <si>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</si>
  <si>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</si>
  <si>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</si>
  <si>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</si>
  <si>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</si>
  <si>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</si>
  <si>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</si>
  <si>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</si>
  <si>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</si>
  <si>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</si>
  <si>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</si>
  <si>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</si>
  <si>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</si>
  <si>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</si>
  <si>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</si>
  <si>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</si>
  <si>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</si>
  <si>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</si>
  <si>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</si>
  <si>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</si>
  <si>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</si>
  <si>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</si>
  <si>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</si>
  <si>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</si>
  <si>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</si>
  <si>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</si>
  <si>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</si>
  <si>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</si>
  <si>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</si>
  <si>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</si>
  <si>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</si>
  <si>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</si>
  <si>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</si>
  <si>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</si>
  <si>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</si>
  <si>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</si>
  <si>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</si>
  <si>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</si>
  <si>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</si>
  <si>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</si>
  <si>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</si>
  <si>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</si>
  <si>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</si>
  <si>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</si>
  <si>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</si>
  <si>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</si>
  <si>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</si>
  <si>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</si>
  <si>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</si>
  <si>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</si>
  <si>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</si>
  <si>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</si>
  <si>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</si>
  <si>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</si>
  <si>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</si>
  <si>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</si>
  <si>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</si>
  <si>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</si>
  <si>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</si>
  <si>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</si>
  <si>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</si>
  <si>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</si>
  <si>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</si>
  <si>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</si>
  <si>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</si>
  <si>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</si>
  <si>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</si>
  <si>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</si>
  <si>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</si>
  <si>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</si>
  <si>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</si>
  <si>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</si>
  <si>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</si>
  <si>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</si>
  <si>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</si>
  <si>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</si>
  <si>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</si>
  <si>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</si>
  <si>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</si>
  <si>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</si>
  <si>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</si>
  <si>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</si>
  <si>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</si>
  <si>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</si>
  <si>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</si>
  <si>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</si>
  <si>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</si>
  <si>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</si>
  <si>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</si>
  <si>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</si>
  <si>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</si>
  <si>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</si>
  <si>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</si>
  <si>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</si>
  <si>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</si>
  <si>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</si>
  <si>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</si>
  <si>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</si>
  <si>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</si>
  <si>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</si>
  <si>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</si>
  <si>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</si>
  <si>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</si>
  <si>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</si>
  <si>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</si>
  <si>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</si>
  <si>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</si>
  <si>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</si>
  <si>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</si>
  <si>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</si>
  <si>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</si>
  <si>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</si>
  <si>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</si>
  <si>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</si>
  <si>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</si>
  <si>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</si>
  <si>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</si>
  <si>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</si>
  <si>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</si>
  <si>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</si>
  <si>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</si>
  <si>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</si>
  <si>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</si>
  <si>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</si>
  <si>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</si>
  <si>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</si>
  <si>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</si>
  <si>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</si>
  <si>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</si>
  <si>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</si>
  <si>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</si>
  <si>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</si>
  <si>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</si>
  <si>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</si>
  <si>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</si>
  <si>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</si>
  <si>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</si>
  <si>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</si>
  <si>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</si>
  <si>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</si>
  <si>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</si>
  <si>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</si>
  <si>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</si>
  <si>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</si>
  <si>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</si>
  <si>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</si>
  <si>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</si>
  <si>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</si>
  <si>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</si>
  <si>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</si>
  <si>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</si>
  <si>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</si>
  <si>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</si>
  <si>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</si>
  <si>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</si>
  <si>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</si>
  <si>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</si>
  <si>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</si>
  <si>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</si>
  <si>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</si>
  <si>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</si>
  <si>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</si>
  <si>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</si>
  <si>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</si>
  <si>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</si>
  <si>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</si>
  <si>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</si>
  <si>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</si>
  <si>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</si>
  <si>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</si>
  <si>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</si>
  <si>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</si>
  <si>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</si>
  <si>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</si>
  <si>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</si>
  <si>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</si>
  <si>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</si>
  <si>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</si>
  <si>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</si>
  <si>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</si>
  <si>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</si>
  <si>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</si>
  <si>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</si>
  <si>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</si>
  <si>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</si>
  <si>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</si>
  <si>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</si>
  <si>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</si>
  <si>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</si>
  <si>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</si>
  <si>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</si>
  <si>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</si>
  <si>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</si>
  <si>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</si>
  <si>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</si>
  <si>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</si>
  <si>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</si>
  <si>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</si>
  <si>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</si>
  <si>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</si>
  <si>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</si>
  <si>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</si>
  <si>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</si>
  <si>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</si>
  <si>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</si>
  <si>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</si>
  <si>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</si>
  <si>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</si>
  <si>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</si>
  <si>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</si>
  <si>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</si>
  <si>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</si>
  <si>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</si>
  <si>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</si>
  <si>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</si>
  <si>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</si>
  <si>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</si>
  <si>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</si>
  <si>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</si>
  <si>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</si>
  <si>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</si>
  <si>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</si>
  <si>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</si>
  <si>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</si>
  <si>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</si>
  <si>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</si>
  <si>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</si>
  <si>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</si>
  <si>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</si>
  <si>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</si>
  <si>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</si>
  <si>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</si>
  <si>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</si>
  <si>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</si>
  <si>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</si>
  <si>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</si>
  <si>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</si>
  <si>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</si>
  <si>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</si>
  <si>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</si>
  <si>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</si>
  <si>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</si>
  <si>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</si>
  <si>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</si>
  <si>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</si>
  <si>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</si>
  <si>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</si>
  <si>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</si>
  <si>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</si>
  <si>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</si>
  <si>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</si>
  <si>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</si>
  <si>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</si>
  <si>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</si>
  <si>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</si>
  <si>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</si>
  <si>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</si>
  <si>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</si>
  <si>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</si>
  <si>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</si>
  <si>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</si>
  <si>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</si>
  <si>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</si>
  <si>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</si>
  <si>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</si>
  <si>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</si>
  <si>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</si>
  <si>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</si>
  <si>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</si>
  <si>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</si>
  <si>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</si>
  <si>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</si>
  <si>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</si>
  <si>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</si>
  <si>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</si>
  <si>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</si>
  <si>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</si>
  <si>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</si>
  <si>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</si>
  <si>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</si>
  <si>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</si>
  <si>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</si>
  <si>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</si>
  <si>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</si>
  <si>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</si>
  <si>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</si>
  <si>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</si>
  <si>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</si>
  <si>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</si>
  <si>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</si>
  <si>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</si>
  <si>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</si>
  <si>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</si>
  <si>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</si>
  <si>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</si>
  <si>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</si>
  <si>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</si>
  <si>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</si>
  <si>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</si>
  <si>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</si>
  <si>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</si>
  <si>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</si>
  <si>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</si>
  <si>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</si>
  <si>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</si>
  <si>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</si>
  <si>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</si>
  <si>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</si>
  <si>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</si>
  <si>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</si>
  <si>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</si>
  <si>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</si>
  <si>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</si>
  <si>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</si>
  <si>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</si>
  <si>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</si>
  <si>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</si>
  <si>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</si>
  <si>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</si>
  <si>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</si>
  <si>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</si>
  <si>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</si>
  <si>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</si>
  <si>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</si>
  <si>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</si>
  <si>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</si>
  <si>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</si>
  <si>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</si>
  <si>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</si>
  <si>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</si>
  <si>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</si>
  <si>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</si>
  <si>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</si>
  <si>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</si>
  <si>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</si>
  <si>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</si>
  <si>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</si>
  <si>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</si>
  <si>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</si>
  <si>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</si>
  <si>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</si>
  <si>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</si>
  <si>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</si>
  <si>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</si>
  <si>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</si>
  <si>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</si>
  <si>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</si>
  <si>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</si>
  <si>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</si>
  <si>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</si>
  <si>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</si>
  <si>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</si>
  <si>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</si>
  <si>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</si>
  <si>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</si>
  <si>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</si>
  <si>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</si>
  <si>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</si>
  <si>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</si>
  <si>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</si>
  <si>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</si>
  <si>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</si>
  <si>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</si>
  <si>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</si>
  <si>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</si>
  <si>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</si>
  <si>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</si>
  <si>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</si>
  <si>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</si>
  <si>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</si>
  <si>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</si>
  <si>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</si>
  <si>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</si>
  <si>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</si>
  <si>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</si>
  <si>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</si>
  <si>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</si>
  <si>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</si>
  <si>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</si>
  <si>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</si>
  <si>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</si>
  <si>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</si>
  <si>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</si>
  <si>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</si>
  <si>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</si>
  <si>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</si>
  <si>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</si>
  <si>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</si>
  <si>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</si>
  <si>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</si>
  <si>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</si>
  <si>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</si>
  <si>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</si>
  <si>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</si>
  <si>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</si>
  <si>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</si>
  <si>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</si>
  <si>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</si>
  <si>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</si>
  <si>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</si>
  <si>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</si>
  <si>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</si>
  <si>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</si>
  <si>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</si>
  <si>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</si>
  <si>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</si>
  <si>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</si>
  <si>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</si>
  <si>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</si>
  <si>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</si>
  <si>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</si>
  <si>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</si>
  <si>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</si>
  <si>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</si>
  <si>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</si>
  <si>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</si>
  <si>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</si>
  <si>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</si>
  <si>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</si>
  <si>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</si>
  <si>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</si>
  <si>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</si>
  <si>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</si>
  <si>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</si>
  <si>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</si>
  <si>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</si>
  <si>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</si>
  <si>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</si>
  <si>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</si>
  <si>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</si>
  <si>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</si>
  <si>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</si>
  <si>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</si>
  <si>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</si>
  <si>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</si>
  <si>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</si>
  <si>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</si>
  <si>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</si>
  <si>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</si>
  <si>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</si>
  <si>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</si>
  <si>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</si>
  <si>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</si>
  <si>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</si>
  <si>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</si>
  <si>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</si>
  <si>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</si>
  <si>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</si>
  <si>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</si>
  <si>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</si>
  <si>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</si>
  <si>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</si>
  <si>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</si>
  <si>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</si>
  <si>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</si>
  <si>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</si>
  <si>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</si>
  <si>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</si>
  <si>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</si>
  <si>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</si>
  <si>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</si>
  <si>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</si>
  <si>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</si>
  <si>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</si>
  <si>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</si>
  <si>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</si>
  <si>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</si>
  <si>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</si>
  <si>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</si>
  <si>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</si>
  <si>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500m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</si>
  <si>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</si>
  <si>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</si>
  <si>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</si>
  <si>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</si>
  <si>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</si>
  <si>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</si>
  <si>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</si>
  <si>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</si>
  <si>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</si>
  <si>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</si>
  <si>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</si>
  <si>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</si>
  <si>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</si>
  <si>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</si>
  <si>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</si>
  <si>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</si>
  <si>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</si>
  <si>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</si>
  <si>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</si>
  <si>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</si>
  <si>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</si>
  <si>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</si>
  <si>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</si>
  <si>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</si>
  <si>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</si>
  <si>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</si>
  <si>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</si>
  <si>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</si>
  <si>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</si>
  <si>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</si>
  <si>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</si>
  <si>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</si>
  <si>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</si>
  <si>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</si>
  <si>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</si>
  <si>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</si>
  <si>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</si>
  <si>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</si>
  <si>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</si>
  <si>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</si>
  <si>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</si>
  <si>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</si>
  <si>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</si>
  <si>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</si>
  <si>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</si>
  <si>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</si>
  <si>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</si>
  <si>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</si>
  <si>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</si>
  <si>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</si>
  <si>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</si>
  <si>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</si>
  <si>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</si>
  <si>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</si>
  <si>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</si>
  <si>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</si>
  <si>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</si>
  <si>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</si>
  <si>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</si>
  <si>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</si>
  <si>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</si>
  <si>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</si>
  <si>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</si>
  <si>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</si>
  <si>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</si>
  <si>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</si>
  <si>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</si>
  <si>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</si>
  <si>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</si>
  <si>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</si>
  <si>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</si>
  <si>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</si>
  <si>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</si>
  <si>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</si>
  <si>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</si>
  <si>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</si>
  <si>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</si>
  <si>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</si>
  <si>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</si>
  <si>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</si>
  <si>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</si>
  <si>
    <t>Earth Engine indicator translations reviewed (added April 2026)</t>
  </si>
  <si>
    <t>مؤشر اختلاف الغطاء النباتي المعياري (NDVI)</t>
  </si>
  <si>
    <t>مساحة خضراء عامة واسعة</t>
  </si>
  <si>
    <t>إمكانية الوصول إليها في نطاق 500 متر</t>
  </si>
  <si>
    <t>درجة حرارة سطح الأرض ({units})</t>
  </si>
  <si>
    <t>الغطاء النباتي</t>
  </si>
  <si>
    <t>التعرض للحرارة الحضرية</t>
  </si>
  <si>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</si>
  <si>
    <t>إمكانية الوصول إلى مساحات خضراء عامة واسعة</t>
  </si>
  <si>
    <t>{percent} of the population live within 500m of large public green space of at least 1 hectare in size</t>
  </si>
  <si>
    <t>تم تقييم أوجه عدم المساواة في قابلية التأثر بالحرارة كدالة للتعرض للحرارة، والحساسية، والقدرة على التكيف (Turner et al, 2025; https://dx.doi.org/10.2139/ssrn.5251739).</t>
  </si>
  <si>
    <t>قابلية التأثر بالحرارة</t>
  </si>
  <si>
    <t>يعيش {percent} من السكان في المناطق الأكثر عرضة للحرارة</t>
  </si>
  <si>
    <t>متوسط ​​درجة حرارة سطح الأرض خلال الثلث الأكثر حرارة من العام (من {start_date} إلى {end_date})</t>
  </si>
  <si>
    <t>{percent} من مساحة أراضي منطقة الدراسة تستوفي عتبة الغطاء النباتي لمتوسط ​​مؤشر الغطاء النباتي السنوي NDVI ≥ 0.2</t>
  </si>
  <si>
    <t>{percent} of study region land area meets the vegetation threshold of annual average NDVI ≥ 0.2</t>
  </si>
  <si>
    <t>يعيش {percent} من السكان على بُعد 500 متر من مساحة خضراء عامة كبيرة لا تقل مساحتها عن هكتار واحد.</t>
  </si>
  <si>
    <t>Índex de Vegetació de Diferència Normalitzada (NDVI)</t>
  </si>
  <si>
    <t>Gran espai verd públic</t>
  </si>
  <si>
    <t>Accés a menys de 500 m</t>
  </si>
  <si>
    <t>Cobertura vegetal</t>
  </si>
  <si>
    <t>Accés a grans espais verds públics</t>
  </si>
  <si>
    <t>{percent} de la població viu a menys de 500 m d'un gran espai verd públic d'almenys 1 hectàrea</t>
  </si>
  <si>
    <t>Exposició urbana a la calor</t>
  </si>
  <si>
    <t>Temperatura mitjana de la superfície terrestre durant el terç més calorós de l'any (de {start_date} a {end_date})</t>
  </si>
  <si>
    <t>Vulnerabilitat urbana a la calor</t>
  </si>
  <si>
    <t>Les desigualtats en la vulnerabilitat a la calor es van avaluar com a funció de l'exposició a la calor, la sensibilitat i la capacitat d'adaptació (Turner et al., 2025; https://dx.doi.org/10.2139/ssrn.5251739).</t>
  </si>
  <si>
    <t>Vulnerabilitat a la calor</t>
  </si>
  <si>
    <t>{percent} de la població viu a les zones més vulnerables a la calor</t>
  </si>
  <si>
    <t>Els grans espais verds públics poden proporcionar múltiples beneficis colaterals per a la salut i el medi ambient, mitigant la calor urbana, millorant la qualitat de l'aire i la biodiversitat, i promovent l'activitat física, les interaccions socials i el benestar mental.</t>
  </si>
  <si>
    <t>{percent} de la superfície terrestre de la regió d'estudi compleix el llindar de vegetació d'un NDVI mitjà anual ≥ 0,2</t>
  </si>
  <si>
    <t>Temperatura de la superfície terrestre ({units})</t>
  </si>
  <si>
    <t>归一化植被指数 (NDVI)</t>
  </si>
  <si>
    <t>大型公共绿地</t>
  </si>
  <si>
    <t>500 米范围内可达</t>
  </si>
  <si>
    <t>植被覆盖度</t>
  </si>
  <si>
    <t>大型公共绿地能够缓解城市热岛效应、改善空气质量和生物多样性，并促进身体活动、社交互动和心理健康，从而带来多重健康和环境效益。</t>
  </si>
  <si>
    <t>研究区域内 {percent} 的土地面积满足年平均 NDVI ≥ 0.2 的植被阈值</t>
  </si>
  <si>
    <t>大型公共绿地可达性</t>
  </si>
  <si>
    <t>{percent} 的人口居住在距离至少 1 公顷的大型公共绿地 500 米范围内</t>
  </si>
  <si>
    <t>城市热暴露</t>
  </si>
  <si>
    <t>一年中最热的三分之一时期（{start_date} 至 {end_date}）的平均地表温度</t>
  </si>
  <si>
    <t>城市热脆弱性</t>
  </si>
  <si>
    <t>热脆弱性的不平等程度根据热暴露、敏感性和适应能力进行评估（Turner 等，2025；https://dx.doi.org/10.2139/ssrn.5251739）。</t>
  </si>
  <si>
    <t>热脆弱性</t>
  </si>
  <si>
    <t>{percent} 的人口居住在最易受热影响的地区</t>
  </si>
  <si>
    <t>地表温度（{units}）</t>
  </si>
  <si>
    <t>歸一化植被指數 (NDVI)</t>
  </si>
  <si>
    <t>大型公共綠地</t>
  </si>
  <si>
    <t>500 公尺範圍內可達</t>
  </si>
  <si>
    <t>植被覆蓋度</t>
  </si>
  <si>
    <t>大型公共綠地能夠緩解城市熱島效應、改善空氣品質和生物多樣性，並促進身體活動、社交互動和心理健康，從而帶來多重健康和環境效益。</t>
  </si>
  <si>
    <t>研究區域內 {percent} 的土地面積滿足年平均 NDVI ≥ 0.2 的植被閾值</t>
  </si>
  <si>
    <t>大型公共綠地可及性</t>
  </si>
  <si>
    <t>{percent} 的人口居住在距離至少 1 公頃的大型公共綠地 500 公尺範圍內</t>
  </si>
  <si>
    <t>城市熱暴露</t>
  </si>
  <si>
    <t>一年中最熱的三分之一時期（{start_date} 至 {end_date}）的平均地表溫度</t>
  </si>
  <si>
    <t>城市熱脆弱性</t>
  </si>
  <si>
    <t>熱脆弱性的不平等程度是根據熱暴露、敏感性和適應能力進行評估（Turner 等，2025；https://dx.doi.org/10.2139/ssrn.5251739）。</t>
  </si>
  <si>
    <t>熱脆弱性</t>
  </si>
  <si>
    <t>{percent} 的人口居住在最容易受到熱影響的地區</t>
  </si>
  <si>
    <t>地表溫度（{units}）</t>
  </si>
  <si>
    <t>Indeks normalizirane razlike vegetacije (NDVI)</t>
  </si>
  <si>
    <t>Veliki javni zeleni prostor</t>
  </si>
  <si>
    <t>Pristup unutar 500 m</t>
  </si>
  <si>
    <t>Vegetacijski pokrov</t>
  </si>
  <si>
    <t>Veliki javni zeleni prostori mogu pružiti višestruke zdravstvene i ekološke koristi ublažavanjem urbane vrućine, poboljšanjem kvalitete zraka i bioraznolikosti te promicanjem tjelesne aktivnosti, društvenih interakcija i mentalnog blagostanja.</t>
  </si>
  <si>
    <t>{percent} površine proučavane regije zadovoljava vegetacijski prag prosječnog godišnjeg NDVI ≥ 0,2</t>
  </si>
  <si>
    <t>Pristup velikim javnim zelenim površinama</t>
  </si>
  <si>
    <t>{percent} stanovništva živi unutar 500 m od velikih javnih zelenih površina veličine najmanje 1 hektara</t>
  </si>
  <si>
    <t>Izloženost toplini u urbanim područjima</t>
  </si>
  <si>
    <t>Prosječna temperatura površine zemljišta za najtopliju trećinu godine (od {start_date} do {end_date})</t>
  </si>
  <si>
    <t>Ranjivost na toplinu u urbanim područjima</t>
  </si>
  <si>
    <t>Nejednakosti u ranjivosti na toplinu procijenjene su kao funkcija izloženosti toplini, osjetljivosti i adaptivnog kapaciteta (Turner i sur., 2025.; https://dx.doi.org/10.2139/ssrn.5251739).</t>
  </si>
  <si>
    <t>Ranjivost na toplinu</t>
  </si>
  <si>
    <t>{percent} stanovništva živi u područjima najosjetljivijim na toplinu</t>
  </si>
  <si>
    <t>Temperatura površine tla ({units})</t>
  </si>
  <si>
    <t>Index normalizovaného rozdílu vegetace (NDVI)</t>
  </si>
  <si>
    <t>Rozsáhlé veřejné zelené plochy</t>
  </si>
  <si>
    <t>Přístup do 500 m</t>
  </si>
  <si>
    <t>Vegetační kryt</t>
  </si>
  <si>
    <t>Rozsáhlé veřejné zelené plochy mohou přinést řadu zdravotních a environmentálních výhod zmírněním městského tepla, zlepšením kvality ovzduší a biodiverzity a podporou fyzické aktivity, sociálních interakcí a duševní pohody.</t>
  </si>
  <si>
    <t>{percent} rozlohy studovaného regionu splňuje vegetační práh průměrného ročního NDVI ≥ 0,2</t>
  </si>
  <si>
    <t>Přístup k velkým veřejným zeleným plochám</t>
  </si>
  <si>
    <t>{percent} populace žije do 500 m od velkých veřejných zelených ploch o velikosti alespoň 1 hektaru</t>
  </si>
  <si>
    <t>Vystavení teplu ve městech</t>
  </si>
  <si>
    <t>Průměrná teplota povrchu země pro nejteplejší třetinu roku ({start_date} až {end_date})</t>
  </si>
  <si>
    <t>Zranitelnost vůči teplu ve městech</t>
  </si>
  <si>
    <t>Nerovnosti v zranitelnosti vůči teplu byly vyhodnoceny jako funkce vystavení teplu, citlivosti a adaptační kapacity (Turner et al, 2025; https://dx.doi.org/10.2139/ssrn.5251739).</t>
  </si>
  <si>
    <t>Zranitelnost vůči teplu</t>
  </si>
  <si>
    <t>{percent} populace žije v oblastech nejvíce zranitelných vůči teplu</t>
  </si>
  <si>
    <t>Teplota povrchu země ({units})</t>
  </si>
  <si>
    <t>Normaliseret differensvegetationsindeks (NDVI)</t>
  </si>
  <si>
    <t>Stort offentligt grønt område</t>
  </si>
  <si>
    <t>Adgang inden for 500 m</t>
  </si>
  <si>
    <t>Vegetationsdække</t>
  </si>
  <si>
    <t>Store offentlige grønne områder kan give flere sundhedsmæssige og miljømæssige sidegevinster ved at afbøde byvarme, forbedre luftkvaliteten og biodiversiteten samt fremme fysisk aktivitet, sociale interaktioner og mental velvære.</t>
  </si>
  <si>
    <t>{percent} af studieregionens landareal opfylder vegetationstærsklen for en årlig gennemsnitlig NDVI ≥ 0,2</t>
  </si>
  <si>
    <t>Adgang til store offentlige grønne områder</t>
  </si>
  <si>
    <t>{percent} af befolkningen bor inden for 500 m af store offentlige grønne områder på mindst 1 hektar</t>
  </si>
  <si>
    <t>Varmeeksponering i byen</t>
  </si>
  <si>
    <t>Gennemsnitlig jordoverfladetemperatur for den varmeste tredjedel af året ({start_date} til {end_date})</t>
  </si>
  <si>
    <t>Varmesårbarhed i byen</t>
  </si>
  <si>
    <t>Uligheder i varmesårbarhed blev evalueret som en funktion af varmeeksponering, følsomhed og tilpasningsevne (Turner et al., 2025; https://dx.doi.org/10.2139/ssrn.5251739).</t>
  </si>
  <si>
    <t>Varmesårbarhed</t>
  </si>
  <si>
    <t>{percent} af befolkningen bor i områder, der er mest sårbare over for varme</t>
  </si>
  <si>
    <t>Jordoverfladetemperatur ({units})</t>
  </si>
  <si>
    <t>Genormaliseerde differentie-vegetatie-index (NDVI)</t>
  </si>
  <si>
    <t>Grote openbare groene ruimte</t>
  </si>
  <si>
    <t>Toegang binnen 500 m</t>
  </si>
  <si>
    <t>Vegetatiebedekking</t>
  </si>
  <si>
    <t>Grote openbare groene ruimtes kunnen meerdere gezondheids- en milieuvoordelen bieden door stedelijke hitte te verminderen, de luchtkwaliteit en biodiversiteit te verbeteren en fysieke activiteit, sociale interacties en mentaal welzijn te bevorderen.</t>
  </si>
  <si>
    <t>{percent} van het landoppervlak van het onderzoeksgebied voldoet aan de vegetatiedrempel van een jaarlijkse gemiddelde NDVI ≥ 0,2</t>
  </si>
  <si>
    <t>Toegang tot grote openbare groene ruimten</t>
  </si>
  <si>
    <t>{percent} van de bevolking woont binnen 500 meter van een grote openbare groene ruimte van minstens 1 hectare</t>
  </si>
  <si>
    <t>Blootstelling aan stedelijke hitte</t>
  </si>
  <si>
    <t>Gemiddelde landtemperatuur gedurende het warmste derde deel van het jaar ({start_date} tot {end_date})</t>
  </si>
  <si>
    <t>Kwetsbaarheid voor stedelijke hitte</t>
  </si>
  <si>
    <t>Ongelijkheden in hittekwetsbaarheid werden geëvalueerd als functie van blootstelling aan hitte, gevoeligheid en aanpassingsvermogen (Turner et al, 2025; https://dx.doi.org/10.2139/ssrn.5251739).</t>
  </si>
  <si>
    <t>Kwetsbaarheid voor hitte</t>
  </si>
  <si>
    <t>{percent} van de bevolking woont in gebieden die het meest kwetsbaar zijn voor hitte</t>
  </si>
  <si>
    <t>Landoppervlaktetemperatuur ({units})</t>
  </si>
  <si>
    <t>Normalisoitu differentiaalinen kasvillisuusindeksi (NDVI)</t>
  </si>
  <si>
    <t>Suuri julkinen viheralue</t>
  </si>
  <si>
    <t>Pääsy 500 metrin säteellä</t>
  </si>
  <si>
    <t>Kasvillisuuspeite</t>
  </si>
  <si>
    <t>Suuret julkiset viheralueet voivat tarjota useita terveys- ja ympäristöhyötyjä lieventämällä kaupunkien kuumuutta, parantamalla ilmanlaatua ja biologista monimuotoisuutta sekä edistämällä fyysistä aktiivisuutta, sosiaalista vuorovaikutusta ja henkistä hyvinvointia.</t>
  </si>
  <si>
    <t>{prosenttia} tutkimusalueen maa-alueesta täyttää kasvillisuuden kynnysarvon, joka on vuosittainen keskimääräinen NDVI ≥ 0,2</t>
  </si>
  <si>
    <t>Suurten julkisten viheralueiden käyttöoikeus</t>
  </si>
  <si>
    <t>{prosenttia} väestöstä asuu 500 metrin säteellä vähintään 1 hehtaarin kokoisista suurista julkisista viheralueista</t>
  </si>
  <si>
    <t>Kaupunkien lämpöaltistus</t>
  </si>
  <si>
    <t>Keskimääräinen maanpinnan lämpötila vuoden kuumimman kolmanneksen aikana ({start_date} - {end_date})</t>
  </si>
  <si>
    <t>Kaupunkien lämpöalttius</t>
  </si>
  <si>
    <t>Lämpöalttiuden eriarvoisuutta arvioitiin lämpöaltistuksen, herkkyyden ja sopeutumiskyvyn funktiona (Turner et al, 2025; https://dx.doi.org/10.2139/ssrn.5251739).</t>
  </si>
  <si>
    <t>Lämpöalttius</t>
  </si>
  <si>
    <t>{prosenttia} väestöstä asuu alueilla, jotka ovat alttiimpia kuumuudelle</t>
  </si>
  <si>
    <t>Maanpinnan lämpötila ({units})</t>
  </si>
  <si>
    <t>Indice de végétation par différence normalisée (NDVI)</t>
  </si>
  <si>
    <t>Grand espace vert public</t>
  </si>
  <si>
    <t>Accès à moins de 500 m</t>
  </si>
  <si>
    <t>Couverture végétale</t>
  </si>
  <si>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</si>
  <si>
    <t>{pourcentage} de la superficie de la région étudiée atteint le seuil de végétation d'un NDVI moyen annuel ≥ 0,2.</t>
  </si>
  <si>
    <t>Accès à de grands espaces verts publics</t>
  </si>
  <si>
    <t>{pourcentage} de la population vit à moins de 500 m d'un grand espace vert public d'au moins 1 hectare.</t>
  </si>
  <si>
    <t>Exposition à la chaleur urbaine</t>
  </si>
  <si>
    <t>Température moyenne de la surface terrestre pour le tiers le plus chaud de l'année (du {start_date} au {end_date}).</t>
  </si>
  <si>
    <t>Vulnérabilité à la chaleur urbaine</t>
  </si>
  <si>
    <t>Les inégalités de vulnérabilité à la chaleur ont été évaluées en fonction de l'exposition à la chaleur, de la sensibilité et de la capacité d'adaptation (Turner et al., 2025 ; https://dx.doi.org/10.2139/ssrn.5251739).</t>
  </si>
  <si>
    <t>Vulnérabilité à la chaleur</t>
  </si>
  <si>
    <t>{pourcentage} de la population vit dans les zones les plus vulnérables à la chaleur.</t>
  </si>
  <si>
    <t>Température de surface du sol (units)</t>
  </si>
  <si>
    <t>Normalisierter Differenzvegetationsindex (NDVI)</t>
  </si>
  <si>
    <t>Große öffentliche Grünfläche</t>
  </si>
  <si>
    <t>Zugang innerhalb von 500 m</t>
  </si>
  <si>
    <t>Landoberflächentemperatur (units)</t>
  </si>
  <si>
    <t>Vegetationsbedeckung</t>
  </si>
  <si>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</si>
  <si>
    <t>{percent} der Landfläche des Untersuchungsgebiets erfüllt den Vegetationsschwellenwert von einem jährlichen durchschnittlichen NDVI ≥ 0,2.</t>
  </si>
  <si>
    <t>Zugang zu großen öffentlichen Grünflächen</t>
  </si>
  <si>
    <t>{percent} der Bevölkerung lebt innerhalb von 500 m Entfernung zu einer großen öffentlichen Grünfläche von mindestens 1 Hektar Größe.</t>
  </si>
  <si>
    <t>Städtische Hitzebelastung</t>
  </si>
  <si>
    <t>Durchschnittliche Landoberflächentemperatur im heißesten Drittel des Jahres ({start_date} bis {en_date}).</t>
  </si>
  <si>
    <t>Städtische Hitzeanfälligkeit</t>
  </si>
  <si>
    <t>Ungleichheiten in der Hitzeanfälligkeit wurden in Abhängigkeit von Hitzebelastung, -empfindlichkeit und Anpassungsfähigkeit bewertet (Turner et al., 2025; https://dx.doi.org/10.2139/ssrn.5251739).</t>
  </si>
  <si>
    <t>Hitzeanfälligkeit</t>
  </si>
  <si>
    <t>{percent} der Bevölkerung lebt in Gebieten mit besonders hoher Hitzeanfälligkeit.</t>
  </si>
  <si>
    <t>Δείκτης Κανονικοποιημένης Διαφοράς Βλάστησης (NDVI)</t>
  </si>
  <si>
    <t>Μεγάλος δημόσιος χώρος πρασίνου</t>
  </si>
  <si>
    <t>Πρόσβαση σε απόσταση 500 μέτρων</t>
  </si>
  <si>
    <t>Κάλυψη βλάστησης</t>
  </si>
  <si>
    <t>Πρόσβαση σε μεγάλους δημόσιους χώρους πρασίνου</t>
  </si>
  <si>
    <t>{percent} του πληθυσμού ζει σε απόσταση 500 μέτρων από μεγάλους δημόσιους χώρους πρασίνου μεγέθους τουλάχιστον 1 εκταρίου</t>
  </si>
  <si>
    <t>Έκθεση σε αστική θερμότητα</t>
  </si>
  <si>
    <t>Μέση θερμοκρασία επιφάνειας γης για το θερμότερο τρίτο του έτους ({start_date} έως {end_date})</t>
  </si>
  <si>
    <t>Ευπάθεια σε αστική θερμότητα</t>
  </si>
  <si>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</si>
  <si>
    <t>Ευπάθεια σε θερμότητα</t>
  </si>
  <si>
    <t>{percent} του πληθυσμού ζει σε περιοχές που είναι πιο ευάλωτες στη θερμότητα</t>
  </si>
  <si>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</si>
  <si>
    <t>{percent} της έκτασης της περιοχής μελέτης πληροί το όριο βλάστησης του ετήσιου μέσου NDVI ≥ 0,2</t>
  </si>
  <si>
    <t>Θερμοκρασία Επιφάνειας Γης ({units})</t>
  </si>
  <si>
    <t>Ma'aunin Bambancin Tsirrai Mai Daidaita (NDVI)</t>
  </si>
  <si>
    <t>Babban sarari mai kore ga jama'a</t>
  </si>
  <si>
    <t>Samun dama a cikin mita 500</t>
  </si>
  <si>
    <t>Murfin Lambu</t>
  </si>
  <si>
    <t>Manyan wurare masu kore ga jama'a na iya samar da fa'idodi da yawa na lafiya da muhalli ta hanyar rage zafin birni, inganta ingancin iska da bambancin halittu, da kuma haɓaka motsa jiki, hulɗar zamantakewa, da walwalar kwakwalwa.</t>
  </si>
  <si>
    <t>Babban damar shiga sararin kore na jama'a</t>
  </si>
  <si>
    <t>Shan zafi a birane</t>
  </si>
  <si>
    <t>Rashin lafiyar zafi a birane</t>
  </si>
  <si>
    <t>An kimanta rashin daidaito a cikin raunin zafi a matsayin aikin fallasa zafi, jin zafi, da ƙarfin daidaitawa (Turner et al, 2025; https://dx.doi.org/10.2139/ssrn.5251739).</t>
  </si>
  <si>
    <t>Rashin lafiyar zafi</t>
  </si>
  <si>
    <t>{percent} na jama'a suna zaune a yankunan da suka fi fuskantar zafi</t>
  </si>
  <si>
    <t>Matsakaicin zafin ƙasa na mafi zafi na uku na shekara ({start_date} zuwa {end_date})</t>
  </si>
  <si>
    <t>{percent} na yankin da aka yi nazari, yankin ƙasa ya cika ƙa'idar ciyayi na matsakaicin NDVI na shekara-shekara ≥ 0.2</t>
  </si>
  <si>
    <t>{percent} na jama'a suna zaune a cikin murabba'in mita 500 na babban sararin kore na jama'a na akalla hekta 1 a girma</t>
  </si>
  <si>
    <t>Zafin Ƙasa ({units})</t>
  </si>
  <si>
    <t>नॉर्मलाइज़्ड डिफरेंस वेजिटेशन इंडेक्स (NDVI)</t>
  </si>
  <si>
    <t>बड़ी पब्लिक ग्रीन स्पेस</t>
  </si>
  <si>
    <t>500m के अंदर एक्सेस</t>
  </si>
  <si>
    <t>वेजिटेशन कवर</t>
  </si>
  <si>
    <t>बड़े पब्लिक ग्रीन स्पेस तक पहुँच</t>
  </si>
  <si>
    <t>{percent} आबादी कम से कम 1 हेक्टेयर साइज़ के बड़े पब्लिक ग्रीन स्पेस के 500m के अंदर रहती है।</t>
  </si>
  <si>
    <t>शहरी गर्मी का खतरा</t>
  </si>
  <si>
    <t>साल के सबसे गर्म तीसरे हिस्से के लिए ज़मीन की सतह का औसत तापमान ({start_date} से {end_date} तक)</t>
  </si>
  <si>
    <t>गर्मी के खतरे में असमानता को गर्मी के खतरे, सेंसिटिविटी और एडैप्टिव कैपेसिटी (टर्नर एट अल, 2025; https://dx.doi.org/10.2139/ssrn.5251739) के आधार पर आंका गया।</t>
  </si>
  <si>
    <t>गर्मी का खतरा</t>
  </si>
  <si>
    <t>{percent} आबादी उन इलाकों में रहती है जहाँ गर्मी का सबसे ज़्यादा खतरा होता है।</t>
  </si>
  <si>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</si>
  <si>
    <t>स्टडी एरिया का {percent} ज़मीन का एरिया सालाना औसत NDVI ≥ 0.2 की पेड़-पौधों की लिमिट को पूरा करता है।</t>
  </si>
  <si>
    <t>ज़मीन की सतह का टेम्परेचर ({units})</t>
  </si>
  <si>
    <t>Indeks Vegetasi Perbedaan Normalisasi (NDVI)</t>
  </si>
  <si>
    <t>Ruang hijau publik yang luas</t>
  </si>
  <si>
    <t>Akses dalam radius 500m</t>
  </si>
  <si>
    <t>Tutupan vegetasi</t>
  </si>
  <si>
    <t>Ruang hijau publik yang luas dapat memberikan berbagai manfaat kesehatan dan lingkungan dengan mengurangi panas perkotaan, meningkatkan kualitas udara dan keanekaragaman hayati, serta mendorong aktivitas fisik, interaksi sosial, dan kesejahteraan mental.</t>
  </si>
  <si>
    <t>Akses ruang hijau publik yang luas</t>
  </si>
  <si>
    <t>Paparan panas perkotaan</t>
  </si>
  <si>
    <t>Suhu permukaan tanah rata-rata untuk sepertiga terpanas tahun ini ({start_date} hingga {end_date})</t>
  </si>
  <si>
    <t>Kerentanan panas perkotaan</t>
  </si>
  <si>
    <t>Ketidaksetaraan dalam kerentanan panas dievaluasi sebagai fungsi dari paparan panas, sensitivitas, dan kapasitas adaptif (Turner et al, 2025; https://dx.doi.org/10.2139/ssrn.5251739).</t>
  </si>
  <si>
    <t>Kerentanan panas</t>
  </si>
  <si>
    <t>{percent} dari populasi tinggal di daerah yang paling rentan terhadap panas</t>
  </si>
  <si>
    <t>{percent} dari populasi tinggal dalam jarak 500m dari ruang hijau publik yang luas dengan ukuran minimal 1 hektar</t>
  </si>
  <si>
    <t>{percent} dari luas lahan wilayah studi memenuhi ambang batas vegetasi dengan rata-rata tahunan NDVI ≥ 0,2</t>
  </si>
  <si>
    <t>Suhu Permukaan Tanah ({units})</t>
  </si>
  <si>
    <t>Indice di vegetazione normalizzato (NDVI)</t>
  </si>
  <si>
    <t>Ampio spazio verde pubblico</t>
  </si>
  <si>
    <t>Accesso entro 500 m</t>
  </si>
  <si>
    <t>Temperatura della superficie del suolo ({unità})</t>
  </si>
  <si>
    <t>Copertura vegetale</t>
  </si>
  <si>
    <t>Gli ampi spazi verdi pubblici possono offrire molteplici benefici collaterali per la salute e l'ambiente, mitigando il calore urbano, migliorando la qualità dell'aria e la biodiversità e promuovendo l'attività fisica, le interazioni sociali e il benessere mentale.</t>
  </si>
  <si>
    <t>Accesso a grandi spazi verdi pubblici</t>
  </si>
  <si>
    <t>Esposizione al calore urbano</t>
  </si>
  <si>
    <t>Temperatura media della superficie terrestre per il terzo più caldo dell'anno (dal {start_date} al {end_date})</t>
  </si>
  <si>
    <t>Vulnerabilità al calore urbano</t>
  </si>
  <si>
    <t>Le disuguaglianze nella vulnerabilità al calore sono state valutate in funzione dell'esposizione al calore, della sensibilità e della capacità di adattamento (Turner et al, 2025; https://dx.doi.org/10.2139/ssrn.5251739).</t>
  </si>
  <si>
    <t>Vulnerabilità al calore</t>
  </si>
  <si>
    <t>Il {percent} della popolazione vive in aree più vulnerabili al calore</t>
  </si>
  <si>
    <t>Il {percent} della popolazione vive entro 500 m da un grande spazio verde pubblico di almeno 1 ettaro</t>
  </si>
  <si>
    <t>Il {percent} della superficie terrestre della regione di studio soddisfa la soglia di vegetazione con un NDVI medio annuo ≥ 0,2</t>
  </si>
  <si>
    <t>正規化植生指数（NDVI）</t>
  </si>
  <si>
    <t>大規模な公共緑地</t>
  </si>
  <si>
    <t>500m以内のアクセス</t>
  </si>
  <si>
    <t>植被率</t>
  </si>
  <si>
    <t>大規模な公共緑地は、都市部のヒートアイランド現象の緩和、大気質と生物多様性の向上、身体活動、社会交流、精神的健康の促進など、健康面と環境面で多岐にわたる副次的効果をもたらします。</t>
  </si>
  <si>
    <t>大規模公共緑地へのアクセス</t>
  </si>
  <si>
    <t>都市部の熱曝露</t>
  </si>
  <si>
    <t>都市部の熱脆弱性</t>
  </si>
  <si>
    <t>熱脆弱性の不平等は、熱曝露、感受性、および適応能力の関数として評価された（Turner et al, 2025; https://dx.doi.org/10.2139/ssrn.5251739）。</t>
  </si>
  <si>
    <t>人口の{percent}が、熱に対して最も脆弱な地域に居住している。</t>
  </si>
  <si>
    <t>年間で最も暑い3分の1の期間（{start_date}～{end_date}）の平均地表面温度</t>
  </si>
  <si>
    <t>人口の{percent}が、少なくとも1ヘクタールの大規模公共緑地から500m以内に居住している。</t>
  </si>
  <si>
    <t>調査対象地域の土地面積の{percent}が、年間平均NDVI≧0.2の植生基準を満たしている。</t>
  </si>
  <si>
    <t>地表面温度（{units}）</t>
  </si>
  <si>
    <t>정규화 식생지수(NDVI)</t>
  </si>
  <si>
    <t>대규모 공공 녹지 공간</t>
  </si>
  <si>
    <t>500m 이내 접근성</t>
  </si>
  <si>
    <t>지표면 온도({units})</t>
  </si>
  <si>
    <t>식생 피복률</t>
  </si>
  <si>
    <t>대규모 공공 녹지 공간은 도시 열섬 현상 완화, 대기 질 및 생물 다양성 개선, 신체 활동 증진, 사회적 교류 및 정신 건강 증진을 통해 다양한 건강 및 환경적 이점을 제공할 수 있습니다.</t>
  </si>
  <si>
    <t>연구 지역 토지 면적의 {percent}가 연평균 NDVI ≥ 0.2의 식생 기준을 충족합니다.</t>
  </si>
  <si>
    <t>대규모 공공 녹지 접근성</t>
  </si>
  <si>
    <t>인구의 {percent}가 최소 1헥타르 규모의 대규모 공공 녹지에서 500m 이내에 거주합니다.</t>
  </si>
  <si>
    <t>도시 열 노출</t>
  </si>
  <si>
    <t>연중 가장 더운 3분의 1 기간({start_date}~{end_date})의 평균 지표면 온도</t>
  </si>
  <si>
    <t>도시 열 취약성</t>
  </si>
  <si>
    <t>열 취약성의 불평등은 열 노출, 민감도 및 적응 능력의 함수로 평가되었습니다(Turner et al, 2025; https://dx.doi.org/10.2139/ssrn.5251739).</t>
  </si>
  <si>
    <t>열 취약성</t>
  </si>
  <si>
    <t>인구의 {percent}가 열에 가장 취약한 지역에 거주합니다.</t>
  </si>
  <si>
    <t>Te Tāurangi Rerekētanga Huawhenua Whakaōrite (NDVI)</t>
  </si>
  <si>
    <t>Wāhi matomato tūmatanui nui</t>
  </si>
  <si>
    <t>Te urunga atu i roto i te 500m</t>
  </si>
  <si>
    <t>Te Taupoki Huawhenua</t>
  </si>
  <si>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</si>
  <si>
    <t>Te urunga atu ki ngā wāhi matomato tūmatanui nui</t>
  </si>
  <si>
    <t>Te wera o te tāone</t>
  </si>
  <si>
    <t>Te ngoikore o te wera o te tāone</t>
  </si>
  <si>
    <t>I aromatawaihia ngā kore taurite o te ngoikore o te wera hei mahi a te wera, te aro, me te kaha urutau (Turner et al, 2025; https://dx.doi.org/10.2139/ssrn.5251739).</t>
  </si>
  <si>
    <t>Te ngoikore o te wera</t>
  </si>
  <si>
    <t>Te Pāmahana o te Mata Whenua ({units})</t>
  </si>
  <si>
    <t>{percent} o te rohe rangahau whenua e tutuki ana i te paepae tipu o te toharite ā-tau NDVI ≥ 0.2</t>
  </si>
  <si>
    <t>{percent} o te taupori e noho ana i ngā wāhi tino ngoikore ki te wera</t>
  </si>
  <si>
    <t>Te pāmahana mata whenua toharite mō te hautoru wera rawa o te tau ({start_date} ki {end_date})</t>
  </si>
  <si>
    <t>{percent} o te taupori e noho ana i roto i te 500m o ngā wāhi matomato tūmatanui nui, neke atu i te 1 heketea te rahi</t>
  </si>
  <si>
    <t>सामान्यीकृत भिन्नता वनस्पति सूचकांक (NDVI)</t>
  </si>
  <si>
    <t>ठूला सार्वजनिक हरियो ठाउँ</t>
  </si>
  <si>
    <t>५०० मिटर भित्र पहुँच</t>
  </si>
  <si>
    <t>वनस्पति कभर</t>
  </si>
  <si>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</si>
  <si>
    <t>ठूलो सार्वजनिक हरियो ठाउँ पहुँच</t>
  </si>
  <si>
    <t>शहरी ताप जोखिम</t>
  </si>
  <si>
    <t>वर्षको सबैभन्दा तातो तेस्रो भागको लागि औसत जमिनको सतहको तापक्रम ({start_date} देखि {end_date} सम्म)</t>
  </si>
  <si>
    <t>तातो जोखिममा असमानताहरूलाई ताप जोखिम, संवेदनशीलता र अनुकूलन क्षमताको कार्यको रूपमा मूल्याङ्कन गरिएको थियो (टर्नर एट अल, २०२५; https://dx.doi.org/10.2139/ssrn.5251739)।</t>
  </si>
  <si>
    <t>तातो जोखिम</t>
  </si>
  <si>
    <t>जमिनको सतहको तापक्रम ({units})</t>
  </si>
  <si>
    <t>अध्ययन क्षेत्रको {percent} भू-क्षेत्रफलले वार्षिक औसत NDVI ≥ ०.२ को वनस्पति सीमा पूरा गर्दछ</t>
  </si>
  <si>
    <t>जनसंख्याको {percent} कम्तिमा १ हेक्टर आकारको ठूलो सार्वजनिक हरियो ठाउँको ५०० मिटर भित्र बस्छन्</t>
  </si>
  <si>
    <t>जनसंख्याको {percent} गर्मीको लागि सबैभन्दा जोखिममा रहेका क्षेत्रहरूमा बस्छन्</t>
  </si>
  <si>
    <t>شاخص پوشش گیاهی نرمال شده (NDVI)</t>
  </si>
  <si>
    <t>فضای سبز عمومی بزرگ</t>
  </si>
  <si>
    <t>دسترسی در محدوده ۵۰۰ متری</t>
  </si>
  <si>
    <t>پوشش گیاهی</t>
  </si>
  <si>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</si>
  <si>
    <t>دسترسی به فضای سبز عمومی بزرگ</t>
  </si>
  <si>
    <t>قرار گرفتن در معرض گرمای شهری</t>
  </si>
  <si>
    <t>میانگین دمای سطح زمین برای گرم‌ترین یک سوم سال ({start_date} تا {end_date})</t>
  </si>
  <si>
    <t>آسیب‌پذیری گرمای شهری</t>
  </si>
  <si>
    <t>نابرابری‌ها در آسیب‌پذیری گرما به عنوان تابعی از قرار گرفتن در معرض گرما، حساسیت و ظرفیت سازگاری ارزیابی شدند (Turner et al, 2025; https://dx.doi.org/10.2139/ssrn.5251739).</t>
  </si>
  <si>
    <t>آسیب‌پذیری گرما</t>
  </si>
  <si>
    <t>دمای سطح زمین ({units})</t>
  </si>
  <si>
    <t>{percent} از مساحت منطقه مورد مطالعه، آستانه پوشش گیاهی میانگین سالانه NDVI ≥ 0.2 را برآورده می‌کند.</t>
  </si>
  <si>
    <t>{percent} از جمعیت در فاصله ۵۰۰ متری از فضای سبز عمومی بزرگ با حداقل ۱ هکتار مساحت زندگی می‌کنند.</t>
  </si>
  <si>
    <t>{percent} از جمعیت در مناطقی زندگی می‌کنند که بیشترین آسیب‌پذیری را در برابر گرما دارند.</t>
  </si>
  <si>
    <t>Índice de Vegetação por Diferença Normalizada (NDVI)</t>
  </si>
  <si>
    <t>Grandes espaços verdes públicos</t>
  </si>
  <si>
    <t>Acesso a menos de 500 m</t>
  </si>
  <si>
    <t>Temperatura da superfície terrestre (units)</t>
  </si>
  <si>
    <t>Grandes espaços verdes públicos podem proporcionar múltiplos benefícios para a saúde e o meio ambiente, mitigando o calor urbano, melhorando a qualidade do ar e a biodiversidade, e promovendo atividade física, interações sociais e bem-estar mental.</t>
  </si>
  <si>
    <t>{percent} da área terrestre da região de estudo atende ao limiar de vegetação de NDVI médio anual ≥ 0,2</t>
  </si>
  <si>
    <t>Acesso a grandes espaços verdes públicos</t>
  </si>
  <si>
    <t>{percent} da população vive a menos de 500 m de um grande espaço verde público com pelo menos 1 hectare de tamanho</t>
  </si>
  <si>
    <t>Exposição ao calor urbano</t>
  </si>
  <si>
    <t>Temperatura média da superfície terrestre durante o terço mais quente do ano ({start_date} a {end_date})</t>
  </si>
  <si>
    <t>Vulnerabilidade ao calor urbano</t>
  </si>
  <si>
    <t>As desigualdades na vulnerabilidade ao calor foram avaliadas em função da exposição ao calor, da sensibilidade e da capacidade adaptativa (Turner et al, 2025; https://dx.doi.org/10.2139/ssrn.5251739).</t>
  </si>
  <si>
    <t>Vulnerabilidade ao calor</t>
  </si>
  <si>
    <t>{percent} da população vive em áreas mais vulneráveis ao calor</t>
  </si>
  <si>
    <t>Os grandes espaços verdes públicos podem proporcionar múltiplos benefícios para a saúde e para o ambiente, mitigando o calor urbano, melhorando a qualidade do ar e a biodiversidade, e promovendo a atividade física, as interações sociais e o bem-estar mental.</t>
  </si>
  <si>
    <t>{percent} da área terrestre da região de estudo cumpre o limiar de vegetação de NDVI médio anual ≥ 0,2</t>
  </si>
  <si>
    <t>{percent} da população vive em zonas mais vulneráveis ao calor</t>
  </si>
  <si>
    <t>Índice de Vegetación de Diferencia Normalizada (NDVI)</t>
  </si>
  <si>
    <t>Grandes espacios verdes públicos</t>
  </si>
  <si>
    <t>Acceso a menos de 500 m</t>
  </si>
  <si>
    <t>Temperatura de la superficie terrestre (units)</t>
  </si>
  <si>
    <t>Los grandes espacios verdes públicos pueden proporcionar múltiples beneficios para la salud y el medio ambiente al mitigar el calor urbano, mejorar la calidad del aire y la biodiversidad, y promover la actividad física, las interacciones sociales y el bienestar mental.</t>
  </si>
  <si>
    <t>{percent} de la superficie terrestre de la región de estudio cumple con el umbral de vegetación de un NDVI promedio anual ≥ 0,2.</t>
  </si>
  <si>
    <t>Acceso a grandes espacios verdes públicos</t>
  </si>
  <si>
    <t>{percent} de la población vive a menos de 500 m de un gran espacio verde público de al menos 1 hectárea.</t>
  </si>
  <si>
    <t>Exposición al calor urbano</t>
  </si>
  <si>
    <t>Temperatura promedio de la superficie terrestre durante el tercio más cálido del año ({start_date} a {end_date}).</t>
  </si>
  <si>
    <t>Vulnerabilidad al calor urbano</t>
  </si>
  <si>
    <t>Las desigualdades en la vulnerabilidad al calor se evaluaron en función de la exposición al calor, la sensibilidad y la capacidad de adaptación (Turner et al., 2025; https://dx.doi.org/10.2139/ssrn.5251739).</t>
  </si>
  <si>
    <t>Vulnerabilidad al calor</t>
  </si>
  <si>
    <t>{percent} de la población vive en las zonas más vulnerables al calor.</t>
  </si>
  <si>
    <t>இயல்பாக்கப்பட்ட வேறுபாட்டுத் தாவரக் குறியீடு (NDVI)</t>
  </si>
  <si>
    <t>பெரிய பொதுப் பசுமை வெளி</t>
  </si>
  <si>
    <t>500 மீட்டருக்குள் அணுகல்</t>
  </si>
  <si>
    <t>நில மேற்பரப்பு வெப்பநிலை ({units})</t>
  </si>
  <si>
    <t>தாவரப் பரப்பு</t>
  </si>
  <si>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</si>
  <si>
    <t>ஆய்வுப் பிராந்திய நிலப்பரப்பில் {percent} ஆண்டு சராசரி NDVI ≥ 0.2 என்ற தாவர வரம்பைப் பூர்த்தி செய்கிறது</t>
  </si>
  <si>
    <t>பெரிய பொது பசுமைவெளி அணுகல்</t>
  </si>
  <si>
    <t>{percent} மக்கள், குறைந்தது 1 ஹெக்டேர் பரப்பளவுள்ள பெரிய பொது பசுமைவெளியிலிருந்து 500 மீட்டருக்குள் வாழ்கின்றனர்</t>
  </si>
  <si>
    <t>நகர்ப்புற வெப்ப வெளிப்பாடு</t>
  </si>
  <si>
    <t>ஆண்டின் வெப்பமான மூன்றில் ஒரு பகுதிக்கான ({start_date} முதல் {end_date} வரை) சராசரி நில மேற்பரப்பு வெப்பநிலை</t>
  </si>
  <si>
    <t>நகர்ப்புற வெப்ப பாதிப்புத்தன்மை</t>
  </si>
  <si>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</si>
  <si>
    <t>வெப்ப பாதிப்புத்தன்மை</t>
  </si>
  <si>
    <t>{percent} மக்கள் வெப்பத்தால் மிகவும் பாதிக்கப்படக்கூடிய பகுதிகளில் வாழ்கின்றனர்.</t>
  </si>
  <si>
    <t>ดัชนีความแตกต่างของพืชพรรณแบบนอร์มาไลซ์ (NDVI)</t>
  </si>
  <si>
    <t>พื้นที่สีเขียวสาธารณะขนาดใหญ่</t>
  </si>
  <si>
    <t>การเข้าถึงภายใน 500 เมตร</t>
  </si>
  <si>
    <t>อุณหภูมิพื้นผิว ({units})</t>
  </si>
  <si>
    <t>ความหนาแน่นของพืชพรรณ</t>
  </si>
  <si>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</si>
  <si>
    <t>{percent} ของพื้นที่ศึกษาตรงตามเกณฑ์พืชพรรณของค่าเฉลี่ย NDVI รายปี ≥ 0.2</t>
  </si>
  <si>
    <t>การเข้าถึงพื้นที่สีเขียวสาธารณะขนาดใหญ่</t>
  </si>
  <si>
    <t>{percent} ของประชากรอาศัยอยู่ภายในระยะ 500 เมตรจากพื้นที่สีเขียวสาธารณะขนาดใหญ่ที่มีขนาดอย่างน้อย 1 เฮกตาร์</t>
  </si>
  <si>
    <t>การสัมผัสความร้อนในเมือง</t>
  </si>
  <si>
    <t>อุณหภูมิพื้นผิวเฉลี่ยในช่วงหนึ่งในสามของปีที่ร้อนที่สุด ({start_date} ถึง {end_date})</t>
  </si>
  <si>
    <t>ความเปราะบางต่อความร้อนในเมือง</t>
  </si>
  <si>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</si>
  <si>
    <t>ความเปราะบางต่อความร้อน</t>
  </si>
  <si>
    <t>{percent} ของประชากรอาศัยอยู่ในพื้นที่ที่มีความเสี่ยงต่อความร้อนมากที่สุด</t>
  </si>
  <si>
    <t>Normalleştirilmiş Fark Bitki Örtüsü İndeksi (NDVI)</t>
  </si>
  <si>
    <t>Büyük kamusal yeşil alan</t>
  </si>
  <si>
    <t>500 m içinde erişim</t>
  </si>
  <si>
    <t>Yüzey Sıcaklığı ({units})</t>
  </si>
  <si>
    <t>Bitki örtüsü</t>
  </si>
  <si>
    <t>Büyük kamusal yeşil alanlar, kentsel ısıyı azaltarak, hava kalitesini ve biyoçeşitliliği iyileştirerek ve fiziksel aktiviteyi, sosyal etkileşimleri ve zihinsel refahı teşvik ederek çok sayıda sağlık ve çevresel fayda sağlayabilir.</t>
  </si>
  <si>
    <t>Çalışma bölgesinin arazi alanının {percent}'si yıllık ortalama NDVI ≥ 0,2 bitki örtüsü eşiğini karşılıyor.</t>
  </si>
  <si>
    <t>Büyük kamusal yeşil alanlara erişim</t>
  </si>
  <si>
    <t>Nüfusun {percent}'si en az 1 hektarlık büyük kamusal yeşil alanlara 500 m mesafede yaşıyor.</t>
  </si>
  <si>
    <t>Kentsel ısıya maruz kalma</t>
  </si>
  <si>
    <t>Yılın en sıcak üçte birlik bölümü için ortalama arazi yüzey sıcaklığı ({start_date} - {end_date})</t>
  </si>
  <si>
    <t>Kentsel ısıya karşı savunmasızlık</t>
  </si>
  <si>
    <t>Isıya karşı savunmasızlıktaki eşitsizlikler, ısıya maruz kalma, hassasiyet ve adaptasyon kapasitesinin bir fonksiyonu olarak değerlendirilmiştir (Turner vd., 2025; https://dx.doi.org/10.2139/ssrn.5251739).</t>
  </si>
  <si>
    <t>Isıya karşı savunmasızlık</t>
  </si>
  <si>
    <t>Nüfusun {percent}'si ısıya karşı en savunmasız bölgelerde yaşıyor.</t>
  </si>
  <si>
    <t>Індекс нормалізованої різниці рослинності (NDVI)</t>
  </si>
  <si>
    <t>Великі громадські зелені зони</t>
  </si>
  <si>
    <t>Доступ у межах 500 м</t>
  </si>
  <si>
    <t>Температура поверхні землі ({units})</t>
  </si>
  <si>
    <t>Рослинний покрив</t>
  </si>
  <si>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</si>
  <si>
    <t>{percent} площі досліджуваного регіону відповідає порогу рослинності середньорічного NDVI ≥ 0,2</t>
  </si>
  <si>
    <t>Доступ до великих громадських зелених насаджень</t>
  </si>
  <si>
    <t>{percent} населення проживає в межах 500 м від великих громадських зелених насаджень площею щонайменше 1 гектар</t>
  </si>
  <si>
    <t>Вплив тепла в міському середовищі</t>
  </si>
  <si>
    <t>Середня температура поверхні землі протягом найспекотнішої третини року (з {start_date} до {end_date})</t>
  </si>
  <si>
    <t>Вразливість до тепла в міському середовищі</t>
  </si>
  <si>
    <t>Нерівність у вразливості до тепла оцінювалася як функція впливу тепла, чутливості та адаптивної здатності (Turner et al, 2025; https://dx.doi.org/10.2139/ssrn.5251739).</t>
  </si>
  <si>
    <t>Вразливість до тепла</t>
  </si>
  <si>
    <t>{percent} населення проживає в районах, найбільш вразливих до тепла</t>
  </si>
  <si>
    <t>Chỉ số thực vật khác biệt chuẩn hóa (NDVI)</t>
  </si>
  <si>
    <t>Không gian xanh công cộng rộng lớn</t>
  </si>
  <si>
    <t>Phạm vi tiếp cận trong vòng 500m</t>
  </si>
  <si>
    <t>Nhiệt độ bề mặt đất ({units})</t>
  </si>
  <si>
    <t>Độ che phủ thực vật</t>
  </si>
  <si>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</si>
  <si>
    <t>{percent} diện tích đất vùng nghiên cứu đáp ứng ngưỡng thảm thực vật với chỉ số NDVI trung bình hàng năm ≥ 0,2</t>
  </si>
  <si>
    <t>Tiếp cận không gian xanh công cộng rộng lớn</t>
  </si>
  <si>
    <t>{percent} dân số sống trong phạm vi 500m tính từ không gian xanh công cộng rộng lớn có diện tích ít nhất 1 ha</t>
  </si>
  <si>
    <t>Tiếp xúc với nhiệt đô thị</t>
  </si>
  <si>
    <t>Nhiệt độ bề mặt đất trung bình trong một phần ba nóng nhất của năm (từ {start_date} đến {end_date})</t>
  </si>
  <si>
    <t>Tính dễ bị tổn thương do nhiệt đô thị</t>
  </si>
  <si>
    <t>Sự bất bình đẳng về tính dễ bị tổn thương do nhiệt được đánh giá dựa trên mức độ tiếp xúc với nhiệt, độ nhạy cảm và khả năng thích ứng (Turner et al, 2025; https://dx.doi.org/10.2139/ssrn.5251739).</t>
  </si>
  <si>
    <t>Tính dễ bị tổn thương do nhiệt</t>
  </si>
  <si>
    <t>{percent} dân số sống ở những khu vực dễ bị tổn thương nhất do nhiệt</t>
  </si>
  <si>
    <t>https://github.com/healthysustainablecities/global-indicators/issues/600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</si>
</sst>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
      <u/>
      <sz val="11"/>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52">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0" fillId="0" borderId="0" xfId="0" applyAlignment="1">
      <alignment horizontal="left" vertical="top" wrapText="1"/>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xf numFmtId="0" fontId="20" fillId="33" borderId="0" xfId="0" applyFont="1" applyFill="1" applyAlignment="1">
      <alignment vertical="top"/>
    </xf>
    <xf numFmtId="0" fontId="23" fillId="33" borderId="0" xfId="42" applyFill="1" applyAlignment="1">
      <alignment vertical="top"/>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ithub.com/healthysustainablecities/global-indicators/issues/600" TargetMode="External"/><Relationship Id="rId1" Type="http://schemas.openxmlformats.org/officeDocument/2006/relationships/hyperlink" Target="https://github.com/healthysustainablecities/global-indicators/issues/600"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5213</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5208</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5209</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5210</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5211</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5212</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5274</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5275</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5276</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5274</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5275</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5276</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1024</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1024</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1024</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1024</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1024</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5234</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5235</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5236</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5237</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5238</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5239</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5240</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5241</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5242</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5243</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5244</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5245</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5246</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5247</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5248</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5249</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5250</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5251</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5252</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5253</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5254</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5255</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5256</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5257</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5258</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5259</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5260</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5261</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5262</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5263</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5264</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5265</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5266</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5267</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5268</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5269</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5270</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5271</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5272</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5273</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5204</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5205</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5206</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5207</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5213</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5208</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5209</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5210</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5211</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5212</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5274</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5275</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5276</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2"/>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5184</v>
      </c>
      <c r="B301">
        <v>19</v>
      </c>
      <c r="C301" t="s">
        <v>19</v>
      </c>
      <c r="D301">
        <v>14</v>
      </c>
      <c r="E301">
        <v>20</v>
      </c>
      <c r="F301">
        <v>180</v>
      </c>
      <c r="G301">
        <f>E301+5</f>
        <v>25</v>
      </c>
      <c r="H301" t="s">
        <v>102</v>
      </c>
      <c r="I301">
        <v>12</v>
      </c>
      <c r="J301">
        <v>1</v>
      </c>
      <c r="K301">
        <v>0</v>
      </c>
      <c r="L301">
        <v>0</v>
      </c>
      <c r="N301" t="s">
        <v>21</v>
      </c>
      <c r="O301" t="s">
        <v>25</v>
      </c>
      <c r="Q301">
        <v>3</v>
      </c>
      <c r="R301" t="b">
        <v>0</v>
      </c>
      <c r="S301" t="s">
        <v>119</v>
      </c>
      <c r="T301">
        <v>0</v>
      </c>
    </row>
    <row r="302" spans="1:20" x14ac:dyDescent="0.25">
      <c r="A302" t="s">
        <v>5182</v>
      </c>
      <c r="B302">
        <v>19</v>
      </c>
      <c r="C302" t="s">
        <v>24</v>
      </c>
      <c r="D302">
        <v>14</v>
      </c>
      <c r="E302">
        <v>60</v>
      </c>
      <c r="F302">
        <v>196</v>
      </c>
      <c r="G302">
        <f>INT(E302+(F302-D302)/11*10)</f>
        <v>225</v>
      </c>
      <c r="I302">
        <v>0</v>
      </c>
      <c r="J302">
        <v>0</v>
      </c>
      <c r="K302">
        <v>0</v>
      </c>
      <c r="L302">
        <v>0</v>
      </c>
      <c r="N302" t="s">
        <v>21</v>
      </c>
      <c r="O302" t="s">
        <v>25</v>
      </c>
      <c r="Q302">
        <v>2</v>
      </c>
      <c r="R302" t="b">
        <v>0</v>
      </c>
      <c r="S302" t="s">
        <v>119</v>
      </c>
      <c r="T302">
        <v>0</v>
      </c>
    </row>
    <row r="303" spans="1:20" x14ac:dyDescent="0.25">
      <c r="A303" t="s">
        <v>5183</v>
      </c>
      <c r="B303">
        <v>19</v>
      </c>
      <c r="C303" t="s">
        <v>19</v>
      </c>
      <c r="D303">
        <v>30</v>
      </c>
      <c r="E303">
        <f>G302+8</f>
        <v>233</v>
      </c>
      <c r="F303">
        <v>180</v>
      </c>
      <c r="G303">
        <f>E303+8</f>
        <v>241</v>
      </c>
      <c r="H303" t="s">
        <v>102</v>
      </c>
      <c r="I303">
        <v>16</v>
      </c>
      <c r="J303">
        <v>0</v>
      </c>
      <c r="K303">
        <v>0</v>
      </c>
      <c r="L303">
        <v>0</v>
      </c>
      <c r="M303" t="s">
        <v>884</v>
      </c>
      <c r="N303" t="s">
        <v>21</v>
      </c>
      <c r="O303" t="s">
        <v>27</v>
      </c>
      <c r="Q303">
        <v>2</v>
      </c>
      <c r="R303" t="b">
        <v>1</v>
      </c>
      <c r="S303" t="s">
        <v>119</v>
      </c>
      <c r="T303">
        <v>0</v>
      </c>
    </row>
    <row r="304" spans="1:20" x14ac:dyDescent="0.25">
      <c r="A304" t="s">
        <v>5188</v>
      </c>
      <c r="B304">
        <v>20</v>
      </c>
      <c r="C304" t="s">
        <v>19</v>
      </c>
      <c r="D304">
        <v>14</v>
      </c>
      <c r="E304">
        <v>20</v>
      </c>
      <c r="F304">
        <v>180</v>
      </c>
      <c r="G304">
        <f>E304+5</f>
        <v>25</v>
      </c>
      <c r="H304" t="s">
        <v>102</v>
      </c>
      <c r="I304">
        <v>12</v>
      </c>
      <c r="J304">
        <v>1</v>
      </c>
      <c r="K304">
        <v>0</v>
      </c>
      <c r="L304">
        <v>0</v>
      </c>
      <c r="N304" t="s">
        <v>21</v>
      </c>
      <c r="O304" t="s">
        <v>25</v>
      </c>
      <c r="Q304">
        <v>3</v>
      </c>
      <c r="R304" t="b">
        <v>0</v>
      </c>
      <c r="S304" t="s">
        <v>119</v>
      </c>
      <c r="T304">
        <v>0</v>
      </c>
    </row>
    <row r="305" spans="1:20" x14ac:dyDescent="0.25">
      <c r="A305" t="s">
        <v>5175</v>
      </c>
      <c r="B305">
        <v>20</v>
      </c>
      <c r="C305" t="s">
        <v>24</v>
      </c>
      <c r="D305">
        <v>14</v>
      </c>
      <c r="E305">
        <v>60</v>
      </c>
      <c r="F305">
        <v>196</v>
      </c>
      <c r="G305">
        <f>INT(E305+(F305-D305)/11*10)</f>
        <v>225</v>
      </c>
      <c r="I305">
        <v>0</v>
      </c>
      <c r="J305">
        <v>0</v>
      </c>
      <c r="K305">
        <v>0</v>
      </c>
      <c r="L305">
        <v>0</v>
      </c>
      <c r="N305" t="s">
        <v>21</v>
      </c>
      <c r="O305" t="s">
        <v>25</v>
      </c>
      <c r="Q305">
        <v>2</v>
      </c>
      <c r="R305" t="b">
        <v>0</v>
      </c>
      <c r="S305" t="s">
        <v>119</v>
      </c>
      <c r="T305">
        <v>0</v>
      </c>
    </row>
    <row r="306" spans="1:20" x14ac:dyDescent="0.25">
      <c r="A306" t="s">
        <v>5176</v>
      </c>
      <c r="B306">
        <v>20</v>
      </c>
      <c r="C306" t="s">
        <v>19</v>
      </c>
      <c r="D306">
        <v>30</v>
      </c>
      <c r="E306">
        <f>G305+8</f>
        <v>233</v>
      </c>
      <c r="F306">
        <v>180</v>
      </c>
      <c r="G306">
        <f>E306+8</f>
        <v>241</v>
      </c>
      <c r="H306" t="s">
        <v>102</v>
      </c>
      <c r="I306">
        <v>16</v>
      </c>
      <c r="J306">
        <v>0</v>
      </c>
      <c r="K306">
        <v>0</v>
      </c>
      <c r="L306">
        <v>0</v>
      </c>
      <c r="M306" t="s">
        <v>884</v>
      </c>
      <c r="N306" t="s">
        <v>21</v>
      </c>
      <c r="O306" t="s">
        <v>27</v>
      </c>
      <c r="Q306">
        <v>2</v>
      </c>
      <c r="R306" t="b">
        <v>1</v>
      </c>
      <c r="S306" t="s">
        <v>119</v>
      </c>
      <c r="T306">
        <v>0</v>
      </c>
    </row>
    <row r="307" spans="1:20" x14ac:dyDescent="0.25">
      <c r="A307" t="s">
        <v>895</v>
      </c>
      <c r="B307">
        <v>21</v>
      </c>
      <c r="C307" t="s">
        <v>19</v>
      </c>
      <c r="D307">
        <v>14</v>
      </c>
      <c r="E307">
        <v>20</v>
      </c>
      <c r="F307">
        <v>196</v>
      </c>
      <c r="G307">
        <v>25</v>
      </c>
      <c r="H307" t="s">
        <v>102</v>
      </c>
      <c r="I307">
        <v>14</v>
      </c>
      <c r="J307">
        <v>1</v>
      </c>
      <c r="K307">
        <v>0</v>
      </c>
      <c r="L307">
        <v>0</v>
      </c>
      <c r="N307" t="s">
        <v>21</v>
      </c>
      <c r="O307" t="s">
        <v>25</v>
      </c>
      <c r="Q307">
        <v>2</v>
      </c>
      <c r="R307" t="b">
        <v>1</v>
      </c>
      <c r="S307" t="s">
        <v>119</v>
      </c>
      <c r="T307">
        <v>0</v>
      </c>
    </row>
    <row r="308" spans="1:20" x14ac:dyDescent="0.25">
      <c r="A308" t="s">
        <v>896</v>
      </c>
      <c r="B308">
        <v>21</v>
      </c>
      <c r="C308" t="s">
        <v>19</v>
      </c>
      <c r="D308">
        <v>14</v>
      </c>
      <c r="E308">
        <v>33</v>
      </c>
      <c r="F308">
        <v>196</v>
      </c>
      <c r="G308">
        <v>38</v>
      </c>
      <c r="H308" t="s">
        <v>102</v>
      </c>
      <c r="I308">
        <v>12</v>
      </c>
      <c r="J308">
        <v>0</v>
      </c>
      <c r="K308">
        <v>0</v>
      </c>
      <c r="L308">
        <v>0</v>
      </c>
      <c r="N308" t="s">
        <v>21</v>
      </c>
      <c r="O308" t="s">
        <v>25</v>
      </c>
      <c r="Q308">
        <v>2</v>
      </c>
      <c r="R308" t="b">
        <v>1</v>
      </c>
      <c r="T308">
        <v>0</v>
      </c>
    </row>
    <row r="309" spans="1:20" x14ac:dyDescent="0.25">
      <c r="A309" t="s">
        <v>5213</v>
      </c>
      <c r="B309">
        <v>21</v>
      </c>
      <c r="C309" t="s">
        <v>26</v>
      </c>
      <c r="D309">
        <v>0</v>
      </c>
      <c r="E309">
        <v>75</v>
      </c>
      <c r="F309">
        <v>210</v>
      </c>
      <c r="G309">
        <v>123</v>
      </c>
      <c r="I309">
        <v>0</v>
      </c>
      <c r="J309">
        <v>1</v>
      </c>
      <c r="K309">
        <v>0</v>
      </c>
      <c r="L309">
        <v>0</v>
      </c>
      <c r="M309" t="s">
        <v>918</v>
      </c>
      <c r="N309" t="s">
        <v>918</v>
      </c>
      <c r="O309" t="s">
        <v>25</v>
      </c>
      <c r="Q309">
        <v>1</v>
      </c>
      <c r="R309" t="b">
        <v>0</v>
      </c>
      <c r="S309" t="s">
        <v>119</v>
      </c>
      <c r="T309">
        <v>0</v>
      </c>
    </row>
    <row r="310" spans="1:20" x14ac:dyDescent="0.25">
      <c r="A310" t="s">
        <v>5208</v>
      </c>
      <c r="B310">
        <v>21</v>
      </c>
      <c r="C310" t="s">
        <v>19</v>
      </c>
      <c r="D310">
        <v>14</v>
      </c>
      <c r="E310">
        <v>80</v>
      </c>
      <c r="F310">
        <v>196</v>
      </c>
      <c r="G310">
        <v>83</v>
      </c>
      <c r="H310" t="s">
        <v>102</v>
      </c>
      <c r="I310">
        <v>12</v>
      </c>
      <c r="J310">
        <v>1</v>
      </c>
      <c r="K310">
        <v>0</v>
      </c>
      <c r="L310">
        <v>0</v>
      </c>
      <c r="N310" t="s">
        <v>918</v>
      </c>
      <c r="O310" t="s">
        <v>25</v>
      </c>
      <c r="Q310">
        <v>3</v>
      </c>
      <c r="R310" t="b">
        <v>0</v>
      </c>
      <c r="S310" t="s">
        <v>119</v>
      </c>
      <c r="T310">
        <v>0</v>
      </c>
    </row>
    <row r="311" spans="1:20" x14ac:dyDescent="0.25">
      <c r="A311" t="s">
        <v>774</v>
      </c>
      <c r="B311">
        <v>21</v>
      </c>
      <c r="C311" t="s">
        <v>19</v>
      </c>
      <c r="D311">
        <v>113</v>
      </c>
      <c r="E311">
        <v>77</v>
      </c>
      <c r="F311">
        <v>140</v>
      </c>
      <c r="G311">
        <v>82</v>
      </c>
      <c r="H311" t="s">
        <v>102</v>
      </c>
      <c r="I311">
        <v>10</v>
      </c>
      <c r="J311">
        <v>1</v>
      </c>
      <c r="K311">
        <v>0</v>
      </c>
      <c r="L311">
        <v>0</v>
      </c>
      <c r="N311" t="s">
        <v>918</v>
      </c>
      <c r="O311" t="s">
        <v>27</v>
      </c>
      <c r="Q311">
        <v>3</v>
      </c>
      <c r="R311" t="b">
        <v>1</v>
      </c>
      <c r="S311" t="s">
        <v>119</v>
      </c>
      <c r="T311">
        <v>0</v>
      </c>
    </row>
    <row r="312" spans="1:20" x14ac:dyDescent="0.25">
      <c r="A312" t="s">
        <v>775</v>
      </c>
      <c r="B312">
        <v>21</v>
      </c>
      <c r="C312" t="s">
        <v>19</v>
      </c>
      <c r="D312">
        <v>140</v>
      </c>
      <c r="E312">
        <v>77</v>
      </c>
      <c r="F312">
        <v>169</v>
      </c>
      <c r="G312">
        <v>82</v>
      </c>
      <c r="H312" t="s">
        <v>102</v>
      </c>
      <c r="I312">
        <v>10</v>
      </c>
      <c r="J312">
        <v>1</v>
      </c>
      <c r="K312">
        <v>0</v>
      </c>
      <c r="L312">
        <v>0</v>
      </c>
      <c r="N312" t="s">
        <v>918</v>
      </c>
      <c r="O312" t="s">
        <v>27</v>
      </c>
      <c r="Q312">
        <v>3</v>
      </c>
      <c r="R312" t="b">
        <v>1</v>
      </c>
      <c r="S312" t="s">
        <v>119</v>
      </c>
      <c r="T312">
        <v>0</v>
      </c>
    </row>
    <row r="313" spans="1:20" x14ac:dyDescent="0.25">
      <c r="A313" t="s">
        <v>776</v>
      </c>
      <c r="B313">
        <v>21</v>
      </c>
      <c r="C313" t="s">
        <v>19</v>
      </c>
      <c r="D313">
        <v>168</v>
      </c>
      <c r="E313">
        <v>77</v>
      </c>
      <c r="F313">
        <v>194</v>
      </c>
      <c r="G313">
        <v>82</v>
      </c>
      <c r="H313" t="s">
        <v>102</v>
      </c>
      <c r="I313">
        <v>10</v>
      </c>
      <c r="J313">
        <v>1</v>
      </c>
      <c r="K313">
        <v>0</v>
      </c>
      <c r="L313">
        <v>0</v>
      </c>
      <c r="N313" t="s">
        <v>918</v>
      </c>
      <c r="O313" t="s">
        <v>27</v>
      </c>
      <c r="Q313">
        <v>3</v>
      </c>
      <c r="R313" t="b">
        <v>1</v>
      </c>
      <c r="S313" t="s">
        <v>119</v>
      </c>
      <c r="T313">
        <v>0</v>
      </c>
    </row>
    <row r="314" spans="1:20" x14ac:dyDescent="0.25">
      <c r="A314" t="s">
        <v>44</v>
      </c>
      <c r="B314">
        <v>21</v>
      </c>
      <c r="C314" t="s">
        <v>25</v>
      </c>
      <c r="D314">
        <v>114</v>
      </c>
      <c r="E314">
        <v>75</v>
      </c>
      <c r="F314">
        <v>114</v>
      </c>
      <c r="G314">
        <v>123</v>
      </c>
      <c r="I314">
        <v>0.5</v>
      </c>
      <c r="J314">
        <v>0</v>
      </c>
      <c r="K314">
        <v>0</v>
      </c>
      <c r="L314">
        <v>0</v>
      </c>
      <c r="M314" t="s">
        <v>21</v>
      </c>
      <c r="N314" t="s">
        <v>918</v>
      </c>
      <c r="O314" t="s">
        <v>25</v>
      </c>
      <c r="Q314">
        <v>4</v>
      </c>
      <c r="R314" t="b">
        <v>0</v>
      </c>
      <c r="S314" t="s">
        <v>119</v>
      </c>
      <c r="T314">
        <v>0</v>
      </c>
    </row>
    <row r="315" spans="1:20" x14ac:dyDescent="0.25">
      <c r="A315" t="s">
        <v>45</v>
      </c>
      <c r="B315">
        <v>21</v>
      </c>
      <c r="C315" t="s">
        <v>25</v>
      </c>
      <c r="D315">
        <v>141</v>
      </c>
      <c r="E315">
        <v>75</v>
      </c>
      <c r="F315">
        <v>141</v>
      </c>
      <c r="G315">
        <v>123</v>
      </c>
      <c r="I315">
        <v>0.5</v>
      </c>
      <c r="J315">
        <v>0</v>
      </c>
      <c r="K315">
        <v>0</v>
      </c>
      <c r="L315">
        <v>0</v>
      </c>
      <c r="M315" t="s">
        <v>21</v>
      </c>
      <c r="N315" t="s">
        <v>918</v>
      </c>
      <c r="O315" t="s">
        <v>25</v>
      </c>
      <c r="Q315">
        <v>4</v>
      </c>
      <c r="R315" t="b">
        <v>0</v>
      </c>
      <c r="S315" t="s">
        <v>119</v>
      </c>
      <c r="T315">
        <v>0</v>
      </c>
    </row>
    <row r="316" spans="1:20" x14ac:dyDescent="0.25">
      <c r="A316" t="s">
        <v>46</v>
      </c>
      <c r="B316">
        <v>21</v>
      </c>
      <c r="C316" t="s">
        <v>25</v>
      </c>
      <c r="D316">
        <v>168</v>
      </c>
      <c r="E316">
        <v>75</v>
      </c>
      <c r="F316">
        <v>168</v>
      </c>
      <c r="G316">
        <v>123</v>
      </c>
      <c r="I316">
        <v>0.5</v>
      </c>
      <c r="J316">
        <v>0</v>
      </c>
      <c r="K316">
        <v>0</v>
      </c>
      <c r="L316">
        <v>0</v>
      </c>
      <c r="M316" t="s">
        <v>21</v>
      </c>
      <c r="N316" t="s">
        <v>918</v>
      </c>
      <c r="O316" t="s">
        <v>25</v>
      </c>
      <c r="Q316">
        <v>4</v>
      </c>
      <c r="R316" t="b">
        <v>0</v>
      </c>
      <c r="S316" t="s">
        <v>119</v>
      </c>
      <c r="T316">
        <v>0</v>
      </c>
    </row>
    <row r="317" spans="1:20" x14ac:dyDescent="0.25">
      <c r="A317" t="s">
        <v>55</v>
      </c>
      <c r="B317">
        <v>21</v>
      </c>
      <c r="C317" t="s">
        <v>25</v>
      </c>
      <c r="D317">
        <v>14</v>
      </c>
      <c r="E317">
        <v>102</v>
      </c>
      <c r="F317">
        <v>196</v>
      </c>
      <c r="G317">
        <v>102</v>
      </c>
      <c r="I317">
        <v>0.5</v>
      </c>
      <c r="J317">
        <v>0</v>
      </c>
      <c r="K317">
        <v>0</v>
      </c>
      <c r="L317">
        <v>0</v>
      </c>
      <c r="M317" t="s">
        <v>21</v>
      </c>
      <c r="N317" t="s">
        <v>918</v>
      </c>
      <c r="O317" t="s">
        <v>25</v>
      </c>
      <c r="Q317">
        <v>4</v>
      </c>
      <c r="R317" t="b">
        <v>0</v>
      </c>
      <c r="S317" t="s">
        <v>119</v>
      </c>
      <c r="T317">
        <v>0</v>
      </c>
    </row>
    <row r="318" spans="1:20" x14ac:dyDescent="0.25">
      <c r="A318" t="s">
        <v>920</v>
      </c>
      <c r="B318">
        <v>21</v>
      </c>
      <c r="C318" t="s">
        <v>19</v>
      </c>
      <c r="D318">
        <v>14</v>
      </c>
      <c r="E318">
        <v>125</v>
      </c>
      <c r="F318">
        <v>196</v>
      </c>
      <c r="G318">
        <v>129</v>
      </c>
      <c r="H318" t="s">
        <v>102</v>
      </c>
      <c r="I318">
        <v>10</v>
      </c>
      <c r="J318">
        <v>0</v>
      </c>
      <c r="K318">
        <v>0</v>
      </c>
      <c r="L318">
        <v>0</v>
      </c>
      <c r="N318" t="s">
        <v>21</v>
      </c>
      <c r="O318" t="s">
        <v>22</v>
      </c>
      <c r="Q318">
        <v>2</v>
      </c>
      <c r="R318" t="b">
        <v>0</v>
      </c>
      <c r="S318" t="s">
        <v>119</v>
      </c>
      <c r="T318">
        <v>0</v>
      </c>
    </row>
    <row r="319" spans="1:20" x14ac:dyDescent="0.25">
      <c r="A319" t="s">
        <v>5209</v>
      </c>
      <c r="B319">
        <v>21</v>
      </c>
      <c r="C319" t="s">
        <v>19</v>
      </c>
      <c r="D319">
        <v>14</v>
      </c>
      <c r="E319">
        <v>104</v>
      </c>
      <c r="F319">
        <v>112</v>
      </c>
      <c r="G319">
        <v>109</v>
      </c>
      <c r="H319" t="s">
        <v>102</v>
      </c>
      <c r="I319">
        <v>12</v>
      </c>
      <c r="J319">
        <v>0</v>
      </c>
      <c r="K319">
        <v>0</v>
      </c>
      <c r="L319">
        <v>0</v>
      </c>
      <c r="N319" t="s">
        <v>918</v>
      </c>
      <c r="O319" t="s">
        <v>25</v>
      </c>
      <c r="Q319">
        <v>3</v>
      </c>
      <c r="R319" t="b">
        <v>1</v>
      </c>
      <c r="S319" t="s">
        <v>119</v>
      </c>
      <c r="T319">
        <v>0</v>
      </c>
    </row>
    <row r="320" spans="1:20" x14ac:dyDescent="0.25">
      <c r="A320" t="s">
        <v>5210</v>
      </c>
      <c r="B320">
        <v>21</v>
      </c>
      <c r="C320" t="s">
        <v>19</v>
      </c>
      <c r="D320">
        <v>113</v>
      </c>
      <c r="E320">
        <v>105</v>
      </c>
      <c r="F320">
        <v>140</v>
      </c>
      <c r="G320">
        <v>108</v>
      </c>
      <c r="H320" t="s">
        <v>20</v>
      </c>
      <c r="I320">
        <v>16</v>
      </c>
      <c r="J320">
        <v>1</v>
      </c>
      <c r="K320">
        <v>0</v>
      </c>
      <c r="L320">
        <v>0</v>
      </c>
      <c r="N320" t="s">
        <v>918</v>
      </c>
      <c r="O320" t="s">
        <v>27</v>
      </c>
      <c r="Q320">
        <v>2</v>
      </c>
      <c r="R320" t="b">
        <v>0</v>
      </c>
      <c r="S320" t="s">
        <v>119</v>
      </c>
      <c r="T320">
        <v>0</v>
      </c>
    </row>
    <row r="321" spans="1:20" x14ac:dyDescent="0.25">
      <c r="A321" t="s">
        <v>5211</v>
      </c>
      <c r="B321">
        <v>21</v>
      </c>
      <c r="C321" t="s">
        <v>19</v>
      </c>
      <c r="D321">
        <v>140</v>
      </c>
      <c r="E321">
        <v>105</v>
      </c>
      <c r="F321">
        <v>169</v>
      </c>
      <c r="G321">
        <v>108</v>
      </c>
      <c r="H321" t="s">
        <v>20</v>
      </c>
      <c r="I321">
        <v>16</v>
      </c>
      <c r="J321">
        <v>1</v>
      </c>
      <c r="K321">
        <v>0</v>
      </c>
      <c r="L321">
        <v>0</v>
      </c>
      <c r="N321" t="s">
        <v>918</v>
      </c>
      <c r="O321" t="s">
        <v>27</v>
      </c>
      <c r="Q321">
        <v>2</v>
      </c>
      <c r="R321" t="b">
        <v>0</v>
      </c>
      <c r="S321" t="s">
        <v>119</v>
      </c>
      <c r="T321">
        <v>0</v>
      </c>
    </row>
    <row r="322" spans="1:20" x14ac:dyDescent="0.25">
      <c r="A322" t="s">
        <v>5212</v>
      </c>
      <c r="B322">
        <v>21</v>
      </c>
      <c r="C322" t="s">
        <v>19</v>
      </c>
      <c r="D322">
        <v>168</v>
      </c>
      <c r="E322">
        <v>105</v>
      </c>
      <c r="F322">
        <v>194</v>
      </c>
      <c r="G322">
        <v>108</v>
      </c>
      <c r="H322" t="s">
        <v>20</v>
      </c>
      <c r="I322">
        <v>16</v>
      </c>
      <c r="J322">
        <v>1</v>
      </c>
      <c r="K322">
        <v>0</v>
      </c>
      <c r="L322">
        <v>0</v>
      </c>
      <c r="N322" t="s">
        <v>918</v>
      </c>
      <c r="O322" t="s">
        <v>27</v>
      </c>
      <c r="Q322">
        <v>2</v>
      </c>
      <c r="R322" t="b">
        <v>0</v>
      </c>
      <c r="S322" t="s">
        <v>119</v>
      </c>
      <c r="T322">
        <v>0</v>
      </c>
    </row>
    <row r="323" spans="1:20" x14ac:dyDescent="0.25">
      <c r="A323" t="s">
        <v>1027</v>
      </c>
      <c r="B323">
        <v>21</v>
      </c>
      <c r="C323" t="s">
        <v>24</v>
      </c>
      <c r="D323">
        <v>30</v>
      </c>
      <c r="E323">
        <v>130</v>
      </c>
      <c r="F323">
        <v>180</v>
      </c>
      <c r="G323">
        <v>280</v>
      </c>
      <c r="I323">
        <v>0</v>
      </c>
      <c r="J323">
        <v>0</v>
      </c>
      <c r="K323">
        <v>0</v>
      </c>
      <c r="L323">
        <v>0</v>
      </c>
      <c r="N323" t="s">
        <v>21</v>
      </c>
      <c r="O323" t="s">
        <v>25</v>
      </c>
      <c r="Q323">
        <v>0</v>
      </c>
      <c r="R323" t="b">
        <v>0</v>
      </c>
      <c r="S323" t="s">
        <v>119</v>
      </c>
      <c r="T323">
        <v>0</v>
      </c>
    </row>
    <row r="324" spans="1:20" x14ac:dyDescent="0.25">
      <c r="A324" t="s">
        <v>1028</v>
      </c>
      <c r="B324">
        <v>21</v>
      </c>
      <c r="C324" t="s">
        <v>19</v>
      </c>
      <c r="D324">
        <v>30</v>
      </c>
      <c r="E324">
        <v>130</v>
      </c>
      <c r="F324">
        <v>130</v>
      </c>
      <c r="G324">
        <v>280</v>
      </c>
      <c r="H324" t="s">
        <v>102</v>
      </c>
      <c r="I324">
        <v>12</v>
      </c>
      <c r="J324">
        <v>0</v>
      </c>
      <c r="K324">
        <v>1</v>
      </c>
      <c r="L324">
        <v>0</v>
      </c>
      <c r="N324" t="s">
        <v>21</v>
      </c>
      <c r="O324" t="s">
        <v>25</v>
      </c>
      <c r="Q324">
        <v>0</v>
      </c>
      <c r="R324" t="b">
        <v>1</v>
      </c>
      <c r="S324" t="s">
        <v>119</v>
      </c>
      <c r="T324">
        <v>0</v>
      </c>
    </row>
    <row r="325" spans="1:20" x14ac:dyDescent="0.25">
      <c r="A325" t="s">
        <v>1029</v>
      </c>
      <c r="B325">
        <v>21</v>
      </c>
      <c r="C325" t="s">
        <v>19</v>
      </c>
      <c r="D325">
        <v>30</v>
      </c>
      <c r="E325">
        <v>280</v>
      </c>
      <c r="F325">
        <v>180</v>
      </c>
      <c r="G325">
        <v>283</v>
      </c>
      <c r="H325" t="s">
        <v>102</v>
      </c>
      <c r="I325">
        <v>8</v>
      </c>
      <c r="J325">
        <v>0</v>
      </c>
      <c r="K325">
        <v>1</v>
      </c>
      <c r="L325">
        <v>0</v>
      </c>
      <c r="M325" t="s">
        <v>884</v>
      </c>
      <c r="N325" t="s">
        <v>21</v>
      </c>
      <c r="O325" t="s">
        <v>22</v>
      </c>
      <c r="Q325">
        <v>0</v>
      </c>
      <c r="R325" t="b">
        <v>1</v>
      </c>
      <c r="S325" t="s">
        <v>119</v>
      </c>
      <c r="T325">
        <v>0</v>
      </c>
    </row>
    <row r="326" spans="1:20" x14ac:dyDescent="0.25">
      <c r="A326" t="s">
        <v>5189</v>
      </c>
      <c r="B326">
        <v>22</v>
      </c>
      <c r="C326" t="s">
        <v>19</v>
      </c>
      <c r="D326">
        <v>14</v>
      </c>
      <c r="E326">
        <v>20</v>
      </c>
      <c r="F326">
        <v>180</v>
      </c>
      <c r="G326">
        <f>E326+5</f>
        <v>25</v>
      </c>
      <c r="H326" t="s">
        <v>102</v>
      </c>
      <c r="I326">
        <v>12</v>
      </c>
      <c r="J326">
        <v>1</v>
      </c>
      <c r="K326">
        <v>0</v>
      </c>
      <c r="L326">
        <v>0</v>
      </c>
      <c r="N326" t="s">
        <v>21</v>
      </c>
      <c r="O326" t="s">
        <v>25</v>
      </c>
      <c r="Q326">
        <v>3</v>
      </c>
      <c r="R326" t="b">
        <v>0</v>
      </c>
      <c r="S326" t="s">
        <v>119</v>
      </c>
      <c r="T326">
        <v>0</v>
      </c>
    </row>
    <row r="327" spans="1:20" x14ac:dyDescent="0.25">
      <c r="A327" t="s">
        <v>5193</v>
      </c>
      <c r="B327">
        <v>22</v>
      </c>
      <c r="C327" t="s">
        <v>24</v>
      </c>
      <c r="D327">
        <v>14</v>
      </c>
      <c r="E327">
        <v>60</v>
      </c>
      <c r="F327">
        <v>196</v>
      </c>
      <c r="G327">
        <f>INT(E327+(F327-D327)/11*10)</f>
        <v>225</v>
      </c>
      <c r="I327">
        <v>0</v>
      </c>
      <c r="J327">
        <v>0</v>
      </c>
      <c r="K327">
        <v>0</v>
      </c>
      <c r="L327">
        <v>0</v>
      </c>
      <c r="N327" t="s">
        <v>21</v>
      </c>
      <c r="O327" t="s">
        <v>25</v>
      </c>
      <c r="Q327">
        <v>2</v>
      </c>
      <c r="R327" t="b">
        <v>0</v>
      </c>
      <c r="S327" t="s">
        <v>119</v>
      </c>
      <c r="T327">
        <v>0</v>
      </c>
    </row>
    <row r="328" spans="1:20" x14ac:dyDescent="0.25">
      <c r="A328" t="s">
        <v>5191</v>
      </c>
      <c r="B328">
        <v>22</v>
      </c>
      <c r="C328" t="s">
        <v>19</v>
      </c>
      <c r="D328">
        <v>30</v>
      </c>
      <c r="E328">
        <f>G327+8</f>
        <v>233</v>
      </c>
      <c r="F328">
        <v>180</v>
      </c>
      <c r="G328">
        <f>E328+8</f>
        <v>241</v>
      </c>
      <c r="H328" t="s">
        <v>102</v>
      </c>
      <c r="I328">
        <v>16</v>
      </c>
      <c r="J328">
        <v>0</v>
      </c>
      <c r="K328">
        <v>0</v>
      </c>
      <c r="L328">
        <v>0</v>
      </c>
      <c r="M328" t="s">
        <v>884</v>
      </c>
      <c r="N328" t="s">
        <v>21</v>
      </c>
      <c r="O328" t="s">
        <v>27</v>
      </c>
      <c r="Q328">
        <v>2</v>
      </c>
      <c r="R328" t="b">
        <v>1</v>
      </c>
      <c r="S328" t="s">
        <v>119</v>
      </c>
      <c r="T328">
        <v>0</v>
      </c>
    </row>
    <row r="329" spans="1:20" x14ac:dyDescent="0.25">
      <c r="A329" t="s">
        <v>5177</v>
      </c>
      <c r="B329">
        <v>23</v>
      </c>
      <c r="C329" t="s">
        <v>19</v>
      </c>
      <c r="D329">
        <v>14</v>
      </c>
      <c r="E329">
        <v>20</v>
      </c>
      <c r="F329">
        <v>180</v>
      </c>
      <c r="G329">
        <f>E329+5</f>
        <v>25</v>
      </c>
      <c r="H329" t="s">
        <v>102</v>
      </c>
      <c r="I329">
        <v>12</v>
      </c>
      <c r="J329">
        <v>1</v>
      </c>
      <c r="K329">
        <v>0</v>
      </c>
      <c r="L329">
        <v>0</v>
      </c>
      <c r="N329" t="s">
        <v>21</v>
      </c>
      <c r="O329" t="s">
        <v>25</v>
      </c>
      <c r="Q329">
        <v>3</v>
      </c>
      <c r="R329" t="b">
        <v>0</v>
      </c>
      <c r="S329" t="s">
        <v>119</v>
      </c>
      <c r="T329">
        <v>0</v>
      </c>
    </row>
    <row r="330" spans="1:20" x14ac:dyDescent="0.25">
      <c r="A330" t="s">
        <v>5178</v>
      </c>
      <c r="B330">
        <v>23</v>
      </c>
      <c r="C330" t="s">
        <v>19</v>
      </c>
      <c r="D330">
        <v>14</v>
      </c>
      <c r="E330">
        <f>G329+8</f>
        <v>33</v>
      </c>
      <c r="F330">
        <v>196</v>
      </c>
      <c r="G330">
        <f>E330+5</f>
        <v>38</v>
      </c>
      <c r="H330" t="s">
        <v>102</v>
      </c>
      <c r="I330">
        <v>12</v>
      </c>
      <c r="J330">
        <v>0</v>
      </c>
      <c r="K330">
        <v>0</v>
      </c>
      <c r="L330">
        <v>0</v>
      </c>
      <c r="N330" t="s">
        <v>21</v>
      </c>
      <c r="O330" t="s">
        <v>25</v>
      </c>
      <c r="P330" s="1"/>
      <c r="Q330">
        <v>2</v>
      </c>
      <c r="R330" t="b">
        <v>1</v>
      </c>
      <c r="S330" t="s">
        <v>119</v>
      </c>
      <c r="T330">
        <v>0</v>
      </c>
    </row>
    <row r="331" spans="1:20" x14ac:dyDescent="0.25">
      <c r="A331" t="s">
        <v>5179</v>
      </c>
      <c r="B331">
        <v>23</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5180</v>
      </c>
      <c r="B332">
        <v>23</v>
      </c>
      <c r="C332" t="s">
        <v>19</v>
      </c>
      <c r="D332">
        <v>14</v>
      </c>
      <c r="E332">
        <f>G331+8</f>
        <v>233</v>
      </c>
      <c r="F332">
        <v>196</v>
      </c>
      <c r="G332">
        <f>E332+8</f>
        <v>241</v>
      </c>
      <c r="H332" t="s">
        <v>102</v>
      </c>
      <c r="I332">
        <v>16</v>
      </c>
      <c r="J332">
        <v>0</v>
      </c>
      <c r="K332">
        <v>0</v>
      </c>
      <c r="L332">
        <v>0</v>
      </c>
      <c r="M332" t="s">
        <v>884</v>
      </c>
      <c r="N332" t="s">
        <v>21</v>
      </c>
      <c r="O332" t="s">
        <v>27</v>
      </c>
      <c r="Q332">
        <v>2</v>
      </c>
      <c r="R332" t="b">
        <v>1</v>
      </c>
      <c r="S332" t="s">
        <v>119</v>
      </c>
      <c r="T332">
        <v>0</v>
      </c>
    </row>
    <row r="333" spans="1:20" x14ac:dyDescent="0.25">
      <c r="A333" t="s">
        <v>127</v>
      </c>
      <c r="B333">
        <v>24</v>
      </c>
      <c r="C333" t="s">
        <v>19</v>
      </c>
      <c r="D333">
        <v>14</v>
      </c>
      <c r="E333">
        <v>20</v>
      </c>
      <c r="F333">
        <v>196</v>
      </c>
      <c r="G333">
        <v>25</v>
      </c>
      <c r="H333" t="s">
        <v>102</v>
      </c>
      <c r="I333">
        <v>14</v>
      </c>
      <c r="J333">
        <v>1</v>
      </c>
      <c r="K333">
        <v>0</v>
      </c>
      <c r="L333">
        <v>0</v>
      </c>
      <c r="N333" t="s">
        <v>21</v>
      </c>
      <c r="O333" t="s">
        <v>25</v>
      </c>
      <c r="Q333">
        <v>2</v>
      </c>
      <c r="R333" t="b">
        <v>1</v>
      </c>
      <c r="S333" t="s">
        <v>119</v>
      </c>
      <c r="T333">
        <v>0</v>
      </c>
    </row>
    <row r="334" spans="1:20" x14ac:dyDescent="0.25">
      <c r="A334" t="s">
        <v>5025</v>
      </c>
      <c r="B334">
        <v>24</v>
      </c>
      <c r="C334" t="s">
        <v>19</v>
      </c>
      <c r="D334">
        <v>14</v>
      </c>
      <c r="E334">
        <v>33</v>
      </c>
      <c r="F334">
        <v>196</v>
      </c>
      <c r="G334">
        <v>38</v>
      </c>
      <c r="H334" t="s">
        <v>102</v>
      </c>
      <c r="I334">
        <v>12</v>
      </c>
      <c r="J334">
        <v>0</v>
      </c>
      <c r="K334">
        <v>0</v>
      </c>
      <c r="L334">
        <v>0</v>
      </c>
      <c r="N334" t="s">
        <v>21</v>
      </c>
      <c r="O334" t="s">
        <v>25</v>
      </c>
      <c r="Q334">
        <v>2</v>
      </c>
      <c r="R334" t="b">
        <v>1</v>
      </c>
      <c r="T334">
        <v>0</v>
      </c>
    </row>
    <row r="335" spans="1:20" x14ac:dyDescent="0.25">
      <c r="A335" t="s">
        <v>29</v>
      </c>
      <c r="B335">
        <v>24</v>
      </c>
      <c r="C335" t="s">
        <v>25</v>
      </c>
      <c r="D335">
        <v>14</v>
      </c>
      <c r="E335">
        <v>200</v>
      </c>
      <c r="F335">
        <v>196</v>
      </c>
      <c r="G335">
        <v>200</v>
      </c>
      <c r="I335">
        <v>0</v>
      </c>
      <c r="J335">
        <v>0</v>
      </c>
      <c r="K335">
        <v>0</v>
      </c>
      <c r="L335">
        <v>0</v>
      </c>
      <c r="N335" t="s">
        <v>21</v>
      </c>
      <c r="O335" t="s">
        <v>25</v>
      </c>
      <c r="Q335">
        <v>2</v>
      </c>
      <c r="R335" t="b">
        <v>0</v>
      </c>
      <c r="S335" t="s">
        <v>119</v>
      </c>
      <c r="T335">
        <v>0</v>
      </c>
    </row>
    <row r="336" spans="1:20" x14ac:dyDescent="0.25">
      <c r="A336" t="s">
        <v>334</v>
      </c>
      <c r="B336">
        <v>24</v>
      </c>
      <c r="C336" t="s">
        <v>19</v>
      </c>
      <c r="D336">
        <v>14</v>
      </c>
      <c r="E336">
        <v>208</v>
      </c>
      <c r="F336">
        <v>196</v>
      </c>
      <c r="G336">
        <v>212</v>
      </c>
      <c r="H336" t="s">
        <v>102</v>
      </c>
      <c r="I336">
        <v>12</v>
      </c>
      <c r="J336">
        <v>1</v>
      </c>
      <c r="K336">
        <v>0</v>
      </c>
      <c r="L336">
        <v>0</v>
      </c>
      <c r="N336" t="s">
        <v>21</v>
      </c>
      <c r="O336" t="s">
        <v>25</v>
      </c>
      <c r="P336" s="1"/>
      <c r="Q336">
        <v>2</v>
      </c>
      <c r="R336" t="b">
        <v>1</v>
      </c>
      <c r="S336" t="s">
        <v>119</v>
      </c>
      <c r="T336">
        <v>0</v>
      </c>
    </row>
    <row r="337" spans="1:20" x14ac:dyDescent="0.25">
      <c r="A337" t="s">
        <v>666</v>
      </c>
      <c r="B337">
        <v>24</v>
      </c>
      <c r="C337" t="s">
        <v>19</v>
      </c>
      <c r="D337">
        <v>14</v>
      </c>
      <c r="E337">
        <v>214</v>
      </c>
      <c r="F337">
        <v>196</v>
      </c>
      <c r="G337">
        <v>218</v>
      </c>
      <c r="H337" t="s">
        <v>102</v>
      </c>
      <c r="I337">
        <v>10</v>
      </c>
      <c r="J337">
        <v>0</v>
      </c>
      <c r="K337">
        <v>0</v>
      </c>
      <c r="L337">
        <v>0</v>
      </c>
      <c r="N337" t="s">
        <v>21</v>
      </c>
      <c r="O337" t="s">
        <v>25</v>
      </c>
      <c r="P337" s="1"/>
      <c r="Q337">
        <v>2</v>
      </c>
      <c r="R337" t="b">
        <v>1</v>
      </c>
      <c r="S337" t="s">
        <v>119</v>
      </c>
      <c r="T337">
        <v>0</v>
      </c>
    </row>
    <row r="338" spans="1:20" ht="15" customHeight="1" x14ac:dyDescent="0.25">
      <c r="A338" t="s">
        <v>934</v>
      </c>
      <c r="B338">
        <v>24</v>
      </c>
      <c r="C338" t="s">
        <v>24</v>
      </c>
      <c r="D338">
        <v>14</v>
      </c>
      <c r="E338">
        <v>248</v>
      </c>
      <c r="F338">
        <v>24</v>
      </c>
      <c r="G338">
        <v>258</v>
      </c>
      <c r="I338">
        <v>12</v>
      </c>
      <c r="J338">
        <v>0</v>
      </c>
      <c r="K338">
        <v>0</v>
      </c>
      <c r="L338">
        <v>0</v>
      </c>
      <c r="M338" t="s">
        <v>935</v>
      </c>
      <c r="N338" t="s">
        <v>936</v>
      </c>
      <c r="O338" t="s">
        <v>25</v>
      </c>
      <c r="P338" s="5" t="s">
        <v>5274</v>
      </c>
      <c r="Q338">
        <v>2</v>
      </c>
      <c r="R338" t="b">
        <v>1</v>
      </c>
      <c r="T338">
        <v>0</v>
      </c>
    </row>
    <row r="339" spans="1:20" ht="15" customHeight="1" x14ac:dyDescent="0.25">
      <c r="A339" t="s">
        <v>937</v>
      </c>
      <c r="B339">
        <v>24</v>
      </c>
      <c r="C339" t="s">
        <v>24</v>
      </c>
      <c r="D339">
        <v>26</v>
      </c>
      <c r="E339">
        <v>248</v>
      </c>
      <c r="F339">
        <v>36</v>
      </c>
      <c r="G339">
        <v>258</v>
      </c>
      <c r="I339">
        <v>12</v>
      </c>
      <c r="J339">
        <v>0</v>
      </c>
      <c r="K339">
        <v>0</v>
      </c>
      <c r="L339">
        <v>0</v>
      </c>
      <c r="M339" t="s">
        <v>935</v>
      </c>
      <c r="N339" t="s">
        <v>936</v>
      </c>
      <c r="O339" t="s">
        <v>25</v>
      </c>
      <c r="P339" s="5" t="s">
        <v>5275</v>
      </c>
      <c r="Q339">
        <v>2</v>
      </c>
      <c r="R339" t="b">
        <v>1</v>
      </c>
      <c r="T339">
        <v>0</v>
      </c>
    </row>
    <row r="340" spans="1:20" ht="15" customHeight="1" x14ac:dyDescent="0.25">
      <c r="A340" t="s">
        <v>938</v>
      </c>
      <c r="B340">
        <v>24</v>
      </c>
      <c r="C340" t="s">
        <v>24</v>
      </c>
      <c r="D340">
        <v>38</v>
      </c>
      <c r="E340">
        <v>248</v>
      </c>
      <c r="F340">
        <v>48</v>
      </c>
      <c r="G340">
        <v>258</v>
      </c>
      <c r="I340">
        <v>12</v>
      </c>
      <c r="J340">
        <v>0</v>
      </c>
      <c r="K340">
        <v>0</v>
      </c>
      <c r="L340">
        <v>0</v>
      </c>
      <c r="M340" t="s">
        <v>935</v>
      </c>
      <c r="N340" t="s">
        <v>936</v>
      </c>
      <c r="O340" t="s">
        <v>25</v>
      </c>
      <c r="P340" s="5" t="s">
        <v>5276</v>
      </c>
      <c r="Q340">
        <v>2</v>
      </c>
      <c r="R340" t="b">
        <v>1</v>
      </c>
      <c r="T340">
        <v>0</v>
      </c>
    </row>
    <row r="341" spans="1:20" ht="18" customHeight="1" x14ac:dyDescent="0.25">
      <c r="A341" t="s">
        <v>115</v>
      </c>
      <c r="B341">
        <v>24</v>
      </c>
      <c r="C341" t="s">
        <v>116</v>
      </c>
      <c r="D341">
        <v>14</v>
      </c>
      <c r="E341">
        <v>263</v>
      </c>
      <c r="F341">
        <v>196</v>
      </c>
      <c r="G341">
        <v>266</v>
      </c>
      <c r="H341" t="s">
        <v>102</v>
      </c>
      <c r="I341">
        <v>10</v>
      </c>
      <c r="J341">
        <v>0</v>
      </c>
      <c r="K341">
        <v>0</v>
      </c>
      <c r="L341">
        <v>0</v>
      </c>
      <c r="N341" t="s">
        <v>21</v>
      </c>
      <c r="O341" t="s">
        <v>25</v>
      </c>
      <c r="P341" s="5" t="s">
        <v>939</v>
      </c>
      <c r="Q341">
        <v>2</v>
      </c>
      <c r="R341" t="b">
        <v>1</v>
      </c>
      <c r="S341" t="s">
        <v>118</v>
      </c>
      <c r="T341">
        <v>0</v>
      </c>
    </row>
    <row r="342" spans="1:20" x14ac:dyDescent="0.25">
      <c r="A342" t="s">
        <v>29</v>
      </c>
      <c r="B342">
        <v>24</v>
      </c>
      <c r="C342" t="s">
        <v>25</v>
      </c>
      <c r="D342">
        <v>14</v>
      </c>
      <c r="E342">
        <v>274</v>
      </c>
      <c r="F342">
        <v>196</v>
      </c>
      <c r="G342">
        <v>274</v>
      </c>
      <c r="I342">
        <v>0</v>
      </c>
      <c r="J342">
        <v>0</v>
      </c>
      <c r="K342">
        <v>0</v>
      </c>
      <c r="L342">
        <v>0</v>
      </c>
      <c r="N342" t="s">
        <v>21</v>
      </c>
      <c r="O342" t="s">
        <v>25</v>
      </c>
      <c r="Q342">
        <v>2</v>
      </c>
      <c r="R342" t="b">
        <v>0</v>
      </c>
      <c r="S342" t="s">
        <v>119</v>
      </c>
      <c r="T342">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tabSelected="1" zoomScale="115" zoomScaleNormal="115" workbookViewId="0">
      <pane xSplit="1" ySplit="1" topLeftCell="B11" activePane="bottomRight" state="frozen"/>
      <selection pane="topRight"/>
      <selection pane="bottomLeft"/>
      <selection pane="bottomRight" activeCell="G22" sqref="G22"/>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5188</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5189</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5193</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5191</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5214</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5215</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5216</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5217</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5218</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5219</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5220</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5221</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5222</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5223</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5224</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5225</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5226</v>
      </c>
      <c r="C129" s="9" t="s">
        <v>831</v>
      </c>
      <c r="D129" s="18" t="s">
        <v>3067</v>
      </c>
      <c r="E129" s="1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5227</v>
      </c>
      <c r="C130" s="9" t="s">
        <v>270</v>
      </c>
      <c r="D130" s="18" t="s">
        <v>3068</v>
      </c>
      <c r="E130" s="1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18" t="s">
        <v>3069</v>
      </c>
      <c r="E131" s="18" t="s">
        <v>355</v>
      </c>
      <c r="F131" s="9" t="s">
        <v>419</v>
      </c>
      <c r="G131" s="8" t="s">
        <v>3948</v>
      </c>
      <c r="H131" s="16" t="s">
        <v>2275</v>
      </c>
      <c r="I131" s="8" t="s">
        <v>516</v>
      </c>
      <c r="J131" s="16" t="s">
        <v>586</v>
      </c>
      <c r="K131" s="16" t="s">
        <v>462</v>
      </c>
      <c r="L131" s="8" t="s">
        <v>4819</v>
      </c>
      <c r="M131" s="8" t="s">
        <v>3579</v>
      </c>
      <c r="N131" s="8" t="s">
        <v>247</v>
      </c>
      <c r="O131" s="8" t="s">
        <v>3297</v>
      </c>
      <c r="P131" s="8" t="s">
        <v>554</v>
      </c>
      <c r="Q131" s="8"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5228</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5229</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8" t="s">
        <v>3058</v>
      </c>
      <c r="E135" s="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8" t="s">
        <v>3059</v>
      </c>
      <c r="E136" s="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5230</v>
      </c>
      <c r="C137" s="9" t="s">
        <v>879</v>
      </c>
      <c r="D137" s="8" t="s">
        <v>3060</v>
      </c>
      <c r="E137" s="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5231</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5232</v>
      </c>
      <c r="C140" s="9" t="s">
        <v>879</v>
      </c>
      <c r="D140" s="8" t="s">
        <v>3060</v>
      </c>
      <c r="E140" s="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46" t="s">
        <v>3061</v>
      </c>
      <c r="E141" s="11" t="s">
        <v>1236</v>
      </c>
      <c r="F141" s="9" t="s">
        <v>1132</v>
      </c>
      <c r="G141" s="8" t="s">
        <v>2121</v>
      </c>
      <c r="H141" s="16" t="s">
        <v>2266</v>
      </c>
      <c r="I141" s="8" t="s">
        <v>1440</v>
      </c>
      <c r="J141" s="16" t="s">
        <v>1335</v>
      </c>
      <c r="K141" s="16" t="s">
        <v>1541</v>
      </c>
      <c r="L141" s="8" t="s">
        <v>4812</v>
      </c>
      <c r="M141" s="8" t="s">
        <v>3570</v>
      </c>
      <c r="N141" s="8" t="s">
        <v>1622</v>
      </c>
      <c r="O141" s="8" t="s">
        <v>3288</v>
      </c>
      <c r="P141" s="8" t="s">
        <v>1709</v>
      </c>
      <c r="Q141" s="11"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5233</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189" customHeight="1"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177.75" customHeight="1"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145.5" customHeight="1"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ht="30" x14ac:dyDescent="0.25">
      <c r="A151" s="51" t="s">
        <v>5700</v>
      </c>
      <c r="B151" s="9" t="s">
        <v>5196</v>
      </c>
      <c r="C151" s="9" t="s">
        <v>5196</v>
      </c>
      <c r="D151" s="8" t="s">
        <v>5281</v>
      </c>
      <c r="E151" s="8" t="s">
        <v>5297</v>
      </c>
      <c r="F151" s="9" t="s">
        <v>5312</v>
      </c>
      <c r="G151" s="8" t="s">
        <v>5327</v>
      </c>
      <c r="H151" s="16" t="s">
        <v>5342</v>
      </c>
      <c r="I151" s="8" t="s">
        <v>5357</v>
      </c>
      <c r="J151" s="16" t="s">
        <v>5372</v>
      </c>
      <c r="K151" s="16" t="s">
        <v>5387</v>
      </c>
      <c r="L151" s="8" t="s">
        <v>5402</v>
      </c>
      <c r="M151" s="8" t="s">
        <v>5417</v>
      </c>
      <c r="N151" s="8" t="s">
        <v>5432</v>
      </c>
      <c r="O151" s="8" t="s">
        <v>5447</v>
      </c>
      <c r="P151" s="8" t="s">
        <v>5462</v>
      </c>
      <c r="Q151" s="8" t="s">
        <v>5477</v>
      </c>
      <c r="R151" s="8" t="s">
        <v>5491</v>
      </c>
      <c r="S151" s="8" t="s">
        <v>5506</v>
      </c>
      <c r="T151" s="3" t="s">
        <v>5521</v>
      </c>
      <c r="U151" s="3" t="s">
        <v>5535</v>
      </c>
      <c r="V151" s="3" t="s">
        <v>5550</v>
      </c>
      <c r="W151" s="3" t="s">
        <v>5565</v>
      </c>
      <c r="X151" s="44" t="s">
        <v>5579</v>
      </c>
      <c r="Y151" s="3" t="s">
        <v>5594</v>
      </c>
      <c r="Z151" s="3" t="s">
        <v>5594</v>
      </c>
      <c r="AA151" s="3" t="s">
        <v>5611</v>
      </c>
      <c r="AB151" s="3" t="s">
        <v>5611</v>
      </c>
      <c r="AC151" s="3" t="s">
        <v>5625</v>
      </c>
      <c r="AD151" s="3" t="s">
        <v>5640</v>
      </c>
      <c r="AE151" s="3" t="s">
        <v>5655</v>
      </c>
      <c r="AF151" s="3" t="s">
        <v>5670</v>
      </c>
      <c r="AG151" s="3" t="s">
        <v>5685</v>
      </c>
    </row>
    <row r="152" spans="1:33" x14ac:dyDescent="0.25">
      <c r="A152" s="51" t="s">
        <v>5700</v>
      </c>
      <c r="B152" s="3" t="s">
        <v>5197</v>
      </c>
      <c r="C152" s="9" t="s">
        <v>5197</v>
      </c>
      <c r="D152" s="8" t="s">
        <v>5282</v>
      </c>
      <c r="E152" s="8" t="s">
        <v>5298</v>
      </c>
      <c r="F152" s="9" t="s">
        <v>5313</v>
      </c>
      <c r="G152" s="8" t="s">
        <v>5328</v>
      </c>
      <c r="H152" s="16" t="s">
        <v>5343</v>
      </c>
      <c r="I152" s="8" t="s">
        <v>5358</v>
      </c>
      <c r="J152" s="16" t="s">
        <v>5373</v>
      </c>
      <c r="K152" s="16" t="s">
        <v>5388</v>
      </c>
      <c r="L152" s="8" t="s">
        <v>5403</v>
      </c>
      <c r="M152" s="8" t="s">
        <v>5418</v>
      </c>
      <c r="N152" s="8" t="s">
        <v>5433</v>
      </c>
      <c r="O152" s="8" t="s">
        <v>5448</v>
      </c>
      <c r="P152" s="8" t="s">
        <v>5463</v>
      </c>
      <c r="Q152" s="8" t="s">
        <v>5478</v>
      </c>
      <c r="R152" s="8" t="s">
        <v>5492</v>
      </c>
      <c r="S152" s="8" t="s">
        <v>5507</v>
      </c>
      <c r="T152" s="3" t="s">
        <v>5522</v>
      </c>
      <c r="U152" s="3" t="s">
        <v>5536</v>
      </c>
      <c r="V152" s="3" t="s">
        <v>5551</v>
      </c>
      <c r="W152" s="3" t="s">
        <v>5566</v>
      </c>
      <c r="X152" s="44" t="s">
        <v>5580</v>
      </c>
      <c r="Y152" s="3" t="s">
        <v>5595</v>
      </c>
      <c r="Z152" s="3" t="s">
        <v>5595</v>
      </c>
      <c r="AA152" s="3" t="s">
        <v>5612</v>
      </c>
      <c r="AB152" s="3" t="s">
        <v>5612</v>
      </c>
      <c r="AC152" s="3" t="s">
        <v>5626</v>
      </c>
      <c r="AD152" s="3" t="s">
        <v>5641</v>
      </c>
      <c r="AE152" s="3" t="s">
        <v>5656</v>
      </c>
      <c r="AF152" s="3" t="s">
        <v>5671</v>
      </c>
      <c r="AG152" s="3" t="s">
        <v>5686</v>
      </c>
    </row>
    <row r="153" spans="1:33" x14ac:dyDescent="0.25">
      <c r="A153" s="50" t="s">
        <v>5700</v>
      </c>
      <c r="B153" s="3" t="s">
        <v>5198</v>
      </c>
      <c r="C153" s="9" t="s">
        <v>5198</v>
      </c>
      <c r="D153" s="8" t="s">
        <v>5283</v>
      </c>
      <c r="E153" s="8" t="s">
        <v>5299</v>
      </c>
      <c r="F153" s="9" t="s">
        <v>5314</v>
      </c>
      <c r="G153" s="8" t="s">
        <v>5329</v>
      </c>
      <c r="H153" s="16" t="s">
        <v>5344</v>
      </c>
      <c r="I153" s="8" t="s">
        <v>5359</v>
      </c>
      <c r="J153" s="16" t="s">
        <v>5374</v>
      </c>
      <c r="K153" s="16" t="s">
        <v>5389</v>
      </c>
      <c r="L153" s="8" t="s">
        <v>5404</v>
      </c>
      <c r="M153" s="8" t="s">
        <v>5419</v>
      </c>
      <c r="N153" s="8" t="s">
        <v>5434</v>
      </c>
      <c r="O153" s="8" t="s">
        <v>5449</v>
      </c>
      <c r="P153" s="8" t="s">
        <v>5464</v>
      </c>
      <c r="Q153" s="8" t="s">
        <v>5479</v>
      </c>
      <c r="R153" s="8" t="s">
        <v>5493</v>
      </c>
      <c r="S153" s="8" t="s">
        <v>5508</v>
      </c>
      <c r="T153" s="3" t="s">
        <v>5523</v>
      </c>
      <c r="U153" s="3" t="s">
        <v>5537</v>
      </c>
      <c r="V153" s="3" t="s">
        <v>5552</v>
      </c>
      <c r="W153" s="3" t="s">
        <v>5567</v>
      </c>
      <c r="X153" s="44" t="s">
        <v>5581</v>
      </c>
      <c r="Y153" s="3" t="s">
        <v>5596</v>
      </c>
      <c r="Z153" s="3" t="s">
        <v>5596</v>
      </c>
      <c r="AA153" s="3" t="s">
        <v>5613</v>
      </c>
      <c r="AB153" s="3" t="s">
        <v>5613</v>
      </c>
      <c r="AC153" s="3" t="s">
        <v>5627</v>
      </c>
      <c r="AD153" s="3" t="s">
        <v>5642</v>
      </c>
      <c r="AE153" s="3" t="s">
        <v>5657</v>
      </c>
      <c r="AF153" s="3" t="s">
        <v>5672</v>
      </c>
      <c r="AG153" s="3" t="s">
        <v>5687</v>
      </c>
    </row>
    <row r="154" spans="1:33" x14ac:dyDescent="0.25">
      <c r="A154" s="50" t="s">
        <v>5700</v>
      </c>
      <c r="B154" s="3" t="s">
        <v>5199</v>
      </c>
      <c r="C154" s="9" t="s">
        <v>5200</v>
      </c>
      <c r="D154" s="8" t="s">
        <v>5284</v>
      </c>
      <c r="E154" s="8" t="s">
        <v>5311</v>
      </c>
      <c r="F154" s="9" t="s">
        <v>5326</v>
      </c>
      <c r="G154" s="8" t="s">
        <v>5341</v>
      </c>
      <c r="H154" s="16" t="s">
        <v>5356</v>
      </c>
      <c r="I154" s="8" t="s">
        <v>5371</v>
      </c>
      <c r="J154" s="16" t="s">
        <v>5386</v>
      </c>
      <c r="K154" s="16" t="s">
        <v>5401</v>
      </c>
      <c r="L154" s="8" t="s">
        <v>5416</v>
      </c>
      <c r="M154" s="8" t="s">
        <v>5431</v>
      </c>
      <c r="N154" s="8" t="s">
        <v>5435</v>
      </c>
      <c r="O154" s="8" t="s">
        <v>5461</v>
      </c>
      <c r="P154" s="8" t="s">
        <v>5476</v>
      </c>
      <c r="Q154" s="8" t="s">
        <v>5490</v>
      </c>
      <c r="R154" s="8" t="s">
        <v>5505</v>
      </c>
      <c r="S154" s="8" t="s">
        <v>5509</v>
      </c>
      <c r="T154" s="3" t="s">
        <v>5534</v>
      </c>
      <c r="U154" s="3" t="s">
        <v>5538</v>
      </c>
      <c r="V154" s="3" t="s">
        <v>5560</v>
      </c>
      <c r="W154" s="3" t="s">
        <v>5575</v>
      </c>
      <c r="X154" s="44" t="s">
        <v>5590</v>
      </c>
      <c r="Y154" s="3" t="s">
        <v>5597</v>
      </c>
      <c r="Z154" s="3" t="s">
        <v>5597</v>
      </c>
      <c r="AA154" s="3" t="s">
        <v>5614</v>
      </c>
      <c r="AB154" s="3" t="s">
        <v>5614</v>
      </c>
      <c r="AC154" s="3" t="s">
        <v>5628</v>
      </c>
      <c r="AD154" s="3" t="s">
        <v>5643</v>
      </c>
      <c r="AE154" s="3" t="s">
        <v>5658</v>
      </c>
      <c r="AF154" s="3" t="s">
        <v>5673</v>
      </c>
      <c r="AG154" s="3" t="s">
        <v>5688</v>
      </c>
    </row>
    <row r="155" spans="1:33" x14ac:dyDescent="0.25">
      <c r="A155" s="50" t="s">
        <v>5700</v>
      </c>
      <c r="B155" s="15" t="s">
        <v>5184</v>
      </c>
      <c r="C155" s="10" t="s">
        <v>5194</v>
      </c>
      <c r="D155" s="8" t="s">
        <v>5285</v>
      </c>
      <c r="E155" s="8" t="s">
        <v>5300</v>
      </c>
      <c r="F155" s="10" t="s">
        <v>5315</v>
      </c>
      <c r="G155" s="11" t="s">
        <v>5330</v>
      </c>
      <c r="H155" s="16" t="s">
        <v>5345</v>
      </c>
      <c r="I155" s="11" t="s">
        <v>5360</v>
      </c>
      <c r="J155" s="16" t="s">
        <v>5375</v>
      </c>
      <c r="K155" s="16" t="s">
        <v>5390</v>
      </c>
      <c r="L155" s="8" t="s">
        <v>5405</v>
      </c>
      <c r="M155" s="8" t="s">
        <v>5420</v>
      </c>
      <c r="N155" s="11" t="s">
        <v>5436</v>
      </c>
      <c r="O155" s="8" t="s">
        <v>5450</v>
      </c>
      <c r="P155" s="8" t="s">
        <v>5465</v>
      </c>
      <c r="Q155" s="8" t="s">
        <v>5480</v>
      </c>
      <c r="R155" s="8" t="s">
        <v>5494</v>
      </c>
      <c r="S155" s="8" t="s">
        <v>5510</v>
      </c>
      <c r="T155" s="3" t="s">
        <v>5524</v>
      </c>
      <c r="U155" s="3" t="s">
        <v>5539</v>
      </c>
      <c r="V155" s="3" t="s">
        <v>5553</v>
      </c>
      <c r="W155" s="3" t="s">
        <v>5568</v>
      </c>
      <c r="X155" s="44" t="s">
        <v>5582</v>
      </c>
      <c r="Y155" s="3" t="s">
        <v>5300</v>
      </c>
      <c r="Z155" s="3" t="s">
        <v>5300</v>
      </c>
      <c r="AA155" s="3" t="s">
        <v>5300</v>
      </c>
      <c r="AB155" s="3" t="s">
        <v>5300</v>
      </c>
      <c r="AC155" s="3" t="s">
        <v>5629</v>
      </c>
      <c r="AD155" s="3" t="s">
        <v>5644</v>
      </c>
      <c r="AE155" s="3" t="s">
        <v>5659</v>
      </c>
      <c r="AF155" s="3" t="s">
        <v>5674</v>
      </c>
      <c r="AG155" s="3" t="s">
        <v>5689</v>
      </c>
    </row>
    <row r="156" spans="1:33" ht="135" x14ac:dyDescent="0.25">
      <c r="A156" s="50" t="s">
        <v>5700</v>
      </c>
      <c r="B156" s="15" t="s">
        <v>5186</v>
      </c>
      <c r="C156" s="10" t="s">
        <v>5187</v>
      </c>
      <c r="D156" s="8" t="s">
        <v>5287</v>
      </c>
      <c r="E156" s="8" t="s">
        <v>5309</v>
      </c>
      <c r="F156" s="10" t="s">
        <v>5316</v>
      </c>
      <c r="G156" s="11" t="s">
        <v>5331</v>
      </c>
      <c r="H156" s="16" t="s">
        <v>5346</v>
      </c>
      <c r="I156" s="11" t="s">
        <v>5361</v>
      </c>
      <c r="J156" s="16" t="s">
        <v>5376</v>
      </c>
      <c r="K156" s="16" t="s">
        <v>5391</v>
      </c>
      <c r="L156" s="8" t="s">
        <v>5406</v>
      </c>
      <c r="M156" s="8" t="s">
        <v>5421</v>
      </c>
      <c r="N156" s="11" t="s">
        <v>5437</v>
      </c>
      <c r="O156" s="8" t="s">
        <v>5459</v>
      </c>
      <c r="P156" s="8" t="s">
        <v>5466</v>
      </c>
      <c r="Q156" s="8" t="s">
        <v>5488</v>
      </c>
      <c r="R156" s="8" t="s">
        <v>5495</v>
      </c>
      <c r="S156" s="8" t="s">
        <v>5511</v>
      </c>
      <c r="T156" s="3" t="s">
        <v>5525</v>
      </c>
      <c r="U156" s="3" t="s">
        <v>5540</v>
      </c>
      <c r="V156" s="3" t="s">
        <v>5554</v>
      </c>
      <c r="W156" s="3" t="s">
        <v>5569</v>
      </c>
      <c r="X156" s="44" t="s">
        <v>5583</v>
      </c>
      <c r="Y156" s="3" t="s">
        <v>5598</v>
      </c>
      <c r="Z156" s="3" t="s">
        <v>5608</v>
      </c>
      <c r="AA156" s="3" t="s">
        <v>5615</v>
      </c>
      <c r="AB156" s="3" t="s">
        <v>5615</v>
      </c>
      <c r="AC156" s="3" t="s">
        <v>5630</v>
      </c>
      <c r="AD156" s="3" t="s">
        <v>5645</v>
      </c>
      <c r="AE156" s="3" t="s">
        <v>5660</v>
      </c>
      <c r="AF156" s="3" t="s">
        <v>5675</v>
      </c>
      <c r="AG156" s="3" t="s">
        <v>5690</v>
      </c>
    </row>
    <row r="157" spans="1:33" ht="60" x14ac:dyDescent="0.25">
      <c r="A157" s="50" t="s">
        <v>5700</v>
      </c>
      <c r="B157" s="15" t="s">
        <v>5183</v>
      </c>
      <c r="C157" s="10" t="s">
        <v>5295</v>
      </c>
      <c r="D157" s="8" t="s">
        <v>5294</v>
      </c>
      <c r="E157" s="8" t="s">
        <v>5310</v>
      </c>
      <c r="F157" s="10" t="s">
        <v>5317</v>
      </c>
      <c r="G157" s="11" t="s">
        <v>5332</v>
      </c>
      <c r="H157" s="16" t="s">
        <v>5347</v>
      </c>
      <c r="I157" s="11" t="s">
        <v>5362</v>
      </c>
      <c r="J157" s="16" t="s">
        <v>5377</v>
      </c>
      <c r="K157" s="16" t="s">
        <v>5392</v>
      </c>
      <c r="L157" s="8" t="s">
        <v>5407</v>
      </c>
      <c r="M157" s="8" t="s">
        <v>5422</v>
      </c>
      <c r="N157" s="11" t="s">
        <v>5438</v>
      </c>
      <c r="O157" s="8" t="s">
        <v>5460</v>
      </c>
      <c r="P157" s="8" t="s">
        <v>5474</v>
      </c>
      <c r="Q157" s="8" t="s">
        <v>5489</v>
      </c>
      <c r="R157" s="8" t="s">
        <v>5504</v>
      </c>
      <c r="S157" s="8" t="s">
        <v>5520</v>
      </c>
      <c r="T157" s="3" t="s">
        <v>5533</v>
      </c>
      <c r="U157" s="3" t="s">
        <v>5541</v>
      </c>
      <c r="V157" s="3" t="s">
        <v>5561</v>
      </c>
      <c r="W157" s="3" t="s">
        <v>5576</v>
      </c>
      <c r="X157" s="44" t="s">
        <v>5591</v>
      </c>
      <c r="Y157" s="3" t="s">
        <v>5599</v>
      </c>
      <c r="Z157" s="3" t="s">
        <v>5609</v>
      </c>
      <c r="AA157" s="3" t="s">
        <v>5616</v>
      </c>
      <c r="AB157" s="3" t="s">
        <v>5616</v>
      </c>
      <c r="AC157" s="3" t="s">
        <v>5631</v>
      </c>
      <c r="AD157" s="3" t="s">
        <v>5646</v>
      </c>
      <c r="AE157" s="3" t="s">
        <v>5661</v>
      </c>
      <c r="AF157" s="3" t="s">
        <v>5676</v>
      </c>
      <c r="AG157" s="3" t="s">
        <v>5691</v>
      </c>
    </row>
    <row r="158" spans="1:33" ht="30" x14ac:dyDescent="0.25">
      <c r="A158" s="50" t="s">
        <v>5700</v>
      </c>
      <c r="B158" s="15" t="s">
        <v>5188</v>
      </c>
      <c r="C158" s="10" t="s">
        <v>5195</v>
      </c>
      <c r="D158" s="8" t="s">
        <v>5288</v>
      </c>
      <c r="E158" s="8" t="s">
        <v>5301</v>
      </c>
      <c r="F158" s="10" t="s">
        <v>5318</v>
      </c>
      <c r="G158" s="11" t="s">
        <v>5333</v>
      </c>
      <c r="H158" s="16" t="s">
        <v>5348</v>
      </c>
      <c r="I158" s="11" t="s">
        <v>5363</v>
      </c>
      <c r="J158" s="16" t="s">
        <v>5378</v>
      </c>
      <c r="K158" s="16" t="s">
        <v>5393</v>
      </c>
      <c r="L158" s="8" t="s">
        <v>5408</v>
      </c>
      <c r="M158" s="8" t="s">
        <v>5423</v>
      </c>
      <c r="N158" s="11" t="s">
        <v>5439</v>
      </c>
      <c r="O158" s="8" t="s">
        <v>5451</v>
      </c>
      <c r="P158" s="8" t="s">
        <v>5467</v>
      </c>
      <c r="Q158" s="8" t="s">
        <v>5481</v>
      </c>
      <c r="R158" s="8" t="s">
        <v>5496</v>
      </c>
      <c r="S158" s="8" t="s">
        <v>5512</v>
      </c>
      <c r="T158" s="3" t="s">
        <v>5526</v>
      </c>
      <c r="U158" s="3" t="s">
        <v>5542</v>
      </c>
      <c r="V158" s="3" t="s">
        <v>5555</v>
      </c>
      <c r="W158" s="3" t="s">
        <v>5570</v>
      </c>
      <c r="X158" s="44" t="s">
        <v>5584</v>
      </c>
      <c r="Y158" s="3" t="s">
        <v>5600</v>
      </c>
      <c r="Z158" s="3" t="s">
        <v>5600</v>
      </c>
      <c r="AA158" s="3" t="s">
        <v>5617</v>
      </c>
      <c r="AB158" s="3" t="s">
        <v>5617</v>
      </c>
      <c r="AC158" s="3" t="s">
        <v>5632</v>
      </c>
      <c r="AD158" s="3" t="s">
        <v>5647</v>
      </c>
      <c r="AE158" s="3" t="s">
        <v>5662</v>
      </c>
      <c r="AF158" s="3" t="s">
        <v>5677</v>
      </c>
      <c r="AG158" s="3" t="s">
        <v>5692</v>
      </c>
    </row>
    <row r="159" spans="1:33" ht="60" x14ac:dyDescent="0.25">
      <c r="A159" s="50" t="s">
        <v>5700</v>
      </c>
      <c r="B159" s="15" t="s">
        <v>5176</v>
      </c>
      <c r="C159" s="10" t="s">
        <v>5289</v>
      </c>
      <c r="D159" s="8" t="s">
        <v>5296</v>
      </c>
      <c r="E159" s="8" t="s">
        <v>5302</v>
      </c>
      <c r="F159" s="10" t="s">
        <v>5319</v>
      </c>
      <c r="G159" s="11" t="s">
        <v>5334</v>
      </c>
      <c r="H159" s="16" t="s">
        <v>5349</v>
      </c>
      <c r="I159" s="11" t="s">
        <v>5364</v>
      </c>
      <c r="J159" s="16" t="s">
        <v>5379</v>
      </c>
      <c r="K159" s="16" t="s">
        <v>5394</v>
      </c>
      <c r="L159" s="8" t="s">
        <v>5409</v>
      </c>
      <c r="M159" s="8" t="s">
        <v>5424</v>
      </c>
      <c r="N159" s="11" t="s">
        <v>5440</v>
      </c>
      <c r="O159" s="8" t="s">
        <v>5452</v>
      </c>
      <c r="P159" s="8" t="s">
        <v>5475</v>
      </c>
      <c r="Q159" s="8" t="s">
        <v>5482</v>
      </c>
      <c r="R159" s="8" t="s">
        <v>5503</v>
      </c>
      <c r="S159" s="8" t="s">
        <v>5519</v>
      </c>
      <c r="T159" s="3" t="s">
        <v>5532</v>
      </c>
      <c r="U159" s="3" t="s">
        <v>5543</v>
      </c>
      <c r="V159" s="3" t="s">
        <v>5564</v>
      </c>
      <c r="W159" s="3" t="s">
        <v>5577</v>
      </c>
      <c r="X159" s="44" t="s">
        <v>5592</v>
      </c>
      <c r="Y159" s="3" t="s">
        <v>5601</v>
      </c>
      <c r="Z159" s="3" t="s">
        <v>5601</v>
      </c>
      <c r="AA159" s="3" t="s">
        <v>5618</v>
      </c>
      <c r="AB159" s="3" t="s">
        <v>5618</v>
      </c>
      <c r="AC159" s="3" t="s">
        <v>5633</v>
      </c>
      <c r="AD159" s="3" t="s">
        <v>5648</v>
      </c>
      <c r="AE159" s="3" t="s">
        <v>5663</v>
      </c>
      <c r="AF159" s="3" t="s">
        <v>5678</v>
      </c>
      <c r="AG159" s="3" t="s">
        <v>5693</v>
      </c>
    </row>
    <row r="160" spans="1:33" x14ac:dyDescent="0.25">
      <c r="A160" s="50" t="s">
        <v>5700</v>
      </c>
      <c r="B160" s="15" t="s">
        <v>5189</v>
      </c>
      <c r="C160" s="10" t="s">
        <v>5190</v>
      </c>
      <c r="D160" s="8" t="s">
        <v>5286</v>
      </c>
      <c r="E160" s="8" t="s">
        <v>5303</v>
      </c>
      <c r="F160" s="10" t="s">
        <v>5320</v>
      </c>
      <c r="G160" s="11" t="s">
        <v>5335</v>
      </c>
      <c r="H160" s="16" t="s">
        <v>5350</v>
      </c>
      <c r="I160" s="11" t="s">
        <v>5365</v>
      </c>
      <c r="J160" s="16" t="s">
        <v>5380</v>
      </c>
      <c r="K160" s="16" t="s">
        <v>5395</v>
      </c>
      <c r="L160" s="8" t="s">
        <v>5410</v>
      </c>
      <c r="M160" s="8" t="s">
        <v>5425</v>
      </c>
      <c r="N160" s="11" t="s">
        <v>5441</v>
      </c>
      <c r="O160" s="8" t="s">
        <v>5453</v>
      </c>
      <c r="P160" s="8" t="s">
        <v>5468</v>
      </c>
      <c r="Q160" s="8" t="s">
        <v>5483</v>
      </c>
      <c r="R160" s="8" t="s">
        <v>5497</v>
      </c>
      <c r="S160" s="8" t="s">
        <v>5513</v>
      </c>
      <c r="T160" s="3" t="s">
        <v>5527</v>
      </c>
      <c r="U160" s="3" t="s">
        <v>5544</v>
      </c>
      <c r="V160" s="3" t="s">
        <v>5556</v>
      </c>
      <c r="W160" s="3" t="s">
        <v>5571</v>
      </c>
      <c r="X160" s="44" t="s">
        <v>5585</v>
      </c>
      <c r="Y160" s="3" t="s">
        <v>5602</v>
      </c>
      <c r="Z160" s="3" t="s">
        <v>5602</v>
      </c>
      <c r="AA160" s="3" t="s">
        <v>5619</v>
      </c>
      <c r="AB160" s="3" t="s">
        <v>5619</v>
      </c>
      <c r="AC160" s="3" t="s">
        <v>5634</v>
      </c>
      <c r="AD160" s="3" t="s">
        <v>5649</v>
      </c>
      <c r="AE160" s="3" t="s">
        <v>5664</v>
      </c>
      <c r="AF160" s="3" t="s">
        <v>5679</v>
      </c>
      <c r="AG160" s="3" t="s">
        <v>5694</v>
      </c>
    </row>
    <row r="161" spans="1:33" ht="60" x14ac:dyDescent="0.25">
      <c r="A161" s="50" t="s">
        <v>5700</v>
      </c>
      <c r="B161" s="15" t="s">
        <v>5191</v>
      </c>
      <c r="C161" s="10" t="s">
        <v>5192</v>
      </c>
      <c r="D161" s="8" t="s">
        <v>5293</v>
      </c>
      <c r="E161" s="8" t="s">
        <v>5304</v>
      </c>
      <c r="F161" s="10" t="s">
        <v>5321</v>
      </c>
      <c r="G161" s="11" t="s">
        <v>5336</v>
      </c>
      <c r="H161" s="16" t="s">
        <v>5351</v>
      </c>
      <c r="I161" s="11" t="s">
        <v>5366</v>
      </c>
      <c r="J161" s="16" t="s">
        <v>5381</v>
      </c>
      <c r="K161" s="16" t="s">
        <v>5396</v>
      </c>
      <c r="L161" s="8" t="s">
        <v>5411</v>
      </c>
      <c r="M161" s="8" t="s">
        <v>5426</v>
      </c>
      <c r="N161" s="11" t="s">
        <v>5442</v>
      </c>
      <c r="O161" s="8" t="s">
        <v>5454</v>
      </c>
      <c r="P161" s="8" t="s">
        <v>5473</v>
      </c>
      <c r="Q161" s="8" t="s">
        <v>5484</v>
      </c>
      <c r="R161" s="8" t="s">
        <v>5498</v>
      </c>
      <c r="S161" s="8" t="s">
        <v>5514</v>
      </c>
      <c r="T161" s="3" t="s">
        <v>5531</v>
      </c>
      <c r="U161" s="3" t="s">
        <v>5545</v>
      </c>
      <c r="V161" s="3" t="s">
        <v>5563</v>
      </c>
      <c r="W161" s="3" t="s">
        <v>5572</v>
      </c>
      <c r="X161" s="44" t="s">
        <v>5586</v>
      </c>
      <c r="Y161" s="3" t="s">
        <v>5603</v>
      </c>
      <c r="Z161" s="3" t="s">
        <v>5603</v>
      </c>
      <c r="AA161" s="3" t="s">
        <v>5620</v>
      </c>
      <c r="AB161" s="3" t="s">
        <v>5620</v>
      </c>
      <c r="AC161" s="3" t="s">
        <v>5635</v>
      </c>
      <c r="AD161" s="3" t="s">
        <v>5650</v>
      </c>
      <c r="AE161" s="3" t="s">
        <v>5665</v>
      </c>
      <c r="AF161" s="3" t="s">
        <v>5680</v>
      </c>
      <c r="AG161" s="3" t="s">
        <v>5695</v>
      </c>
    </row>
    <row r="162" spans="1:33" x14ac:dyDescent="0.25">
      <c r="A162" s="50" t="s">
        <v>5700</v>
      </c>
      <c r="B162" s="15" t="s">
        <v>5177</v>
      </c>
      <c r="C162" s="10" t="s">
        <v>5181</v>
      </c>
      <c r="D162" s="8" t="s">
        <v>5286</v>
      </c>
      <c r="E162" s="8" t="s">
        <v>5305</v>
      </c>
      <c r="F162" s="10" t="s">
        <v>5322</v>
      </c>
      <c r="G162" s="11" t="s">
        <v>5337</v>
      </c>
      <c r="H162" s="16" t="s">
        <v>5352</v>
      </c>
      <c r="I162" s="11" t="s">
        <v>5367</v>
      </c>
      <c r="J162" s="16" t="s">
        <v>5382</v>
      </c>
      <c r="K162" s="16" t="s">
        <v>5397</v>
      </c>
      <c r="L162" s="8" t="s">
        <v>5412</v>
      </c>
      <c r="M162" s="8" t="s">
        <v>5427</v>
      </c>
      <c r="N162" s="11" t="s">
        <v>5443</v>
      </c>
      <c r="O162" s="8" t="s">
        <v>5455</v>
      </c>
      <c r="P162" s="8" t="s">
        <v>5469</v>
      </c>
      <c r="Q162" s="8" t="s">
        <v>5483</v>
      </c>
      <c r="R162" s="8" t="s">
        <v>5499</v>
      </c>
      <c r="S162" s="8" t="s">
        <v>5515</v>
      </c>
      <c r="T162" s="3" t="s">
        <v>5528</v>
      </c>
      <c r="U162" s="3" t="s">
        <v>5546</v>
      </c>
      <c r="V162" s="3" t="s">
        <v>5557</v>
      </c>
      <c r="W162" s="3" t="s">
        <v>5571</v>
      </c>
      <c r="X162" s="44" t="s">
        <v>5587</v>
      </c>
      <c r="Y162" s="3" t="s">
        <v>5604</v>
      </c>
      <c r="Z162" s="3" t="s">
        <v>5604</v>
      </c>
      <c r="AA162" s="3" t="s">
        <v>5621</v>
      </c>
      <c r="AB162" s="3" t="s">
        <v>5621</v>
      </c>
      <c r="AC162" s="3" t="s">
        <v>5636</v>
      </c>
      <c r="AD162" s="3" t="s">
        <v>5651</v>
      </c>
      <c r="AE162" s="3" t="s">
        <v>5666</v>
      </c>
      <c r="AF162" s="3" t="s">
        <v>5681</v>
      </c>
      <c r="AG162" s="3" t="s">
        <v>5696</v>
      </c>
    </row>
    <row r="163" spans="1:33" ht="90" x14ac:dyDescent="0.25">
      <c r="A163" s="15" t="s">
        <v>71</v>
      </c>
      <c r="B163" s="15" t="s">
        <v>5178</v>
      </c>
      <c r="C163" s="10" t="s">
        <v>5203</v>
      </c>
      <c r="D163" s="8" t="s">
        <v>5290</v>
      </c>
      <c r="E163" s="8" t="s">
        <v>5306</v>
      </c>
      <c r="F163" s="10" t="s">
        <v>5323</v>
      </c>
      <c r="G163" s="11" t="s">
        <v>5338</v>
      </c>
      <c r="H163" s="16" t="s">
        <v>5353</v>
      </c>
      <c r="I163" s="11" t="s">
        <v>5368</v>
      </c>
      <c r="J163" s="16" t="s">
        <v>5383</v>
      </c>
      <c r="K163" s="16" t="s">
        <v>5398</v>
      </c>
      <c r="L163" s="8" t="s">
        <v>5413</v>
      </c>
      <c r="M163" s="8" t="s">
        <v>5428</v>
      </c>
      <c r="N163" s="11" t="s">
        <v>5444</v>
      </c>
      <c r="O163" s="8" t="s">
        <v>5456</v>
      </c>
      <c r="P163" s="8" t="s">
        <v>5470</v>
      </c>
      <c r="Q163" s="8" t="s">
        <v>5485</v>
      </c>
      <c r="R163" s="8" t="s">
        <v>5500</v>
      </c>
      <c r="S163" s="8" t="s">
        <v>5516</v>
      </c>
      <c r="T163" s="3" t="s">
        <v>5529</v>
      </c>
      <c r="U163" s="3" t="s">
        <v>5547</v>
      </c>
      <c r="V163" s="3" t="s">
        <v>5558</v>
      </c>
      <c r="W163" s="3" t="s">
        <v>5573</v>
      </c>
      <c r="X163" s="44" t="s">
        <v>5588</v>
      </c>
      <c r="Y163" s="3" t="s">
        <v>5605</v>
      </c>
      <c r="Z163" s="3" t="s">
        <v>5605</v>
      </c>
      <c r="AA163" s="3" t="s">
        <v>5622</v>
      </c>
      <c r="AB163" s="3" t="s">
        <v>5622</v>
      </c>
      <c r="AC163" s="3" t="s">
        <v>5637</v>
      </c>
      <c r="AD163" s="3" t="s">
        <v>5652</v>
      </c>
      <c r="AE163" s="3" t="s">
        <v>5667</v>
      </c>
      <c r="AF163" s="3" t="s">
        <v>5682</v>
      </c>
      <c r="AG163" s="3" t="s">
        <v>5697</v>
      </c>
    </row>
    <row r="164" spans="1:33" x14ac:dyDescent="0.25">
      <c r="A164" s="15" t="s">
        <v>71</v>
      </c>
      <c r="B164" s="17" t="s">
        <v>5185</v>
      </c>
      <c r="C164" s="10" t="s">
        <v>5201</v>
      </c>
      <c r="D164" s="8" t="s">
        <v>5291</v>
      </c>
      <c r="E164" s="8" t="s">
        <v>5307</v>
      </c>
      <c r="F164" s="10" t="s">
        <v>5324</v>
      </c>
      <c r="G164" s="11" t="s">
        <v>5339</v>
      </c>
      <c r="H164" s="16" t="s">
        <v>5354</v>
      </c>
      <c r="I164" s="11" t="s">
        <v>5369</v>
      </c>
      <c r="J164" s="16" t="s">
        <v>5384</v>
      </c>
      <c r="K164" s="16" t="s">
        <v>5399</v>
      </c>
      <c r="L164" s="8" t="s">
        <v>5414</v>
      </c>
      <c r="M164" s="8" t="s">
        <v>5429</v>
      </c>
      <c r="N164" s="11" t="s">
        <v>5445</v>
      </c>
      <c r="O164" s="8" t="s">
        <v>5457</v>
      </c>
      <c r="P164" s="8" t="s">
        <v>5471</v>
      </c>
      <c r="Q164" s="8" t="s">
        <v>5486</v>
      </c>
      <c r="R164" s="8" t="s">
        <v>5501</v>
      </c>
      <c r="S164" s="8" t="s">
        <v>5517</v>
      </c>
      <c r="T164" s="3" t="s">
        <v>5339</v>
      </c>
      <c r="U164" s="3" t="s">
        <v>5548</v>
      </c>
      <c r="V164" s="3" t="s">
        <v>5559</v>
      </c>
      <c r="W164" s="3" t="s">
        <v>5574</v>
      </c>
      <c r="X164" s="44" t="s">
        <v>5589</v>
      </c>
      <c r="Y164" s="3" t="s">
        <v>5606</v>
      </c>
      <c r="Z164" s="3" t="s">
        <v>5606</v>
      </c>
      <c r="AA164" s="3" t="s">
        <v>5623</v>
      </c>
      <c r="AB164" s="3" t="s">
        <v>5623</v>
      </c>
      <c r="AC164" s="3" t="s">
        <v>5638</v>
      </c>
      <c r="AD164" s="3" t="s">
        <v>5653</v>
      </c>
      <c r="AE164" s="3" t="s">
        <v>5668</v>
      </c>
      <c r="AF164" s="3" t="s">
        <v>5683</v>
      </c>
      <c r="AG164" s="3" t="s">
        <v>5698</v>
      </c>
    </row>
    <row r="165" spans="1:33" ht="45" x14ac:dyDescent="0.25">
      <c r="A165" s="15" t="s">
        <v>71</v>
      </c>
      <c r="B165" s="17" t="s">
        <v>5180</v>
      </c>
      <c r="C165" s="10" t="s">
        <v>5202</v>
      </c>
      <c r="D165" s="8" t="s">
        <v>5292</v>
      </c>
      <c r="E165" s="8" t="s">
        <v>5308</v>
      </c>
      <c r="F165" s="10" t="s">
        <v>5325</v>
      </c>
      <c r="G165" s="11" t="s">
        <v>5340</v>
      </c>
      <c r="H165" s="16" t="s">
        <v>5355</v>
      </c>
      <c r="I165" s="11" t="s">
        <v>5370</v>
      </c>
      <c r="J165" s="16" t="s">
        <v>5385</v>
      </c>
      <c r="K165" s="16" t="s">
        <v>5400</v>
      </c>
      <c r="L165" s="8" t="s">
        <v>5415</v>
      </c>
      <c r="M165" s="8" t="s">
        <v>5430</v>
      </c>
      <c r="N165" s="11" t="s">
        <v>5446</v>
      </c>
      <c r="O165" s="8" t="s">
        <v>5458</v>
      </c>
      <c r="P165" s="8" t="s">
        <v>5472</v>
      </c>
      <c r="Q165" s="8" t="s">
        <v>5487</v>
      </c>
      <c r="R165" s="8" t="s">
        <v>5502</v>
      </c>
      <c r="S165" s="8" t="s">
        <v>5518</v>
      </c>
      <c r="T165" s="3" t="s">
        <v>5530</v>
      </c>
      <c r="U165" s="3" t="s">
        <v>5549</v>
      </c>
      <c r="V165" s="3" t="s">
        <v>5562</v>
      </c>
      <c r="W165" s="3" t="s">
        <v>5578</v>
      </c>
      <c r="X165" s="44" t="s">
        <v>5593</v>
      </c>
      <c r="Y165" s="3" t="s">
        <v>5607</v>
      </c>
      <c r="Z165" s="3" t="s">
        <v>5610</v>
      </c>
      <c r="AA165" s="3" t="s">
        <v>5624</v>
      </c>
      <c r="AB165" s="3" t="s">
        <v>5624</v>
      </c>
      <c r="AC165" s="3" t="s">
        <v>5639</v>
      </c>
      <c r="AD165" s="3" t="s">
        <v>5654</v>
      </c>
      <c r="AE165" s="3" t="s">
        <v>5669</v>
      </c>
      <c r="AF165" s="3" t="s">
        <v>5684</v>
      </c>
      <c r="AG165" s="3" t="s">
        <v>5699</v>
      </c>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155:B1048576 B1:B150">
    <cfRule type="duplicateValues" dxfId="2" priority="110"/>
  </conditionalFormatting>
  <conditionalFormatting sqref="B151:B154 C1:BB183">
    <cfRule type="containsBlanks" dxfId="1" priority="72">
      <formula>LEN(TRIM(B1))=0</formula>
    </cfRule>
  </conditionalFormatting>
  <hyperlinks>
    <hyperlink ref="A151" r:id="rId1" xr:uid="{191DA7DF-37EF-4A59-9D89-7EDC855F4E3B}"/>
    <hyperlink ref="A152" r:id="rId2" xr:uid="{2301A52F-3432-44C9-966E-33BE0680C4AB}"/>
  </hyperlinks>
  <pageMargins left="0.7" right="0.7" top="0.75" bottom="0.75" header="0.3" footer="0.3"/>
  <pageSetup paperSize="9" orientation="portrait" horizontalDpi="1200" verticalDpi="12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I5" sqref="I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9" width="38.28515625" customWidth="1"/>
    <col min="10" max="17" width="15" customWidth="1"/>
  </cols>
  <sheetData>
    <row r="1" spans="1:17" s="2" customFormat="1" ht="54" customHeight="1" x14ac:dyDescent="0.25">
      <c r="A1" s="47" t="s">
        <v>2149</v>
      </c>
      <c r="B1" s="47"/>
      <c r="C1" s="47"/>
      <c r="D1" s="47"/>
      <c r="E1" s="47"/>
      <c r="F1" s="47"/>
      <c r="G1" s="47"/>
      <c r="H1" s="47"/>
      <c r="I1" s="3"/>
      <c r="J1" s="3"/>
      <c r="K1" s="3"/>
      <c r="L1" s="3"/>
      <c r="M1" s="3"/>
      <c r="N1" s="3"/>
      <c r="O1" s="3"/>
      <c r="P1" s="3"/>
      <c r="Q1" s="3"/>
    </row>
    <row r="2" spans="1:17" ht="54" customHeight="1" x14ac:dyDescent="0.25">
      <c r="A2" s="48" t="s">
        <v>3321</v>
      </c>
      <c r="B2" s="48" t="s">
        <v>1030</v>
      </c>
      <c r="C2" s="48" t="s">
        <v>3099</v>
      </c>
      <c r="D2" s="48" t="s">
        <v>3102</v>
      </c>
      <c r="E2" s="48"/>
      <c r="F2" s="48" t="s">
        <v>4719</v>
      </c>
      <c r="G2" s="48" t="s">
        <v>3104</v>
      </c>
      <c r="H2" s="48" t="s">
        <v>4720</v>
      </c>
      <c r="I2" s="48" t="s">
        <v>5280</v>
      </c>
    </row>
    <row r="3" spans="1:17" ht="56.25" customHeight="1" x14ac:dyDescent="0.25">
      <c r="A3" s="49"/>
      <c r="B3" s="49"/>
      <c r="C3" s="49"/>
      <c r="D3" s="41" t="s">
        <v>3103</v>
      </c>
      <c r="E3" s="41" t="s">
        <v>3105</v>
      </c>
      <c r="F3" s="49"/>
      <c r="G3" s="49"/>
      <c r="H3" s="49"/>
      <c r="I3" s="49"/>
    </row>
    <row r="4" spans="1:17" ht="15" customHeight="1" x14ac:dyDescent="0.25">
      <c r="A4" s="34"/>
      <c r="B4" s="36"/>
      <c r="C4" s="36"/>
      <c r="D4" s="35"/>
      <c r="E4" s="35"/>
      <c r="F4" s="36"/>
      <c r="G4" s="36"/>
      <c r="H4" s="36"/>
      <c r="I4" s="36"/>
    </row>
    <row r="5" spans="1:17" x14ac:dyDescent="0.25">
      <c r="A5" s="28" t="s">
        <v>3092</v>
      </c>
      <c r="B5" s="28" t="s">
        <v>3097</v>
      </c>
      <c r="C5" s="28" t="s">
        <v>3098</v>
      </c>
      <c r="D5" s="37" t="s">
        <v>3092</v>
      </c>
      <c r="E5" s="37" t="s">
        <v>3125</v>
      </c>
      <c r="F5" s="31" t="s">
        <v>4611</v>
      </c>
      <c r="G5" s="29" t="s">
        <v>5172</v>
      </c>
      <c r="H5" s="29" t="s">
        <v>5173</v>
      </c>
      <c r="I5" s="29" t="s">
        <v>119</v>
      </c>
    </row>
    <row r="6" spans="1:17" x14ac:dyDescent="0.25">
      <c r="A6" s="30" t="s">
        <v>211</v>
      </c>
      <c r="B6" s="31" t="s">
        <v>2150</v>
      </c>
      <c r="C6" s="31" t="s">
        <v>3096</v>
      </c>
      <c r="D6" s="38" t="s">
        <v>211</v>
      </c>
      <c r="E6" s="38" t="s">
        <v>366</v>
      </c>
      <c r="F6" s="31" t="s">
        <v>3353</v>
      </c>
      <c r="G6" s="32" t="s">
        <v>4004</v>
      </c>
      <c r="H6" s="32" t="s">
        <v>4004</v>
      </c>
      <c r="I6" s="32" t="s">
        <v>119</v>
      </c>
    </row>
    <row r="7" spans="1:17" x14ac:dyDescent="0.25">
      <c r="A7" s="30" t="s">
        <v>381</v>
      </c>
      <c r="B7" s="31" t="s">
        <v>2150</v>
      </c>
      <c r="C7" s="31" t="s">
        <v>3096</v>
      </c>
      <c r="D7" s="38" t="s">
        <v>381</v>
      </c>
      <c r="E7" s="38" t="s">
        <v>617</v>
      </c>
      <c r="F7" s="31" t="s">
        <v>4005</v>
      </c>
      <c r="G7" s="32" t="s">
        <v>4412</v>
      </c>
      <c r="H7" s="32" t="s">
        <v>4412</v>
      </c>
      <c r="I7" s="32" t="s">
        <v>119</v>
      </c>
    </row>
    <row r="8" spans="1:17" x14ac:dyDescent="0.25">
      <c r="A8" s="30" t="s">
        <v>171</v>
      </c>
      <c r="B8" s="31" t="s">
        <v>2150</v>
      </c>
      <c r="C8" s="31" t="s">
        <v>3096</v>
      </c>
      <c r="D8" s="38" t="s">
        <v>171</v>
      </c>
      <c r="E8" s="38" t="s">
        <v>616</v>
      </c>
      <c r="F8" s="31" t="s">
        <v>4006</v>
      </c>
      <c r="G8" s="32" t="s">
        <v>4412</v>
      </c>
      <c r="H8" s="32" t="s">
        <v>4412</v>
      </c>
      <c r="I8" s="32" t="s">
        <v>119</v>
      </c>
    </row>
    <row r="9" spans="1:17" x14ac:dyDescent="0.25">
      <c r="A9" s="31" t="s">
        <v>2297</v>
      </c>
      <c r="B9" s="31" t="s">
        <v>3097</v>
      </c>
      <c r="C9" s="31" t="s">
        <v>3096</v>
      </c>
      <c r="D9" s="38" t="s">
        <v>2297</v>
      </c>
      <c r="E9" s="38" t="s">
        <v>3116</v>
      </c>
      <c r="F9" s="31" t="s">
        <v>3353</v>
      </c>
      <c r="G9" s="32"/>
      <c r="H9" s="32"/>
      <c r="I9" s="32" t="s">
        <v>119</v>
      </c>
    </row>
    <row r="10" spans="1:17" x14ac:dyDescent="0.25">
      <c r="A10" s="30" t="s">
        <v>112</v>
      </c>
      <c r="B10" s="31" t="s">
        <v>2150</v>
      </c>
      <c r="C10" s="31" t="s">
        <v>3096</v>
      </c>
      <c r="D10" s="38" t="s">
        <v>112</v>
      </c>
      <c r="E10" s="38" t="s">
        <v>255</v>
      </c>
      <c r="F10" s="31" t="s">
        <v>3353</v>
      </c>
      <c r="G10" s="32"/>
      <c r="H10" s="32"/>
      <c r="I10" s="32" t="s">
        <v>119</v>
      </c>
    </row>
    <row r="11" spans="1:17" x14ac:dyDescent="0.25">
      <c r="A11" s="30" t="s">
        <v>111</v>
      </c>
      <c r="B11" s="31" t="s">
        <v>2150</v>
      </c>
      <c r="C11" s="31" t="s">
        <v>3096</v>
      </c>
      <c r="D11" s="38" t="s">
        <v>111</v>
      </c>
      <c r="E11" s="38" t="s">
        <v>183</v>
      </c>
      <c r="F11" s="31" t="s">
        <v>3353</v>
      </c>
      <c r="G11" s="32"/>
      <c r="H11" s="32"/>
      <c r="I11" s="32" t="s">
        <v>119</v>
      </c>
    </row>
    <row r="12" spans="1:17" x14ac:dyDescent="0.25">
      <c r="A12" s="30" t="s">
        <v>110</v>
      </c>
      <c r="B12" s="31" t="s">
        <v>2150</v>
      </c>
      <c r="C12" s="31" t="s">
        <v>3096</v>
      </c>
      <c r="D12" s="38" t="s">
        <v>110</v>
      </c>
      <c r="E12" s="38" t="s">
        <v>254</v>
      </c>
      <c r="F12" s="31" t="s">
        <v>3353</v>
      </c>
      <c r="G12" s="45" t="s">
        <v>466</v>
      </c>
      <c r="H12" s="45" t="s">
        <v>4618</v>
      </c>
      <c r="I12" s="45" t="s">
        <v>119</v>
      </c>
    </row>
    <row r="13" spans="1:17" x14ac:dyDescent="0.25">
      <c r="A13" s="31" t="s">
        <v>2333</v>
      </c>
      <c r="B13" s="31" t="s">
        <v>3097</v>
      </c>
      <c r="C13" s="31" t="s">
        <v>3096</v>
      </c>
      <c r="D13" s="38" t="s">
        <v>2333</v>
      </c>
      <c r="E13" s="38" t="s">
        <v>3117</v>
      </c>
      <c r="F13" s="31" t="s">
        <v>3353</v>
      </c>
      <c r="G13" s="32"/>
      <c r="H13" s="32"/>
      <c r="I13" s="32" t="s">
        <v>119</v>
      </c>
    </row>
    <row r="14" spans="1:17" x14ac:dyDescent="0.25">
      <c r="A14" s="31" t="s">
        <v>3601</v>
      </c>
      <c r="B14" s="31" t="s">
        <v>3097</v>
      </c>
      <c r="C14" s="31" t="s">
        <v>3096</v>
      </c>
      <c r="D14" s="38" t="s">
        <v>3601</v>
      </c>
      <c r="E14" s="38" t="s">
        <v>3602</v>
      </c>
      <c r="F14" s="31" t="s">
        <v>3353</v>
      </c>
      <c r="G14" s="32"/>
      <c r="H14" s="32"/>
      <c r="I14" s="32" t="s">
        <v>119</v>
      </c>
    </row>
    <row r="15" spans="1:17" x14ac:dyDescent="0.25">
      <c r="A15" s="30" t="s">
        <v>109</v>
      </c>
      <c r="B15" s="31" t="s">
        <v>2150</v>
      </c>
      <c r="C15" s="31" t="s">
        <v>3096</v>
      </c>
      <c r="D15" s="38" t="s">
        <v>109</v>
      </c>
      <c r="E15" s="38" t="s">
        <v>608</v>
      </c>
      <c r="F15" s="31" t="s">
        <v>3353</v>
      </c>
      <c r="G15" s="32" t="s">
        <v>4718</v>
      </c>
      <c r="H15" s="32" t="s">
        <v>4718</v>
      </c>
      <c r="I15" s="32" t="s">
        <v>119</v>
      </c>
    </row>
    <row r="16" spans="1:17" x14ac:dyDescent="0.25">
      <c r="A16" s="33" t="s">
        <v>3169</v>
      </c>
      <c r="B16" s="32" t="s">
        <v>3097</v>
      </c>
      <c r="C16" s="32" t="s">
        <v>3096</v>
      </c>
      <c r="D16" s="39" t="s">
        <v>3169</v>
      </c>
      <c r="E16" s="39" t="s">
        <v>3170</v>
      </c>
      <c r="F16" s="32" t="s">
        <v>3353</v>
      </c>
      <c r="G16" s="32"/>
      <c r="H16" s="32"/>
      <c r="I16" s="32" t="s">
        <v>119</v>
      </c>
    </row>
    <row r="17" spans="1:9" x14ac:dyDescent="0.25">
      <c r="A17" s="30" t="s">
        <v>522</v>
      </c>
      <c r="B17" s="31" t="s">
        <v>2150</v>
      </c>
      <c r="C17" s="31" t="s">
        <v>3096</v>
      </c>
      <c r="D17" s="38" t="s">
        <v>522</v>
      </c>
      <c r="E17" s="38" t="s">
        <v>522</v>
      </c>
      <c r="F17" s="31" t="s">
        <v>3353</v>
      </c>
      <c r="G17" s="32"/>
      <c r="H17" s="32"/>
      <c r="I17" s="32" t="s">
        <v>119</v>
      </c>
    </row>
    <row r="18" spans="1:9" x14ac:dyDescent="0.25">
      <c r="A18" s="31" t="s">
        <v>2473</v>
      </c>
      <c r="B18" s="31" t="s">
        <v>3097</v>
      </c>
      <c r="C18" s="31" t="s">
        <v>3096</v>
      </c>
      <c r="D18" s="38" t="s">
        <v>2473</v>
      </c>
      <c r="E18" s="38" t="s">
        <v>3118</v>
      </c>
      <c r="F18" s="31" t="s">
        <v>4007</v>
      </c>
      <c r="G18" s="32"/>
      <c r="H18" s="32"/>
      <c r="I18" s="32" t="s">
        <v>119</v>
      </c>
    </row>
    <row r="19" spans="1:9" x14ac:dyDescent="0.25">
      <c r="A19" s="31" t="s">
        <v>2615</v>
      </c>
      <c r="B19" s="31" t="s">
        <v>3097</v>
      </c>
      <c r="C19" s="31" t="s">
        <v>3096</v>
      </c>
      <c r="D19" s="38" t="s">
        <v>2615</v>
      </c>
      <c r="E19" s="38" t="s">
        <v>3119</v>
      </c>
      <c r="F19" s="31" t="s">
        <v>3353</v>
      </c>
      <c r="G19" s="32"/>
      <c r="H19" s="32"/>
      <c r="I19" s="32" t="s">
        <v>119</v>
      </c>
    </row>
    <row r="20" spans="1:9" x14ac:dyDescent="0.25">
      <c r="A20" s="31" t="s">
        <v>2680</v>
      </c>
      <c r="B20" s="31" t="s">
        <v>3097</v>
      </c>
      <c r="C20" s="31" t="s">
        <v>3096</v>
      </c>
      <c r="D20" s="38" t="s">
        <v>2680</v>
      </c>
      <c r="E20" s="38" t="s">
        <v>3120</v>
      </c>
      <c r="F20" s="31" t="s">
        <v>3353</v>
      </c>
      <c r="G20" s="32"/>
      <c r="H20" s="32"/>
      <c r="I20" s="32" t="s">
        <v>119</v>
      </c>
    </row>
    <row r="21" spans="1:9" x14ac:dyDescent="0.25">
      <c r="A21" s="31" t="s">
        <v>2727</v>
      </c>
      <c r="B21" s="31" t="s">
        <v>3097</v>
      </c>
      <c r="C21" s="31" t="s">
        <v>3096</v>
      </c>
      <c r="D21" s="38" t="s">
        <v>2727</v>
      </c>
      <c r="E21" s="38" t="s">
        <v>3121</v>
      </c>
      <c r="F21" s="31" t="s">
        <v>4008</v>
      </c>
      <c r="G21" s="32" t="s">
        <v>4413</v>
      </c>
      <c r="H21" s="32" t="s">
        <v>4408</v>
      </c>
      <c r="I21" s="32" t="s">
        <v>119</v>
      </c>
    </row>
    <row r="22" spans="1:9" x14ac:dyDescent="0.25">
      <c r="A22" s="31" t="s">
        <v>3093</v>
      </c>
      <c r="B22" s="31" t="s">
        <v>3097</v>
      </c>
      <c r="C22" s="31" t="s">
        <v>3096</v>
      </c>
      <c r="D22" s="38" t="s">
        <v>3093</v>
      </c>
      <c r="E22" s="38" t="s">
        <v>3122</v>
      </c>
      <c r="F22" s="31" t="s">
        <v>4009</v>
      </c>
      <c r="G22" s="32"/>
      <c r="H22" s="32"/>
      <c r="I22" s="32" t="s">
        <v>119</v>
      </c>
    </row>
    <row r="23" spans="1:9" x14ac:dyDescent="0.25">
      <c r="A23" s="30" t="s">
        <v>108</v>
      </c>
      <c r="B23" s="31" t="s">
        <v>2150</v>
      </c>
      <c r="C23" s="31" t="s">
        <v>3096</v>
      </c>
      <c r="D23" s="38" t="s">
        <v>108</v>
      </c>
      <c r="E23" s="38" t="s">
        <v>108</v>
      </c>
      <c r="F23" s="31" t="s">
        <v>3353</v>
      </c>
      <c r="G23" s="32"/>
      <c r="H23" s="32"/>
      <c r="I23" s="32" t="s">
        <v>119</v>
      </c>
    </row>
    <row r="24" spans="1:9" x14ac:dyDescent="0.25">
      <c r="A24" s="31" t="s">
        <v>3094</v>
      </c>
      <c r="B24" s="31" t="s">
        <v>3097</v>
      </c>
      <c r="C24" s="31" t="s">
        <v>3096</v>
      </c>
      <c r="D24" s="38" t="s">
        <v>3094</v>
      </c>
      <c r="E24" s="38" t="s">
        <v>3123</v>
      </c>
      <c r="F24" s="31" t="s">
        <v>4007</v>
      </c>
      <c r="G24" s="32"/>
      <c r="H24" s="32"/>
      <c r="I24" s="32" t="s">
        <v>119</v>
      </c>
    </row>
    <row r="25" spans="1:9" x14ac:dyDescent="0.25">
      <c r="A25" s="31" t="s">
        <v>3095</v>
      </c>
      <c r="B25" s="31" t="s">
        <v>3097</v>
      </c>
      <c r="C25" s="31" t="s">
        <v>3098</v>
      </c>
      <c r="D25" s="38" t="s">
        <v>3095</v>
      </c>
      <c r="E25" s="38" t="s">
        <v>3124</v>
      </c>
      <c r="F25" s="31" t="s">
        <v>4611</v>
      </c>
      <c r="G25" s="31" t="s">
        <v>4614</v>
      </c>
      <c r="H25" s="31" t="s">
        <v>4614</v>
      </c>
      <c r="I25" s="31" t="s">
        <v>119</v>
      </c>
    </row>
    <row r="26" spans="1:9" x14ac:dyDescent="0.25">
      <c r="A26" s="30" t="s">
        <v>73</v>
      </c>
      <c r="B26" s="31" t="s">
        <v>2150</v>
      </c>
      <c r="C26" s="31" t="s">
        <v>3096</v>
      </c>
      <c r="D26" s="38" t="s">
        <v>73</v>
      </c>
      <c r="E26" s="38" t="s">
        <v>724</v>
      </c>
      <c r="F26" s="31" t="s">
        <v>3353</v>
      </c>
      <c r="G26" s="32" t="s">
        <v>4223</v>
      </c>
      <c r="H26" s="32" t="s">
        <v>4223</v>
      </c>
      <c r="I26" s="32" t="s">
        <v>119</v>
      </c>
    </row>
    <row r="27" spans="1:9" x14ac:dyDescent="0.25">
      <c r="A27" s="30" t="s">
        <v>74</v>
      </c>
      <c r="B27" s="31" t="s">
        <v>2150</v>
      </c>
      <c r="C27" s="31" t="s">
        <v>3096</v>
      </c>
      <c r="D27" s="38" t="s">
        <v>74</v>
      </c>
      <c r="E27" s="38" t="s">
        <v>3961</v>
      </c>
      <c r="F27" s="31" t="s">
        <v>3353</v>
      </c>
      <c r="G27" s="32" t="s">
        <v>595</v>
      </c>
      <c r="H27" s="32" t="s">
        <v>595</v>
      </c>
      <c r="I27" s="32" t="s">
        <v>119</v>
      </c>
    </row>
    <row r="28" spans="1:9" x14ac:dyDescent="0.25">
      <c r="A28" s="30" t="s">
        <v>269</v>
      </c>
      <c r="B28" s="31" t="s">
        <v>2150</v>
      </c>
      <c r="C28" s="31" t="s">
        <v>3096</v>
      </c>
      <c r="D28" s="38" t="s">
        <v>269</v>
      </c>
      <c r="E28" s="38" t="s">
        <v>725</v>
      </c>
      <c r="F28" s="31" t="s">
        <v>3353</v>
      </c>
      <c r="G28" s="32" t="s">
        <v>3768</v>
      </c>
      <c r="H28" s="32" t="s">
        <v>3768</v>
      </c>
      <c r="I28" s="32" t="s">
        <v>119</v>
      </c>
    </row>
    <row r="29" spans="1:9" x14ac:dyDescent="0.25">
      <c r="A29" s="30" t="s">
        <v>268</v>
      </c>
      <c r="B29" s="31" t="s">
        <v>2150</v>
      </c>
      <c r="C29" s="31" t="s">
        <v>3096</v>
      </c>
      <c r="D29" s="38" t="s">
        <v>268</v>
      </c>
      <c r="E29" s="38" t="s">
        <v>726</v>
      </c>
      <c r="F29" s="31" t="s">
        <v>3353</v>
      </c>
      <c r="G29" s="32" t="s">
        <v>4004</v>
      </c>
      <c r="H29" s="32" t="s">
        <v>4004</v>
      </c>
      <c r="I29" s="32" t="s">
        <v>119</v>
      </c>
    </row>
    <row r="30" spans="1:9" x14ac:dyDescent="0.25">
      <c r="A30" s="30" t="s">
        <v>107</v>
      </c>
      <c r="B30" s="31" t="s">
        <v>2150</v>
      </c>
      <c r="C30" s="31" t="s">
        <v>3096</v>
      </c>
      <c r="D30" s="38" t="s">
        <v>107</v>
      </c>
      <c r="E30" s="38" t="s">
        <v>623</v>
      </c>
      <c r="F30" s="31" t="s">
        <v>4010</v>
      </c>
      <c r="G30" s="32"/>
      <c r="H30" s="32"/>
      <c r="I30" s="32" t="s">
        <v>119</v>
      </c>
    </row>
    <row r="31" spans="1:9" x14ac:dyDescent="0.25">
      <c r="A31" s="30" t="s">
        <v>91</v>
      </c>
      <c r="B31" s="31" t="s">
        <v>2150</v>
      </c>
      <c r="C31" s="31" t="s">
        <v>3096</v>
      </c>
      <c r="D31" s="38" t="s">
        <v>91</v>
      </c>
      <c r="E31" s="38" t="s">
        <v>184</v>
      </c>
      <c r="F31" s="31" t="s">
        <v>4011</v>
      </c>
      <c r="G31" s="32"/>
      <c r="H31" s="32"/>
      <c r="I31" s="32" t="s">
        <v>119</v>
      </c>
    </row>
    <row r="32" spans="1:9" x14ac:dyDescent="0.25">
      <c r="A32" s="30" t="s">
        <v>3388</v>
      </c>
      <c r="B32" s="31" t="s">
        <v>2150</v>
      </c>
      <c r="C32" s="31" t="s">
        <v>3096</v>
      </c>
      <c r="D32" s="38" t="s">
        <v>3388</v>
      </c>
      <c r="E32" s="38" t="s">
        <v>3389</v>
      </c>
      <c r="F32" s="31" t="s">
        <v>3353</v>
      </c>
      <c r="G32" s="32" t="s">
        <v>4415</v>
      </c>
      <c r="H32" s="32" t="s">
        <v>4414</v>
      </c>
      <c r="I32" s="32" t="s">
        <v>119</v>
      </c>
    </row>
    <row r="33" spans="1:9" x14ac:dyDescent="0.25">
      <c r="A33" s="30" t="s">
        <v>4166</v>
      </c>
      <c r="B33" s="31" t="s">
        <v>3097</v>
      </c>
      <c r="C33" s="31" t="s">
        <v>3096</v>
      </c>
      <c r="D33" s="38" t="s">
        <v>4166</v>
      </c>
      <c r="E33" s="38" t="s">
        <v>4167</v>
      </c>
      <c r="F33" s="31" t="s">
        <v>3353</v>
      </c>
      <c r="G33" s="32"/>
      <c r="H33" s="32"/>
      <c r="I33" s="32" t="s">
        <v>119</v>
      </c>
    </row>
    <row r="34" spans="1:9" x14ac:dyDescent="0.25">
      <c r="A34" s="30" t="s">
        <v>106</v>
      </c>
      <c r="B34" s="31" t="s">
        <v>2150</v>
      </c>
      <c r="C34" s="31" t="s">
        <v>3096</v>
      </c>
      <c r="D34" s="38" t="s">
        <v>106</v>
      </c>
      <c r="E34" s="38" t="s">
        <v>467</v>
      </c>
      <c r="F34" s="31" t="s">
        <v>3353</v>
      </c>
      <c r="G34" s="32" t="s">
        <v>482</v>
      </c>
      <c r="H34" s="32" t="s">
        <v>482</v>
      </c>
      <c r="I34" s="32" t="s">
        <v>119</v>
      </c>
    </row>
    <row r="35" spans="1:9" x14ac:dyDescent="0.25">
      <c r="A35" s="33"/>
      <c r="B35" s="32"/>
      <c r="C35" s="32"/>
      <c r="D35" s="39"/>
      <c r="E35" s="39"/>
      <c r="F35" s="32"/>
      <c r="G35" s="32"/>
      <c r="H35" s="32"/>
      <c r="I35" s="32" t="s">
        <v>119</v>
      </c>
    </row>
    <row r="36" spans="1:9" x14ac:dyDescent="0.25">
      <c r="A36" s="33"/>
      <c r="B36" s="32"/>
      <c r="C36" s="32"/>
      <c r="D36" s="39"/>
      <c r="E36" s="39"/>
      <c r="F36" s="32"/>
      <c r="G36" s="32"/>
      <c r="H36" s="32"/>
      <c r="I36" s="32" t="s">
        <v>119</v>
      </c>
    </row>
    <row r="37" spans="1:9" x14ac:dyDescent="0.25">
      <c r="A37" s="33"/>
      <c r="B37" s="32"/>
      <c r="C37" s="32"/>
      <c r="D37" s="39"/>
      <c r="E37" s="39"/>
      <c r="F37" s="32"/>
      <c r="G37" s="32"/>
      <c r="H37" s="32"/>
      <c r="I37" s="32" t="s">
        <v>119</v>
      </c>
    </row>
    <row r="38" spans="1:9" x14ac:dyDescent="0.25">
      <c r="A38" s="33"/>
      <c r="B38" s="32"/>
      <c r="C38" s="32"/>
      <c r="D38" s="39"/>
      <c r="E38" s="39"/>
      <c r="F38" s="32"/>
      <c r="G38" s="32"/>
      <c r="H38" s="32"/>
      <c r="I38" s="32" t="s">
        <v>119</v>
      </c>
    </row>
    <row r="39" spans="1:9" x14ac:dyDescent="0.25">
      <c r="A39" s="33"/>
      <c r="B39" s="32"/>
      <c r="C39" s="32"/>
      <c r="D39" s="39"/>
      <c r="E39" s="39"/>
      <c r="F39" s="32"/>
      <c r="G39" s="32"/>
      <c r="H39" s="32"/>
      <c r="I39" s="32" t="s">
        <v>119</v>
      </c>
    </row>
    <row r="40" spans="1:9" x14ac:dyDescent="0.25">
      <c r="A40" s="33"/>
      <c r="B40" s="32"/>
      <c r="C40" s="32"/>
      <c r="D40" s="39"/>
      <c r="E40" s="39"/>
      <c r="F40" s="32"/>
      <c r="G40" s="32"/>
      <c r="H40" s="32"/>
      <c r="I40" s="32" t="s">
        <v>119</v>
      </c>
    </row>
    <row r="41" spans="1:9" x14ac:dyDescent="0.25">
      <c r="A41" s="33"/>
      <c r="B41" s="32"/>
      <c r="C41" s="32"/>
      <c r="D41" s="39"/>
      <c r="E41" s="39"/>
      <c r="F41" s="32"/>
      <c r="G41" s="32"/>
      <c r="H41" s="32"/>
      <c r="I41" s="32" t="s">
        <v>119</v>
      </c>
    </row>
    <row r="42" spans="1:9" x14ac:dyDescent="0.25">
      <c r="A42" s="33"/>
      <c r="B42" s="32"/>
      <c r="C42" s="32"/>
      <c r="D42" s="39"/>
      <c r="E42" s="39"/>
      <c r="F42" s="32"/>
      <c r="G42" s="32"/>
      <c r="H42" s="32"/>
      <c r="I42" s="32" t="s">
        <v>119</v>
      </c>
    </row>
    <row r="43" spans="1:9" x14ac:dyDescent="0.25">
      <c r="A43" s="33"/>
      <c r="B43" s="32"/>
      <c r="C43" s="32"/>
      <c r="D43" s="39"/>
      <c r="E43" s="39"/>
      <c r="F43" s="32"/>
      <c r="G43" s="32"/>
      <c r="H43" s="32"/>
      <c r="I43" s="32" t="s">
        <v>119</v>
      </c>
    </row>
    <row r="44" spans="1:9" x14ac:dyDescent="0.25">
      <c r="A44" s="33"/>
      <c r="B44" s="32"/>
      <c r="C44" s="32"/>
      <c r="D44" s="39"/>
      <c r="E44" s="39"/>
      <c r="F44" s="32"/>
      <c r="G44" s="32"/>
      <c r="H44" s="32"/>
      <c r="I44" s="32" t="s">
        <v>119</v>
      </c>
    </row>
    <row r="45" spans="1:9" x14ac:dyDescent="0.25">
      <c r="A45" s="33"/>
      <c r="B45" s="32"/>
      <c r="C45" s="32"/>
      <c r="D45" s="39"/>
      <c r="E45" s="39"/>
      <c r="F45" s="32"/>
      <c r="G45" s="32"/>
      <c r="H45" s="32"/>
      <c r="I45" s="32" t="s">
        <v>119</v>
      </c>
    </row>
  </sheetData>
  <autoFilter ref="A4:H4" xr:uid="{0D419C82-A0F9-45B6-96E6-AFC6615E1430}">
    <sortState xmlns:xlrd2="http://schemas.microsoft.com/office/spreadsheetml/2017/richdata2" ref="A5:H31">
      <sortCondition ref="A4"/>
    </sortState>
  </autoFilter>
  <mergeCells count="9">
    <mergeCell ref="I2:I3"/>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Props1.xml><?xml version="1.0" encoding="utf-8"?>
<ds:datastoreItem xmlns:ds="http://schemas.openxmlformats.org/officeDocument/2006/customXml" ds:itemID="{67A80B7F-5A84-4E60-8DA7-AD74E0112225}"/>
</file>

<file path=customXml/itemProps2.xml><?xml version="1.0" encoding="utf-8"?>
<ds:datastoreItem xmlns:ds="http://schemas.openxmlformats.org/officeDocument/2006/customXml" ds:itemID="{32D9C7FE-5C3A-4B64-AF1C-2C10E20AB0A3}"/>
</file>

<file path=customXml/itemProps3.xml><?xml version="1.0" encoding="utf-8"?>
<ds:datastoreItem xmlns:ds="http://schemas.openxmlformats.org/officeDocument/2006/customXml" ds:itemID="{AEA4C912-984C-41F8-89A7-741377EE0B75}"/>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2026-04-21T04:46:23Z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y fmtid="{D5CDD505-2E9C-101B-9397-08002B2CF9AE}" pid="10" name="MSIP_Label_8c3d088b-6243-4963-a2e2-8b321ab7f8fc_ContentBits">
    <vt:lpwstr>1</vt:lpwstr>
  </property>
  <property fmtid="{D5CDD505-2E9C-101B-9397-08002B2CF9AE}" pid="11" name="MSIP_Label_8c3d088b-6243-4963-a2e2-8b321ab7f8fc_SiteId">
    <vt:lpwstr>d1323671-cdbe-4417-b4d4-bdb24b51316b</vt:lpwstr>
  </property>
  <property fmtid="{D5CDD505-2E9C-101B-9397-08002B2CF9AE}" pid="12" name="ContentTypeId">
    <vt:lpwstr>0x010100E46915CC77A6414794C0659BE0416FBE</vt:lpwstr>
  </property>
  <property fmtid="{D5CDD505-2E9C-101B-9397-08002B2CF9AE}" pid="13" name="MSIP_Label_8c3d088b-6243-4963-a2e2-8b321ab7f8fc_Method">
    <vt:lpwstr>Standard</vt:lpwstr>
  </property>
  <property fmtid="{D5CDD505-2E9C-101B-9397-08002B2CF9AE}" pid="14" name="MSIP_Label_8c3d088b-6243-4963-a2e2-8b321ab7f8fc_Name">
    <vt:lpwstr>Trusted</vt:lpwstr>
  </property>
  <property fmtid="{D5CDD505-2E9C-101B-9397-08002B2CF9AE}" pid="15" name="MSIP_Label_8c3d088b-6243-4963-a2e2-8b321ab7f8fc_Enabled">
    <vt:lpwstr>true</vt:lpwstr>
  </property>
  <property fmtid="{D5CDD505-2E9C-101B-9397-08002B2CF9AE}" pid="16" name="MSIP_Label_8c3d088b-6243-4963-a2e2-8b321ab7f8fc_SetDate">
    <vt:lpwstr>2023-02-23T00:01:01Z</vt:lpwstr>
  </property>
  <property fmtid="{D5CDD505-2E9C-101B-9397-08002B2CF9AE}" pid="17" name="MSIP_Label_8c3d088b-6243-4963-a2e2-8b321ab7f8fc_ActionId">
    <vt:lpwstr>de35b631-1d58-4bbd-a02e-385d699b7cce</vt:lpwstr>
  </property>
</Properties>
</file>