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projects\global-indicators\process\configuration\templates\"/>
    </mc:Choice>
  </mc:AlternateContent>
  <xr:revisionPtr revIDLastSave="0" documentId="13_ncr:1_{E4FC9A07-EE7C-4D47-9AB2-447A19158FE6}" xr6:coauthVersionLast="47" xr6:coauthVersionMax="47" xr10:uidLastSave="{00000000-0000-0000-0000-000000000000}"/>
  <bookViews>
    <workbookView xWindow="28680" yWindow="-120" windowWidth="29040" windowHeight="16440" activeTab="5"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2" i="9"/>
  <c r="G22" i="11"/>
  <c r="G26" i="16"/>
  <c r="G22" i="15"/>
  <c r="G21" i="1"/>
  <c r="G21" i="9"/>
  <c r="G21" i="11"/>
  <c r="G25" i="16"/>
  <c r="G21" i="15"/>
  <c r="E23" i="1"/>
  <c r="G23" i="1" s="1"/>
  <c r="E24" i="1" s="1"/>
  <c r="G24" i="1" s="1"/>
  <c r="E25" i="1" s="1"/>
  <c r="G25" i="1" s="1"/>
  <c r="E26" i="1" s="1"/>
  <c r="G26" i="1" s="1"/>
  <c r="E23" i="9"/>
  <c r="G23" i="9" s="1"/>
  <c r="E24" i="9" s="1"/>
  <c r="G24" i="9" s="1"/>
  <c r="E25" i="9" s="1"/>
  <c r="G25" i="9" s="1"/>
  <c r="E26" i="9" s="1"/>
  <c r="G26" i="9" s="1"/>
  <c r="E23" i="11"/>
  <c r="G23" i="11" s="1"/>
  <c r="E24" i="11" s="1"/>
  <c r="G24" i="11" s="1"/>
  <c r="E25" i="11" s="1"/>
  <c r="G25" i="11" s="1"/>
  <c r="E26" i="11" s="1"/>
  <c r="G26" i="11" s="1"/>
  <c r="E27" i="16"/>
  <c r="G27" i="16" s="1"/>
  <c r="E28" i="16" s="1"/>
  <c r="G28" i="16" s="1"/>
  <c r="E29" i="16" s="1"/>
  <c r="G29" i="16" s="1"/>
  <c r="E30" i="16" s="1"/>
  <c r="G30" i="16" s="1"/>
  <c r="E23" i="15"/>
  <c r="G23" i="15" s="1"/>
  <c r="E24" i="15" s="1"/>
  <c r="G24" i="15" s="1"/>
  <c r="E25" i="15" s="1"/>
  <c r="G25" i="15" s="1"/>
  <c r="E26" i="15" s="1"/>
  <c r="G26" i="15" s="1"/>
  <c r="G130" i="15"/>
  <c r="E131" i="15"/>
  <c r="G131" i="15"/>
  <c r="G132" i="15"/>
  <c r="D133" i="15"/>
  <c r="E133" i="15"/>
  <c r="F133" i="15"/>
  <c r="G133" i="15"/>
  <c r="E134" i="15" s="1"/>
  <c r="G134" i="15" s="1"/>
  <c r="E135" i="15" s="1"/>
  <c r="D134" i="15"/>
  <c r="F134" i="15"/>
  <c r="F138" i="15" s="1"/>
  <c r="D135" i="15"/>
  <c r="D138" i="15" s="1"/>
  <c r="P135" i="15"/>
  <c r="P136" i="15"/>
  <c r="P137" i="15"/>
  <c r="G127" i="15"/>
  <c r="E127" i="15"/>
  <c r="G331" i="16"/>
  <c r="E332" i="16" s="1"/>
  <c r="G332" i="16" s="1"/>
  <c r="G330" i="16"/>
  <c r="G124" i="15"/>
  <c r="E125" i="15" s="1"/>
  <c r="G125" i="15" s="1"/>
  <c r="E123" i="15"/>
  <c r="G123" i="15" s="1"/>
  <c r="G126" i="15"/>
  <c r="E115" i="15"/>
  <c r="G115" i="15" s="1"/>
  <c r="G333" i="16"/>
  <c r="E334" i="16" s="1"/>
  <c r="G334" i="16" s="1"/>
  <c r="G308" i="16"/>
  <c r="G305" i="16"/>
  <c r="G118" i="15"/>
  <c r="G116" i="15"/>
  <c r="E117" i="15" s="1"/>
  <c r="G117" i="15" s="1"/>
  <c r="G306" i="16"/>
  <c r="E307" i="16" s="1"/>
  <c r="G307" i="16" s="1"/>
  <c r="G121" i="15"/>
  <c r="E122" i="15" s="1"/>
  <c r="G122" i="15" s="1"/>
  <c r="G113" i="15"/>
  <c r="E114" i="15" s="1"/>
  <c r="G114" i="15" s="1"/>
  <c r="G335" i="16"/>
  <c r="E336" i="16" s="1"/>
  <c r="G336" i="16" s="1"/>
  <c r="G309" i="16"/>
  <c r="E310" i="16" s="1"/>
  <c r="G310"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<sst xmlns="http://schemas.openxmlformats.org/spreadsheetml/2006/main" count="13851" uniqueCount="5701">
  <si>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</si>
  <si>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</si>
  <si>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</si>
  <si>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</si>
  <si>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</si>
  <si>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</si>
  <si>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</si>
  <si>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</si>
  <si>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</si>
  <si>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</si>
  <si>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</si>
  <si>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</si>
  <si>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</si>
  <si>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</si>
  <si>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</si>
  <si>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</si>
  <si>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</si>
  <si>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</si>
  <si>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</si>
  <si>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</si>
  <si>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</si>
  <si>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</si>
  <si>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</si>
  <si>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</si>
  <si>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</si>
  <si>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</si>
  <si>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</si>
  <si>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</si>
  <si>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</si>
  <si>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</si>
  <si>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</si>
  <si>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</si>
  <si>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</si>
  <si>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</si>
  <si>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</si>
  <si>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</si>
  <si>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</si>
  <si>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</si>
  <si>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</si>
  <si>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</si>
  <si>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</si>
  <si>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</si>
  <si>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</si>
  <si>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</si>
  <si>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</si>
  <si>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</si>
  <si>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</si>
  <si>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</si>
  <si>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</si>
  <si>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</si>
  <si>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</si>
  <si>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</si>
  <si>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</si>
  <si>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</si>
  <si>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</si>
  <si>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</si>
  <si>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</si>
  <si>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</si>
  <si>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</si>
  <si>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</si>
  <si>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</si>
  <si>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</si>
  <si>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</si>
  <si>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</si>
  <si>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</si>
  <si>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</si>
  <si>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</si>
  <si>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</si>
  <si>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</si>
  <si>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</si>
  <si>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</si>
  <si>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</si>
  <si>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</si>
  <si>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</si>
  <si>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</si>
  <si>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</si>
  <si>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</si>
  <si>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</si>
  <si>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</si>
  <si>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</si>
  <si>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</si>
  <si>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</si>
  <si>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</si>
  <si>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</si>
  <si>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</si>
  <si>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</si>
  <si>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</si>
  <si>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</si>
  <si>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</si>
  <si>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</si>
  <si>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</si>
  <si>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</si>
  <si>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</si>
  <si>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</si>
  <si>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</si>
  <si>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</si>
  <si>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</si>
  <si>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</si>
  <si>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</si>
  <si>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</si>
  <si>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</si>
  <si>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</si>
  <si>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</si>
  <si>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</si>
  <si>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</si>
  <si>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</si>
  <si>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</si>
  <si>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</si>
  <si>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</si>
  <si>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</si>
  <si>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</si>
  <si>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</si>
  <si>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</si>
  <si>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</si>
  <si>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</si>
  <si>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</si>
  <si>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</si>
  <si>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</si>
  <si>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</si>
  <si>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</si>
  <si>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</si>
  <si>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</si>
  <si>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</si>
  <si>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</si>
  <si>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</si>
  <si>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</si>
  <si>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</si>
  <si>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</si>
  <si>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</si>
  <si>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</si>
  <si>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</si>
  <si>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</si>
  <si>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</si>
  <si>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</si>
  <si>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</si>
  <si>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</si>
  <si>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</si>
  <si>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</si>
  <si>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</si>
  <si>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</si>
  <si>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</si>
  <si>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</si>
  <si>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</si>
  <si>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</si>
  <si>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</si>
  <si>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</si>
  <si>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</si>
  <si>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</si>
  <si>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</si>
  <si>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</si>
  <si>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</si>
  <si>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</si>
  <si>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</si>
  <si>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</si>
  <si>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</si>
  <si>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</si>
  <si>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</si>
  <si>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</si>
  <si>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</si>
  <si>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</si>
  <si>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</si>
  <si>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</si>
  <si>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</si>
  <si>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</si>
  <si>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</si>
  <si>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</si>
  <si>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</si>
  <si>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</si>
  <si>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</si>
  <si>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</si>
  <si>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</si>
  <si>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</si>
  <si>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</si>
  <si>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</si>
  <si>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</si>
  <si>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</si>
  <si>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</si>
  <si>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</si>
  <si>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</si>
  <si>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</si>
  <si>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</si>
  <si>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</si>
  <si>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</si>
  <si>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</si>
  <si>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</si>
  <si>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</si>
  <si>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</si>
  <si>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</si>
  <si>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</si>
  <si>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</si>
  <si>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</si>
  <si>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</si>
  <si>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</si>
  <si>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</si>
  <si>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</si>
  <si>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</si>
  <si>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</si>
  <si>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</si>
  <si>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</si>
  <si>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</si>
  <si>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</si>
  <si>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</si>
  <si>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</si>
  <si>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</si>
  <si>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</si>
  <si>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</si>
  <si>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</si>
  <si>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</si>
  <si>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</si>
  <si>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</si>
  <si>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</si>
  <si>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</si>
  <si>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</si>
  <si>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</si>
  <si>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</si>
  <si>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</si>
  <si>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</si>
  <si>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</si>
  <si>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</si>
  <si>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</si>
  <si>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</si>
  <si>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</si>
  <si>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</si>
  <si>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</si>
  <si>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</si>
  <si>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</si>
  <si>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</si>
  <si>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</si>
  <si>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</si>
  <si>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</si>
  <si>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</si>
  <si>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</si>
  <si>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</si>
  <si>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</si>
  <si>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</si>
  <si>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</si>
  <si>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</si>
  <si>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</si>
  <si>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</si>
  <si>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</si>
  <si>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</si>
  <si>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</si>
  <si>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</si>
  <si>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</si>
  <si>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</si>
  <si>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</si>
  <si>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</si>
  <si>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</si>
  <si>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</si>
  <si>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</si>
  <si>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</si>
  <si>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</si>
  <si>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</si>
  <si>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</si>
  <si>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</si>
  <si>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</si>
  <si>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</si>
  <si>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</si>
  <si>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</si>
  <si>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</si>
  <si>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</si>
  <si>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</si>
  <si>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</si>
  <si>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</si>
  <si>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</si>
  <si>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</si>
  <si>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</si>
  <si>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</si>
  <si>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</si>
  <si>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</si>
  <si>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</si>
  <si>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</si>
  <si>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</si>
  <si>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</si>
  <si>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</si>
  <si>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</si>
  <si>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</si>
  <si>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</si>
  <si>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</si>
  <si>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</si>
  <si>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</si>
  <si>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</si>
  <si>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</si>
  <si>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</si>
  <si>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</si>
  <si>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</si>
  <si>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</si>
  <si>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</si>
  <si>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</si>
  <si>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</si>
  <si>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</si>
  <si>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</si>
  <si>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</si>
  <si>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</si>
  <si>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</si>
  <si>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</si>
  <si>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</si>
  <si>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</si>
  <si>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</si>
  <si>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</si>
  <si>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</si>
  <si>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</si>
  <si>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</si>
  <si>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</si>
  <si>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</si>
  <si>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</si>
  <si>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</si>
  <si>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</si>
  <si>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</si>
  <si>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</si>
  <si>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</si>
  <si>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</si>
  <si>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</si>
  <si>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</si>
  <si>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</si>
  <si>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</si>
  <si>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</si>
  <si>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</si>
  <si>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</si>
  <si>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</si>
  <si>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</si>
  <si>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</si>
  <si>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</si>
  <si>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</si>
  <si>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</si>
  <si>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</si>
  <si>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</si>
  <si>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</si>
  <si>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</si>
  <si>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</si>
  <si>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</si>
  <si>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</si>
  <si>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</si>
  <si>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</si>
  <si>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</si>
  <si>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</si>
  <si>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</si>
  <si>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</si>
  <si>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</si>
  <si>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</si>
  <si>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</si>
  <si>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</si>
  <si>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</si>
  <si>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</si>
  <si>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</si>
  <si>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</si>
  <si>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</si>
  <si>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</si>
  <si>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</si>
  <si>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</si>
  <si>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</si>
  <si>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</si>
  <si>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</si>
  <si>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</si>
  <si>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</si>
  <si>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</si>
  <si>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</si>
  <si>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</si>
  <si>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</si>
  <si>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</si>
  <si>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</si>
  <si>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</si>
  <si>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</si>
  <si>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</si>
  <si>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</si>
  <si>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</si>
  <si>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</si>
  <si>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</si>
  <si>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</si>
  <si>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</si>
  <si>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</si>
  <si>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</si>
  <si>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</si>
  <si>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</si>
  <si>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</si>
  <si>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</si>
  <si>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</si>
  <si>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</si>
  <si>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</si>
  <si>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</si>
  <si>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</si>
  <si>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</si>
  <si>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</si>
  <si>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</si>
  <si>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</si>
  <si>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</si>
  <si>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</si>
  <si>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</si>
  <si>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</si>
  <si>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</si>
  <si>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</si>
  <si>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</si>
  <si>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</si>
  <si>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</si>
  <si>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</si>
  <si>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</si>
  <si>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</si>
  <si>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</si>
  <si>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</si>
  <si>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</si>
  <si>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</si>
  <si>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</si>
  <si>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</si>
  <si>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</si>
  <si>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</si>
  <si>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</si>
  <si>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</si>
  <si>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</si>
  <si>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</si>
  <si>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</si>
  <si>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</si>
  <si>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</si>
  <si>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</si>
  <si>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</si>
  <si>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</si>
  <si>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</si>
  <si>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</si>
  <si>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</si>
  <si>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</si>
  <si>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</si>
  <si>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</si>
  <si>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</si>
  <si>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</si>
  <si>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</si>
  <si>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</si>
  <si>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</si>
  <si>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</si>
  <si>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</si>
  <si>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</si>
  <si>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</si>
  <si>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</si>
  <si>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</si>
  <si>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</si>
  <si>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</si>
  <si>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</si>
  <si>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</si>
  <si>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</si>
  <si>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</si>
  <si>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</si>
  <si>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</si>
  <si>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</si>
  <si>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</si>
  <si>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</si>
  <si>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</si>
  <si>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</si>
  <si>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</si>
  <si>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</si>
  <si>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</si>
  <si>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</si>
  <si>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</si>
  <si>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</si>
  <si>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</si>
  <si>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</si>
  <si>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</si>
  <si>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</si>
  <si>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</si>
  <si>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</si>
  <si>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</si>
  <si>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</si>
  <si>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</si>
  <si>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</si>
  <si>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</si>
  <si>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</si>
  <si>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</si>
  <si>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</si>
  <si>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</si>
  <si>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</si>
  <si>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</si>
  <si>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</si>
  <si>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</si>
  <si>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</si>
  <si>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</si>
  <si>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</si>
  <si>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</si>
  <si>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</si>
  <si>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</si>
  <si>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</si>
  <si>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</si>
  <si>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</si>
  <si>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</si>
  <si>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</si>
  <si>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</si>
  <si>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</si>
  <si>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</si>
  <si>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</si>
  <si>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</si>
  <si>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</si>
  <si>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</si>
  <si>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</si>
  <si>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</si>
  <si>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</si>
  <si>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</si>
  <si>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</si>
  <si>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</si>
  <si>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</si>
  <si>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</si>
  <si>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</si>
  <si>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</si>
  <si>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</si>
  <si>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</si>
  <si>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</si>
  <si>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</si>
  <si>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</si>
  <si>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</si>
  <si>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</si>
  <si>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</si>
  <si>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</si>
  <si>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</si>
  <si>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</si>
  <si>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</si>
  <si>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</si>
  <si>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</si>
  <si>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</si>
  <si>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</si>
  <si>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</si>
  <si>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</si>
  <si>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</si>
  <si>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</si>
  <si>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</si>
  <si>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</si>
  <si>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</si>
  <si>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</si>
  <si>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</si>
  <si>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</si>
  <si>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</si>
  <si>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</si>
  <si>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</si>
  <si>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</si>
  <si>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</si>
  <si>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</si>
  <si>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</si>
  <si>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</si>
  <si>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</si>
  <si>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</si>
  <si>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</si>
  <si>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</si>
  <si>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</si>
  <si>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</si>
  <si>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</si>
  <si>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</si>
  <si>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</si>
  <si>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</si>
  <si>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</si>
  <si>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</si>
  <si>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</si>
  <si>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</si>
  <si>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</si>
  <si>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</si>
  <si>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</si>
  <si>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</si>
  <si>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</si>
  <si>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</si>
  <si>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</si>
  <si>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</si>
  <si>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</si>
  <si>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</si>
  <si>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</si>
  <si>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</si>
  <si>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</si>
  <si>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</si>
  <si>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</si>
  <si>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</si>
  <si>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</si>
  <si>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</si>
  <si>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</si>
  <si>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</si>
  <si>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</si>
  <si>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</si>
  <si>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</si>
  <si>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</si>
  <si>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</si>
  <si>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</si>
  <si>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</si>
  <si>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</si>
  <si>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</si>
  <si>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</si>
  <si>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</si>
  <si>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</si>
  <si>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</si>
  <si>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</si>
  <si>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</si>
  <si>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</si>
  <si>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</si>
  <si>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</si>
  <si>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</si>
  <si>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</si>
  <si>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</si>
  <si>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</si>
  <si>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</si>
  <si>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</si>
  <si>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</si>
  <si>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</si>
  <si>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</si>
  <si>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</si>
  <si>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</si>
  <si>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</si>
  <si>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</si>
  <si>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</si>
  <si>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</si>
  <si>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</si>
  <si>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</si>
  <si>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</si>
  <si>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</si>
  <si>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</si>
  <si>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</si>
  <si>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</si>
  <si>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</si>
  <si>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</si>
  <si>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</si>
  <si>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</si>
  <si>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</si>
  <si>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</si>
  <si>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</si>
  <si>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</si>
  <si>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</si>
  <si>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</si>
  <si>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</si>
  <si>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</si>
  <si>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</si>
  <si>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</si>
  <si>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</si>
  <si>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</si>
  <si>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</si>
  <si>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</si>
  <si>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</si>
  <si>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</si>
  <si>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</si>
  <si>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</si>
  <si>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</si>
  <si>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</si>
  <si>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</si>
  <si>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</si>
  <si>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</si>
  <si>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</si>
  <si>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</si>
  <si>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</si>
  <si>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</si>
  <si>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</si>
  <si>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</si>
  <si>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</si>
  <si>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</si>
  <si>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</si>
  <si>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</si>
  <si>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</si>
  <si>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</si>
  <si>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</si>
  <si>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</si>
  <si>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</si>
  <si>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</si>
  <si>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</si>
  <si>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</si>
  <si>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</si>
  <si>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</si>
  <si>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</si>
  <si>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</si>
  <si>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</si>
  <si>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</si>
  <si>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</si>
  <si>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</si>
  <si>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</si>
  <si>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</si>
  <si>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</si>
  <si>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</si>
  <si>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</si>
  <si>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</si>
  <si>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</si>
  <si>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</si>
  <si>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</si>
  <si>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</si>
  <si>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</si>
  <si>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</si>
  <si>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</si>
  <si>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</si>
  <si>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</si>
  <si>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</si>
  <si>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</si>
  <si>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</si>
  <si>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</si>
  <si>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</si>
  <si>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</si>
  <si>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</si>
  <si>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</si>
  <si>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</si>
  <si>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</si>
  <si>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</si>
  <si>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</si>
  <si>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</si>
  <si>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</si>
  <si>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</si>
  <si>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</si>
  <si>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</si>
  <si>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</si>
  <si>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</si>
  <si>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</si>
  <si>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</si>
  <si>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</si>
  <si>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</si>
  <si>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</si>
  <si>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</si>
  <si>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</si>
  <si>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</si>
  <si>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</si>
  <si>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</si>
  <si>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</si>
  <si>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</si>
  <si>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</si>
  <si>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</si>
  <si>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</si>
  <si>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</si>
  <si>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</si>
  <si>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</si>
  <si>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</si>
  <si>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</si>
  <si>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</si>
  <si>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</si>
  <si>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</si>
  <si>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</si>
  <si>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</si>
  <si>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</si>
  <si>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</si>
  <si>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</si>
  <si>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</si>
  <si>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</si>
  <si>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</si>
  <si>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</si>
  <si>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</si>
  <si>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</si>
  <si>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</si>
  <si>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</si>
  <si>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</si>
  <si>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</si>
  <si>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</si>
  <si>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</si>
  <si>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</si>
  <si>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</si>
  <si>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</si>
  <si>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</si>
  <si>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</si>
  <si>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</si>
  <si>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</si>
  <si>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</si>
  <si>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</si>
  <si>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</si>
  <si>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</si>
  <si>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</si>
  <si>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</si>
  <si>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</si>
  <si>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</si>
  <si>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</si>
  <si>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</si>
  <si>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</si>
  <si>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</si>
  <si>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</si>
  <si>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</si>
  <si>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</si>
  <si>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</si>
  <si>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</si>
  <si>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</si>
  <si>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</si>
  <si>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</si>
  <si>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</si>
  <si>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</si>
  <si>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</si>
  <si>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</si>
  <si>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</si>
  <si>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</si>
  <si>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</si>
  <si>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</si>
  <si>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</si>
  <si>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</si>
  <si>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</si>
  <si>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</si>
  <si>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</si>
  <si>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</si>
  <si>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</si>
  <si>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</si>
  <si>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</si>
  <si>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</si>
  <si>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</si>
  <si>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</si>
  <si>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</si>
  <si>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</si>
  <si>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</si>
  <si>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</si>
  <si>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</si>
  <si>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</si>
  <si>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</si>
  <si>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</si>
  <si>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</si>
  <si>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</si>
  <si>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</si>
  <si>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</si>
  <si>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</si>
  <si>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</si>
  <si>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</si>
  <si>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</si>
  <si>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</si>
  <si>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</si>
  <si>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</si>
  <si>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</si>
  <si>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</si>
  <si>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</si>
  <si>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</si>
  <si>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</si>
  <si>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</si>
  <si>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</si>
  <si>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</si>
  <si>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</si>
  <si>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</si>
  <si>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</si>
  <si>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</si>
  <si>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</si>
  <si>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</si>
  <si>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</si>
  <si>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</si>
  <si>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</si>
  <si>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</si>
  <si>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</si>
  <si>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</si>
  <si>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</si>
  <si>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</si>
  <si>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</si>
  <si>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</si>
  <si>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</si>
  <si>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</si>
  <si>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</si>
  <si>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</si>
  <si>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</si>
  <si>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</si>
  <si>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</si>
  <si>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</si>
  <si>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</si>
  <si>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</si>
  <si>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</si>
  <si>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</si>
  <si>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</si>
  <si>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</si>
  <si>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</si>
  <si>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</si>
  <si>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</si>
  <si>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</si>
  <si>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</si>
  <si>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</si>
  <si>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</si>
  <si>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</si>
  <si>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</si>
  <si>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</si>
  <si>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</si>
  <si>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</si>
  <si>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</si>
  <si>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</si>
  <si>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</si>
  <si>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</si>
  <si>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</si>
  <si>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</si>
  <si>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</si>
  <si>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</si>
  <si>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</si>
  <si>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</si>
  <si>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</si>
  <si>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</si>
  <si>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</si>
  <si>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</si>
  <si>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</si>
  <si>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</si>
  <si>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</si>
  <si>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</si>
  <si>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</si>
  <si>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</si>
  <si>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</si>
  <si>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</si>
  <si>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</si>
  <si>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</si>
  <si>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</si>
  <si>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</si>
  <si>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</si>
  <si>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</si>
  <si>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</si>
  <si>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</si>
  <si>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</si>
  <si>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</si>
  <si>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</si>
  <si>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</si>
  <si>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</si>
  <si>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</si>
  <si>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</si>
  <si>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</si>
  <si>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</si>
  <si>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</si>
  <si>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</si>
  <si>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</si>
  <si>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</si>
  <si>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</si>
  <si>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</si>
  <si>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</si>
  <si>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</si>
  <si>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</si>
  <si>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</si>
  <si>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</si>
  <si>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</si>
  <si>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</si>
  <si>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</si>
  <si>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</si>
  <si>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</si>
  <si>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</si>
  <si>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</si>
  <si>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</si>
  <si>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</si>
  <si>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</si>
  <si>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</si>
  <si>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</si>
  <si>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</si>
  <si>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</si>
  <si>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</si>
  <si>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</si>
  <si>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</si>
  <si>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</si>
  <si>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</si>
  <si>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</si>
  <si>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</si>
  <si>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</si>
  <si>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</si>
  <si>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</si>
  <si>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</si>
  <si>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</si>
  <si>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</si>
  <si>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</si>
  <si>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</si>
  <si>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</si>
  <si>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</si>
  <si>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</si>
  <si>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</si>
  <si>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</si>
  <si>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</si>
  <si>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</si>
  <si>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</si>
  <si>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</si>
  <si>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</si>
  <si>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</si>
  <si>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</si>
  <si>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</si>
  <si>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</si>
  <si>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</si>
  <si>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</si>
  <si>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</si>
  <si>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</si>
  <si>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</si>
  <si>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</si>
  <si>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</si>
  <si>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</si>
  <si>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</si>
  <si>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</si>
  <si>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</si>
  <si>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</si>
  <si>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</si>
  <si>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</si>
  <si>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</si>
  <si>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</si>
  <si>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</si>
  <si>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</si>
  <si>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</si>
  <si>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</si>
  <si>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</si>
  <si>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</si>
  <si>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</si>
  <si>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</si>
  <si>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</si>
  <si>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</si>
  <si>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</si>
  <si>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</si>
  <si>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</si>
  <si>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</si>
  <si>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</si>
  <si>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</si>
  <si>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</si>
  <si>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</si>
  <si>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</si>
  <si>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</si>
  <si>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</si>
  <si>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</si>
  <si>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</si>
  <si>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</si>
  <si>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</si>
  <si>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</si>
  <si>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</si>
  <si>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</si>
  <si>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</si>
  <si>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</si>
  <si>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</si>
  <si>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</si>
  <si>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</si>
  <si>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</si>
  <si>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</si>
  <si>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</si>
  <si>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</si>
  <si>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</si>
  <si>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</si>
  <si>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</si>
  <si>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</si>
  <si>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</si>
  <si>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</si>
  <si>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</si>
  <si>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</si>
  <si>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</si>
  <si>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</si>
  <si>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</si>
  <si>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</si>
  <si>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</si>
  <si>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</si>
  <si>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</si>
  <si>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</si>
  <si>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</si>
  <si>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</si>
  <si>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</si>
  <si>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</si>
  <si>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</si>
  <si>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</si>
  <si>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</si>
  <si>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</si>
  <si>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</si>
  <si>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</si>
  <si>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</si>
  <si>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</si>
  <si>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</si>
  <si>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</si>
  <si>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</si>
  <si>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</si>
  <si>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</si>
  <si>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</si>
  <si>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</si>
  <si>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</si>
  <si>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</si>
  <si>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</si>
  <si>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</si>
  <si>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</si>
  <si>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</si>
  <si>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</si>
  <si>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</si>
  <si>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</si>
  <si>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</si>
  <si>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</si>
  <si>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</si>
  <si>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</si>
  <si>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</si>
  <si>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</si>
  <si>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</si>
  <si>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</si>
  <si>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</si>
  <si>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</si>
  <si>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</si>
  <si>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</si>
  <si>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</si>
  <si>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</si>
  <si>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</si>
  <si>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</si>
  <si>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</si>
  <si>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</si>
  <si>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</si>
  <si>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</si>
  <si>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</si>
  <si>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</si>
  <si>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</si>
  <si>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</si>
  <si>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</si>
  <si>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</si>
  <si>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</si>
  <si>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</si>
  <si>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</si>
  <si>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</si>
  <si>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</si>
  <si>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</si>
  <si>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</si>
  <si>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</si>
  <si>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</si>
  <si>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</si>
  <si>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</si>
  <si>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</si>
  <si>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</si>
  <si>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</si>
  <si>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</si>
  <si>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</si>
  <si>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</si>
  <si>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</si>
  <si>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</si>
  <si>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</si>
  <si>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</si>
  <si>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</si>
  <si>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</si>
  <si>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</si>
  <si>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</si>
  <si>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</si>
  <si>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</si>
  <si>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</si>
  <si>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</si>
  <si>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</si>
  <si>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</si>
  <si>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</si>
  <si>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</si>
  <si>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</si>
  <si>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</si>
  <si>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</si>
  <si>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</si>
  <si>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</si>
  <si>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</si>
  <si>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</si>
  <si>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</si>
  <si>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</si>
  <si>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</si>
  <si>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</si>
  <si>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</si>
  <si>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</si>
  <si>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</si>
  <si>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</si>
  <si>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</si>
  <si>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</si>
  <si>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</si>
  <si>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</si>
  <si>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</si>
  <si>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</si>
  <si>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</si>
  <si>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</si>
  <si>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</si>
  <si>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</si>
  <si>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</si>
  <si>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</si>
  <si>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</si>
  <si>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</si>
  <si>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</si>
  <si>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</si>
  <si>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</si>
  <si>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</si>
  <si>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</si>
  <si>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</si>
  <si>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</si>
  <si>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</si>
  <si>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</si>
  <si>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</si>
  <si>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</si>
  <si>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</si>
  <si>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</si>
  <si>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</si>
  <si>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</si>
  <si>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</si>
  <si>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</si>
  <si>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</si>
  <si>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</si>
  <si>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</si>
  <si>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</si>
  <si>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</si>
  <si>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</si>
  <si>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</si>
  <si>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</si>
  <si>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</si>
  <si>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</si>
  <si>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</si>
  <si>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</si>
  <si>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</si>
  <si>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</si>
  <si>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</si>
  <si>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</si>
  <si>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</si>
  <si>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</si>
  <si>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</si>
  <si>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</si>
  <si>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</si>
  <si>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</si>
  <si>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</si>
  <si>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</si>
  <si>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</si>
  <si>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</si>
  <si>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</si>
  <si>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</si>
  <si>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</si>
  <si>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</si>
  <si>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</si>
  <si>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</si>
  <si>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</si>
  <si>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</si>
  <si>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</si>
  <si>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</si>
  <si>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</si>
  <si>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</si>
  <si>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</si>
  <si>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</si>
  <si>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</si>
  <si>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</si>
  <si>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</si>
  <si>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</si>
  <si>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</si>
  <si>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</si>
  <si>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</si>
  <si>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</si>
  <si>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</si>
  <si>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</si>
  <si>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</si>
  <si>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</si>
  <si>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</si>
  <si>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</si>
  <si>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</si>
  <si>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</si>
  <si>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</si>
  <si>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</si>
  <si>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</si>
  <si>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</si>
  <si>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</si>
  <si>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</si>
  <si>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</si>
  <si>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</si>
  <si>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</si>
  <si>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</si>
  <si>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</si>
  <si>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</si>
  <si>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</si>
  <si>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</si>
  <si>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</si>
  <si>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</si>
  <si>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</si>
  <si>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</si>
  <si>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</si>
  <si>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</si>
  <si>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</si>
  <si>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</si>
  <si>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</si>
  <si>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</si>
  <si>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</si>
  <si>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</si>
  <si>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</si>
  <si>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</si>
  <si>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</si>
  <si>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</si>
  <si>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</si>
  <si>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</si>
  <si>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</si>
  <si>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</si>
  <si>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</si>
  <si>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</si>
  <si>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</si>
  <si>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</si>
  <si>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</si>
  <si>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</si>
  <si>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</si>
  <si>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</si>
  <si>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</si>
  <si>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</si>
  <si>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</si>
  <si>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</si>
  <si>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</si>
  <si>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</si>
  <si>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</si>
  <si>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</si>
  <si>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</si>
  <si>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</si>
  <si>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</si>
  <si>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</si>
  <si>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</si>
  <si>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</si>
  <si>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</si>
  <si>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</si>
  <si>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</si>
  <si>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</si>
  <si>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</si>
  <si>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</si>
  <si>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</si>
  <si>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</si>
  <si>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</si>
  <si>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</si>
  <si>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</si>
  <si>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</si>
  <si>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</si>
  <si>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</si>
  <si>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</si>
  <si>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</si>
  <si>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</si>
  <si>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</si>
  <si>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</si>
  <si>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</si>
  <si>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</si>
  <si>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</si>
  <si>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</si>
  <si>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</si>
  <si>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</si>
  <si>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</si>
  <si>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</si>
  <si>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</si>
  <si>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</si>
  <si>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</si>
  <si>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</si>
  <si>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</si>
  <si>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</si>
  <si>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</si>
  <si>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</si>
  <si>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</si>
  <si>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</si>
  <si>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</si>
  <si>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</si>
  <si>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</si>
  <si>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</si>
  <si>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</si>
  <si>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</si>
  <si>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</si>
  <si>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</si>
  <si>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</si>
  <si>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</si>
  <si>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</si>
  <si>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</si>
  <si>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</si>
  <si>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</si>
  <si>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</si>
  <si>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</si>
  <si>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</si>
  <si>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</si>
  <si>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</si>
  <si>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</si>
  <si>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</si>
  <si>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</si>
  <si>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</si>
  <si>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</si>
  <si>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</si>
  <si>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</si>
  <si>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</si>
  <si>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</si>
  <si>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</si>
  <si>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</si>
  <si>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</si>
  <si>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</si>
  <si>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</si>
  <si>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</si>
  <si>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</si>
  <si>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</si>
  <si>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</si>
  <si>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</si>
  <si>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</si>
  <si>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</si>
  <si>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</si>
  <si>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</si>
  <si>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</si>
  <si>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</si>
  <si>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</si>
  <si>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</si>
  <si>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</si>
  <si>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</si>
  <si>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</si>
  <si>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</si>
  <si>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</si>
  <si>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</si>
  <si>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</si>
  <si>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</si>
  <si>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</si>
  <si>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</si>
  <si>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</si>
  <si>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</si>
  <si>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</si>
  <si>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</si>
  <si>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</si>
  <si>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</si>
  <si>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</si>
  <si>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</si>
  <si>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</si>
  <si>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</si>
  <si>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</si>
  <si>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</si>
  <si>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</si>
  <si>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</si>
  <si>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</si>
  <si>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</si>
  <si>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</si>
  <si>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</si>
  <si>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</si>
  <si>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</si>
  <si>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</si>
  <si>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</si>
  <si>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</si>
  <si>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</si>
  <si>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</si>
  <si>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</si>
  <si>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</si>
  <si>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</si>
  <si>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</si>
  <si>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</si>
  <si>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</si>
  <si>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</si>
  <si>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</si>
  <si>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</si>
  <si>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</si>
  <si>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</si>
  <si>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</si>
  <si>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</si>
  <si>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</si>
  <si>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</si>
  <si>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</si>
  <si>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</si>
  <si>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</si>
  <si>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</si>
  <si>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</si>
  <si>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</si>
  <si>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</si>
  <si>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</si>
  <si>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</si>
  <si>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</si>
  <si>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</si>
  <si>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</si>
  <si>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</si>
  <si>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</si>
  <si>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</si>
  <si>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</si>
  <si>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</si>
  <si>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</si>
  <si>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</si>
  <si>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</si>
  <si>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</si>
  <si>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</si>
  <si>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</si>
  <si>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</si>
  <si>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</si>
  <si>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</si>
  <si>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</si>
  <si>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</si>
  <si>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</si>
  <si>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</si>
  <si>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</si>
  <si>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</si>
  <si>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</si>
  <si>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</si>
  <si>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</si>
  <si>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</si>
  <si>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</si>
  <si>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</si>
  <si>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</si>
  <si>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</si>
  <si>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</si>
  <si>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</si>
  <si>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</si>
  <si>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</si>
  <si>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</si>
  <si>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</si>
  <si>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</si>
  <si>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</si>
  <si>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</si>
  <si>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</si>
  <si>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</si>
  <si>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</si>
  <si>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</si>
  <si>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</si>
  <si>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</si>
  <si>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</si>
  <si>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</si>
  <si>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</si>
  <si>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</si>
  <si>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</si>
  <si>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</si>
  <si>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</si>
  <si>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</si>
  <si>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</si>
  <si>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</si>
  <si>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</si>
  <si>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</si>
  <si>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</si>
  <si>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</si>
  <si>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</si>
  <si>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</si>
  <si>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</si>
  <si>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</si>
  <si>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</si>
  <si>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</si>
  <si>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</si>
  <si>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</si>
  <si>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</si>
  <si>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</si>
  <si>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</si>
  <si>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</si>
  <si>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</si>
  <si>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</si>
  <si>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</si>
  <si>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</si>
  <si>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</si>
  <si>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</si>
  <si>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</si>
  <si>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</si>
  <si>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</si>
  <si>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</si>
  <si>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</si>
  <si>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</si>
  <si>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</si>
  <si>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</si>
  <si>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</si>
  <si>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</si>
  <si>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</si>
  <si>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</si>
  <si>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</si>
  <si>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</si>
  <si>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</si>
  <si>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</si>
  <si>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</si>
  <si>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</si>
  <si>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</si>
  <si>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</si>
  <si>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</si>
  <si>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</si>
  <si>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</si>
  <si>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</si>
  <si>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</si>
  <si>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</si>
  <si>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</si>
  <si>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</si>
  <si>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</si>
  <si>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</si>
  <si>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</si>
  <si>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</si>
  <si>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</si>
  <si>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</si>
  <si>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</si>
  <si>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</si>
  <si>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</si>
  <si>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</si>
  <si>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</si>
  <si>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</si>
  <si>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</si>
  <si>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</si>
  <si>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</si>
  <si>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</si>
  <si>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</si>
  <si>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</si>
  <si>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</si>
  <si>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</si>
  <si>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</si>
  <si>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</si>
  <si>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</si>
  <si>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</si>
  <si>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</si>
  <si>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</si>
  <si>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</si>
  <si>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</si>
  <si>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</si>
  <si>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</si>
  <si>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</si>
  <si>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</si>
  <si>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</si>
  <si>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</si>
  <si>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</si>
  <si>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</si>
  <si>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</si>
  <si>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</si>
  <si>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</si>
  <si>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</si>
  <si>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</si>
  <si>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</si>
  <si>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</si>
  <si>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</si>
  <si>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</si>
  <si>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</si>
  <si>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</si>
  <si>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</si>
  <si>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</si>
  <si>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</si>
  <si>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</si>
  <si>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</si>
  <si>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</si>
  <si>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</si>
  <si>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</si>
  <si>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</si>
  <si>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</si>
  <si>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</si>
  <si>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</si>
  <si>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</si>
  <si>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</si>
  <si>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</si>
  <si>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</si>
  <si>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</si>
  <si>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</si>
  <si>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</si>
  <si>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</si>
  <si>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</si>
  <si>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</si>
  <si>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</si>
  <si>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</si>
  <si>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</si>
  <si>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</si>
  <si>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</si>
  <si>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</si>
  <si>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</si>
  <si>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</si>
  <si>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</si>
  <si>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</si>
  <si>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</si>
  <si>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</si>
  <si>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</si>
  <si>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</si>
  <si>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</si>
  <si>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</si>
  <si>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</si>
  <si>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</si>
  <si>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</si>
  <si>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</si>
  <si>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</si>
  <si>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</si>
  <si>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</si>
  <si>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</si>
  <si>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</si>
  <si>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</si>
  <si>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</si>
  <si>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</si>
  <si>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</si>
  <si>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</si>
  <si>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</si>
  <si>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</si>
  <si>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</si>
  <si>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</si>
  <si>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</si>
  <si>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</si>
  <si>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</si>
  <si>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</si>
  <si>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</si>
  <si>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</si>
  <si>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</si>
  <si>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</si>
  <si>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</si>
  <si>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</si>
  <si>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</si>
  <si>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</si>
  <si>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</si>
  <si>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</si>
  <si>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</si>
  <si>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</si>
  <si>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</si>
  <si>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</si>
  <si>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</si>
  <si>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</si>
  <si>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</si>
  <si>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</si>
  <si>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</si>
  <si>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</si>
  <si>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</si>
  <si>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</si>
  <si>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</si>
  <si>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</si>
  <si>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</si>
  <si>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</si>
  <si>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</si>
  <si>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</si>
  <si>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</si>
  <si>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</si>
  <si>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</si>
  <si>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</si>
  <si>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</si>
  <si>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</si>
  <si>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</si>
  <si>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</si>
  <si>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</si>
  <si>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</si>
  <si>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</si>
  <si>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</si>
  <si>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</si>
  <si>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</si>
  <si>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</si>
  <si>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</si>
  <si>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</si>
  <si>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</si>
  <si>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</si>
  <si>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</si>
  <si>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</si>
  <si>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</si>
  <si>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</si>
  <si>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</si>
  <si>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</si>
  <si>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</si>
  <si>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</si>
  <si>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</si>
  <si>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</si>
  <si>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</si>
  <si>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</si>
  <si>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</si>
  <si>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</si>
  <si>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</si>
  <si>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</si>
  <si>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</si>
  <si>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</si>
  <si>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</si>
  <si>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</si>
  <si>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</si>
  <si>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</si>
  <si>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</si>
  <si>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</si>
  <si>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</si>
  <si>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</si>
  <si>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</si>
  <si>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</si>
  <si>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</si>
  <si>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</si>
  <si>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</si>
  <si>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</si>
  <si>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</si>
  <si>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</si>
  <si>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</si>
  <si>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</si>
  <si>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</si>
  <si>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</si>
  <si>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</si>
  <si>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</si>
  <si>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</si>
  <si>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</si>
  <si>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</si>
  <si>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</si>
  <si>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</si>
  <si>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</si>
  <si>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</si>
  <si>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</si>
  <si>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</si>
  <si>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</si>
  <si>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</si>
  <si>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</si>
  <si>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</si>
  <si>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</si>
  <si>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</si>
  <si>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</si>
  <si>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</si>
  <si>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</si>
  <si>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</si>
  <si>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</si>
  <si>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</si>
  <si>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</si>
  <si>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</si>
  <si>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</si>
  <si>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</si>
  <si>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</si>
  <si>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</si>
  <si>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</si>
  <si>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</si>
  <si>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</si>
  <si>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</si>
  <si>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</si>
  <si>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</si>
  <si>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</si>
  <si>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</si>
  <si>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</si>
  <si>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</si>
  <si>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</si>
  <si>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</si>
  <si>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</si>
  <si>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</si>
  <si>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</si>
  <si>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</si>
  <si>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</si>
  <si>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</si>
  <si>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</si>
  <si>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</si>
  <si>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</si>
  <si>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</si>
  <si>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</si>
  <si>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</si>
  <si>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</si>
  <si>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</si>
  <si>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</si>
  <si>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</si>
  <si>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</si>
  <si>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</si>
  <si>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</si>
  <si>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</si>
  <si>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</si>
  <si>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</si>
  <si>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</si>
  <si>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</si>
  <si>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</si>
  <si>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</si>
  <si>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</si>
  <si>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</si>
  <si>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</si>
  <si>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</si>
  <si>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</si>
  <si>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</si>
  <si>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</si>
  <si>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</si>
  <si>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</si>
  <si>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</si>
  <si>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</si>
  <si>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</si>
  <si>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</si>
  <si>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</si>
  <si>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</si>
  <si>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</si>
  <si>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</si>
  <si>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</si>
  <si>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</si>
  <si>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</si>
  <si>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</si>
  <si>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</si>
  <si>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</si>
  <si>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</si>
  <si>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</si>
  <si>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</si>
  <si>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</si>
  <si>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</si>
  <si>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</si>
  <si>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</si>
  <si>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</si>
  <si>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</si>
  <si>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</si>
  <si>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</si>
  <si>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</si>
  <si>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</si>
  <si>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</si>
  <si>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</si>
  <si>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</si>
  <si>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</si>
  <si>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</si>
  <si>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</si>
  <si>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</si>
  <si>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</si>
  <si>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</si>
  <si>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</si>
  <si>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</si>
  <si>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</si>
  <si>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</si>
  <si>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</si>
  <si>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</si>
  <si>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</si>
  <si>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</si>
  <si>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</si>
  <si>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</si>
  <si>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</si>
  <si>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</si>
  <si>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</si>
  <si>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</si>
  <si>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</si>
  <si>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</si>
  <si>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</si>
  <si>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</si>
  <si>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</si>
  <si>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</si>
  <si>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</si>
  <si>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</si>
  <si>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</si>
  <si>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</si>
  <si>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</si>
  <si>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</si>
  <si>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</si>
  <si>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</si>
  <si>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</si>
  <si>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</si>
  <si>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</si>
  <si>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</si>
  <si>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</si>
  <si>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</si>
  <si>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</si>
  <si>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</si>
  <si>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</si>
  <si>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</si>
  <si>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</si>
  <si>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</si>
  <si>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</si>
  <si>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</si>
  <si>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</si>
  <si>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</si>
  <si>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</si>
  <si>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</si>
  <si>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</si>
  <si>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</si>
  <si>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</si>
  <si>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</si>
  <si>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</si>
  <si>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</si>
  <si>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</si>
  <si>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</si>
  <si>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</si>
  <si>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</si>
  <si>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</si>
  <si>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</si>
  <si>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</si>
  <si>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</si>
  <si>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</si>
  <si>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</si>
  <si>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</si>
  <si>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</si>
  <si>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</si>
  <si>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</si>
  <si>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</si>
  <si>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</si>
  <si>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</si>
  <si>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</si>
  <si>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</si>
  <si>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</si>
  <si>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</si>
  <si>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</si>
  <si>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</si>
  <si>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</si>
  <si>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</si>
  <si>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</si>
  <si>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</si>
  <si>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</si>
  <si>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</si>
  <si>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</si>
  <si>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</si>
  <si>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</si>
  <si>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</si>
  <si>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</si>
  <si>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</si>
  <si>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</si>
  <si>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</si>
  <si>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</si>
  <si>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</si>
  <si>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</si>
  <si>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</si>
  <si>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</si>
  <si>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</si>
  <si>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</si>
  <si>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</si>
  <si>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</si>
  <si>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</si>
  <si>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</si>
  <si>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</si>
  <si>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</si>
  <si>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</si>
  <si>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</si>
  <si>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</si>
  <si>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</si>
  <si>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</si>
  <si>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</si>
  <si>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</si>
  <si>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</si>
  <si>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</si>
  <si>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</si>
  <si>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</si>
  <si>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</si>
  <si>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</si>
  <si>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</si>
  <si>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</si>
  <si>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</si>
  <si>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</si>
  <si>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</si>
  <si>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</si>
  <si>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</si>
  <si>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</si>
  <si>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</si>
  <si>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</si>
  <si>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</si>
  <si>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</si>
  <si>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</si>
  <si>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</si>
  <si>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</si>
  <si>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</si>
  <si>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</si>
  <si>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</si>
  <si>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</si>
  <si>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</si>
  <si>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</si>
  <si>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</si>
  <si>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</si>
  <si>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</si>
  <si>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</si>
  <si>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</si>
  <si>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</si>
  <si>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</si>
  <si>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</si>
  <si>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</si>
  <si>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</si>
  <si>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</si>
  <si>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</si>
  <si>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</si>
  <si>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</si>
  <si>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</si>
  <si>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</si>
  <si>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</si>
  <si>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</si>
  <si>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</si>
  <si>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</si>
  <si>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</si>
  <si>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</si>
  <si>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</si>
  <si>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</si>
  <si>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</si>
  <si>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</si>
  <si>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</si>
  <si>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</si>
  <si>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</si>
  <si>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</si>
  <si>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</si>
  <si>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</si>
  <si>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</si>
  <si>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</si>
  <si>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</si>
  <si>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</si>
  <si>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</si>
  <si>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</si>
  <si>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</si>
  <si>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</si>
  <si>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</si>
  <si>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</si>
  <si>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</si>
  <si>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</si>
  <si>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</si>
  <si>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</si>
  <si>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</si>
  <si>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</si>
  <si>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</si>
  <si>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</si>
  <si>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</si>
  <si>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</si>
  <si>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</si>
  <si>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</si>
  <si>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</si>
  <si>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</si>
  <si>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</si>
  <si>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</si>
  <si>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</si>
  <si>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</si>
  <si>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</si>
  <si>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</si>
  <si>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</si>
  <si>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</si>
  <si>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</si>
  <si>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</si>
  <si>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</si>
  <si>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</si>
  <si>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</si>
  <si>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</si>
  <si>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</si>
  <si>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</si>
  <si>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</si>
  <si>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</si>
  <si>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</si>
  <si>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</si>
  <si>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</si>
  <si>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</si>
  <si>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</si>
  <si>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</si>
  <si>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</si>
  <si>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</si>
  <si>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</si>
  <si>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</si>
  <si>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</si>
  <si>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</si>
  <si>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</si>
  <si>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</si>
  <si>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</si>
  <si>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</si>
  <si>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</si>
  <si>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</si>
  <si>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</si>
  <si>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</si>
  <si>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</si>
  <si>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</si>
  <si>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</si>
  <si>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</si>
  <si>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</si>
  <si>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</si>
  <si>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</si>
  <si>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</si>
  <si>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</si>
  <si>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</si>
  <si>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</si>
  <si>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</si>
  <si>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</si>
  <si>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</si>
  <si>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</si>
  <si>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</si>
  <si>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</si>
  <si>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</si>
  <si>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</si>
  <si>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</si>
  <si>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</si>
  <si>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</si>
  <si>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</si>
  <si>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</si>
  <si>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</si>
  <si>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</si>
  <si>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</si>
  <si>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</si>
  <si>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</si>
  <si>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</si>
  <si>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</si>
  <si>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</si>
  <si>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</si>
  <si>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</si>
  <si>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</si>
  <si>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</si>
  <si>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</si>
  <si>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</si>
  <si>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</si>
  <si>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</si>
  <si>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</si>
  <si>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</si>
  <si>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</si>
  <si>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</si>
  <si>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</si>
  <si>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</si>
  <si>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</si>
  <si>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</si>
  <si>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</si>
  <si>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</si>
  <si>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</si>
  <si>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</si>
  <si>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</si>
  <si>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</si>
  <si>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</si>
  <si>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</si>
  <si>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</si>
  <si>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</si>
  <si>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</si>
  <si>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</si>
  <si>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</si>
  <si>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</si>
  <si>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</si>
  <si>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</si>
  <si>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</si>
  <si>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</si>
  <si>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</si>
  <si>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</si>
  <si>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</si>
  <si>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</si>
  <si>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</si>
  <si>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</si>
  <si>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</si>
  <si>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</si>
  <si>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</si>
  <si>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</si>
  <si>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</si>
  <si>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</si>
  <si>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</si>
  <si>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</si>
  <si>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</si>
  <si>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</si>
  <si>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</si>
  <si>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</si>
  <si>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</si>
  <si>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</si>
  <si>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</si>
  <si>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</si>
  <si>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</si>
  <si>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</si>
  <si>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</si>
  <si>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</si>
  <si>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</si>
  <si>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</si>
  <si>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</si>
  <si>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</si>
  <si>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</si>
  <si>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</si>
  <si>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</si>
  <si>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</si>
  <si>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</si>
  <si>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</si>
  <si>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</si>
  <si>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</si>
  <si>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</si>
  <si>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</si>
  <si>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</si>
  <si>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</si>
  <si>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</si>
  <si>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</si>
  <si>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</si>
  <si>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</si>
  <si>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</si>
  <si>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</si>
  <si>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</si>
  <si>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</si>
  <si>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</si>
  <si>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</si>
  <si>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</si>
  <si>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</si>
  <si>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</si>
  <si>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</si>
  <si>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</si>
  <si>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</si>
  <si>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</si>
  <si>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</si>
  <si>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</si>
  <si>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</si>
  <si>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</si>
  <si>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</si>
  <si>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</si>
  <si>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</si>
  <si>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</si>
  <si>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</si>
  <si>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</si>
  <si>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</si>
  <si>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</si>
  <si>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</si>
  <si>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</si>
  <si>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</si>
  <si>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</si>
  <si>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</si>
  <si>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</si>
  <si>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</si>
  <si>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</si>
  <si>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</si>
  <si>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</si>
  <si>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</si>
  <si>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</si>
  <si>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</si>
  <si>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</si>
  <si>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</si>
  <si>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</si>
  <si>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</si>
  <si>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</si>
  <si>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</si>
  <si>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</si>
  <si>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</si>
  <si>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</si>
  <si>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</si>
  <si>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</si>
  <si>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</si>
  <si>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</si>
  <si>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</si>
  <si>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</si>
  <si>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</si>
  <si>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</si>
  <si>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</si>
  <si>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</si>
  <si>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</si>
  <si>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</si>
  <si>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</si>
  <si>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</si>
  <si>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</si>
  <si>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</si>
  <si>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</si>
  <si>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</si>
  <si>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</si>
  <si>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</si>
  <si>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</si>
  <si>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</si>
  <si>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</si>
  <si>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</si>
  <si>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</si>
  <si>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</si>
  <si>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</si>
  <si>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</si>
  <si>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</si>
  <si>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</si>
  <si>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</si>
  <si>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</si>
  <si>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</si>
  <si>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</si>
  <si>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</si>
  <si>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</si>
  <si>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</si>
  <si>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</si>
  <si>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</si>
  <si>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</si>
  <si>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</si>
  <si>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</si>
  <si>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</si>
  <si>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</si>
  <si>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</si>
  <si>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</si>
  <si>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</si>
  <si>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</si>
  <si>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</si>
  <si>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</si>
  <si>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</si>
  <si>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</si>
  <si>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</si>
  <si>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</si>
  <si>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</si>
  <si>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</si>
  <si>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</si>
  <si>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</si>
  <si>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</si>
  <si>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</si>
  <si>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</si>
  <si>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</si>
  <si>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</si>
  <si>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</si>
  <si>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</si>
  <si>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</si>
  <si>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</si>
  <si>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</si>
  <si>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</si>
  <si>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</si>
  <si>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</si>
  <si>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</si>
  <si>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</si>
  <si>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</si>
  <si>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</si>
  <si>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</si>
  <si>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</si>
  <si>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</si>
  <si>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</si>
  <si>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</si>
  <si>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</si>
  <si>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</si>
  <si>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</si>
  <si>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</si>
  <si>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</si>
  <si>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</si>
  <si>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</si>
  <si>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</si>
  <si>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</si>
  <si>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</si>
  <si>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</si>
  <si>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</si>
  <si>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</si>
  <si>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</si>
  <si>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</si>
  <si>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</si>
  <si>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</si>
  <si>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</si>
  <si>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</si>
  <si>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</si>
  <si>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</si>
  <si>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</si>
  <si>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</si>
  <si>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</si>
  <si>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</si>
  <si>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</si>
  <si>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</si>
  <si>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</si>
  <si>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</si>
  <si>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</si>
  <si>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</si>
  <si>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</si>
  <si>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</si>
  <si>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</si>
  <si>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</si>
  <si>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</si>
  <si>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</si>
  <si>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</si>
  <si>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</si>
  <si>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</si>
  <si>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</si>
  <si>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</si>
  <si>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</si>
  <si>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</si>
  <si>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</si>
  <si>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</si>
  <si>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</si>
  <si>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</si>
  <si>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</si>
  <si>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</si>
  <si>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</si>
  <si>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</si>
  <si>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</si>
  <si>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</si>
  <si>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</si>
  <si>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</si>
  <si>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</si>
  <si>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</si>
  <si>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</si>
  <si>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</si>
  <si>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</si>
  <si>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</si>
  <si>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</si>
  <si>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</si>
  <si>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</si>
  <si>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</si>
  <si>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</si>
  <si>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</si>
  <si>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</si>
  <si>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</si>
  <si>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</si>
  <si>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</si>
  <si>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</si>
  <si>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</si>
  <si>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</si>
  <si>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</si>
  <si>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</si>
  <si>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</si>
  <si>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</si>
  <si>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</si>
  <si>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</si>
  <si>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</si>
  <si>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</si>
  <si>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</si>
  <si>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</si>
  <si>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</si>
  <si>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</si>
  <si>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</si>
  <si>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</si>
  <si>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</si>
  <si>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</si>
  <si>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</si>
  <si>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</si>
  <si>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</si>
  <si>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</si>
  <si>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</si>
  <si>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</si>
  <si>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</si>
  <si>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</si>
  <si>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</si>
  <si>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</si>
  <si>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</si>
  <si>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</si>
  <si>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</si>
  <si>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</si>
  <si>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</si>
  <si>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</si>
  <si>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</si>
  <si>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</si>
  <si>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</si>
  <si>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</si>
  <si>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</si>
  <si>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</si>
  <si>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</si>
  <si>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</si>
  <si>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</si>
  <si>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</si>
  <si>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</si>
  <si>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</si>
  <si>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</si>
  <si>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</si>
  <si>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</si>
  <si>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</si>
  <si>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</si>
  <si>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</si>
  <si>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</si>
  <si>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</si>
  <si>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</si>
  <si>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</si>
  <si>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</si>
  <si>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</si>
  <si>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</si>
  <si>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</si>
  <si>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</si>
  <si>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</si>
  <si>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</si>
  <si>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</si>
  <si>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</si>
  <si>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</si>
  <si>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</si>
  <si>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</si>
  <si>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</si>
  <si>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</si>
  <si>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</si>
  <si>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</si>
  <si>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</si>
  <si>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</si>
  <si>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</si>
  <si>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</si>
  <si>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</si>
  <si>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</si>
  <si>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</si>
  <si>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</si>
  <si>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</si>
  <si>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</si>
  <si>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</si>
  <si>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</si>
  <si>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</si>
  <si>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</si>
  <si>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</si>
  <si>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</si>
  <si>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</si>
  <si>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</si>
  <si>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</si>
  <si>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</si>
  <si>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</si>
  <si>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</si>
  <si>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</si>
  <si>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</si>
  <si>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</si>
  <si>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</si>
  <si>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</si>
  <si>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</si>
  <si>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</si>
  <si>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</si>
  <si>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</si>
  <si>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</si>
  <si>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</si>
  <si>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</si>
  <si>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</si>
  <si>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</si>
  <si>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</si>
  <si>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</si>
  <si>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</si>
  <si>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</si>
  <si>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</si>
  <si>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</si>
  <si>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</si>
  <si>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</si>
  <si>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</si>
  <si>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</si>
  <si>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</si>
  <si>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</si>
  <si>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</si>
  <si>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</si>
  <si>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</si>
  <si>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</si>
  <si>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</si>
  <si>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</si>
  <si>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</si>
  <si>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</si>
  <si>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</si>
  <si>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</si>
  <si>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</si>
  <si>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</si>
  <si>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</si>
  <si>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</si>
  <si>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</si>
  <si>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</si>
  <si>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</si>
  <si>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</si>
  <si>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</si>
  <si>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</si>
  <si>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</si>
  <si>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</si>
  <si>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</si>
  <si>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</si>
  <si>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</si>
  <si>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</si>
  <si>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</si>
  <si>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</si>
  <si>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</si>
  <si>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</si>
  <si>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</si>
  <si>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</si>
  <si>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</si>
  <si>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</si>
  <si>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</si>
  <si>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</si>
  <si>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</si>
  <si>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</si>
  <si>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</si>
  <si>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</si>
  <si>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</si>
  <si>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</si>
  <si>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</si>
  <si>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</si>
  <si>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</si>
  <si>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</si>
  <si>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</si>
  <si>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</si>
  <si>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</si>
  <si>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</si>
  <si>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</si>
  <si>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</si>
  <si>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</si>
  <si>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</si>
  <si>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</si>
  <si>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</si>
  <si>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</si>
  <si>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</si>
  <si>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</si>
  <si>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</si>
  <si>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</si>
  <si>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</si>
  <si>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</si>
  <si>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</si>
  <si>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</si>
  <si>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</si>
  <si>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</si>
  <si>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</si>
  <si>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</si>
  <si>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</si>
  <si>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</si>
  <si>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</si>
  <si>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</si>
  <si>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</si>
  <si>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</si>
  <si>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</si>
  <si>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</si>
  <si>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</si>
  <si>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</si>
  <si>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</si>
  <si>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</si>
  <si>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</si>
  <si>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</si>
  <si>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</si>
  <si>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</si>
  <si>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</si>
  <si>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</si>
  <si>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</si>
  <si>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</si>
  <si>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</si>
  <si>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</si>
  <si>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</si>
  <si>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</si>
  <si>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</si>
  <si>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</si>
  <si>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</si>
  <si>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</si>
  <si>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</si>
  <si>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</si>
  <si>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</si>
  <si>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</si>
  <si>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</si>
  <si>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</si>
  <si>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</si>
  <si>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</si>
  <si>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</si>
  <si>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</si>
  <si>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</si>
  <si>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</si>
  <si>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</si>
  <si>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</si>
  <si>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</si>
  <si>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</si>
  <si>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</si>
  <si>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</si>
  <si>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</si>
  <si>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</si>
  <si>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</si>
  <si>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</si>
  <si>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</si>
  <si>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</si>
  <si>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</si>
  <si>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</si>
  <si>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</si>
  <si>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</si>
  <si>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</si>
  <si>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</si>
  <si>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</si>
  <si>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</si>
  <si>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</si>
  <si>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</si>
  <si>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</si>
  <si>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</si>
  <si>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</si>
  <si>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</si>
  <si>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</si>
  <si>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</si>
  <si>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</si>
  <si>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</si>
  <si>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</si>
  <si>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</si>
  <si>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</si>
  <si>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</si>
  <si>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</si>
  <si>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</si>
  <si>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</si>
  <si>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</si>
  <si>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</si>
  <si>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</si>
  <si>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</si>
  <si>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</si>
  <si>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</si>
  <si>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</si>
  <si>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</si>
  <si>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</si>
  <si>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</si>
  <si>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</si>
  <si>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</si>
  <si>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</si>
  <si>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</si>
  <si>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</si>
  <si>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</si>
  <si>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</si>
  <si>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</si>
  <si>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</si>
  <si>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</si>
  <si>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</si>
  <si>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</si>
  <si>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</si>
  <si>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</si>
  <si>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</si>
  <si>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</si>
  <si>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</si>
  <si>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</si>
  <si>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</si>
  <si>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</si>
  <si>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</si>
  <si>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</si>
  <si>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</si>
  <si>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</si>
  <si>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</si>
  <si>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</si>
  <si>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</si>
  <si>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</si>
  <si>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</si>
  <si>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</si>
  <si>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</si>
  <si>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</si>
  <si>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</si>
  <si>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</si>
  <si>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</si>
  <si>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</si>
  <si>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</si>
  <si>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</si>
  <si>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</si>
  <si>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</si>
  <si>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</si>
  <si>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</si>
  <si>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</si>
  <si>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</si>
  <si>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</si>
  <si>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</si>
  <si>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</si>
  <si>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</si>
  <si>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</si>
  <si>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</si>
  <si>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</si>
  <si>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</si>
  <si>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</si>
  <si>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</si>
  <si>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</si>
  <si>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</si>
  <si>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</si>
  <si>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</si>
  <si>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</si>
  <si>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</si>
  <si>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</si>
  <si>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</si>
  <si>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</si>
  <si>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</si>
  <si>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</si>
  <si>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</si>
  <si>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</si>
  <si>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</si>
  <si>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</si>
  <si>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</si>
  <si>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</si>
  <si>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</si>
  <si>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</si>
  <si>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</si>
  <si>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</si>
  <si>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</si>
  <si>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</si>
  <si>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</si>
  <si>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</si>
  <si>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</si>
  <si>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</si>
  <si>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</si>
  <si>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</si>
  <si>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</si>
  <si>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</si>
  <si>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</si>
  <si>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</si>
  <si>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</si>
  <si>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</si>
  <si>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</si>
  <si>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</si>
  <si>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</si>
  <si>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</si>
  <si>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</si>
  <si>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</si>
  <si>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</si>
  <si>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</si>
  <si>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</si>
  <si>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</si>
  <si>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</si>
  <si>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</si>
  <si>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</si>
  <si>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</si>
  <si>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</si>
  <si>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</si>
  <si>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</si>
  <si>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</si>
  <si>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</si>
  <si>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</si>
  <si>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</si>
  <si>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</si>
  <si>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</si>
  <si>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</si>
  <si>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</si>
  <si>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</si>
  <si>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</si>
  <si>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</si>
  <si>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</si>
  <si>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</si>
  <si>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</si>
  <si>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</si>
  <si>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</si>
  <si>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</si>
  <si>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</si>
  <si>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</si>
  <si>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</si>
  <si>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</si>
  <si>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</si>
  <si>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</si>
  <si>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</si>
  <si>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</si>
  <si>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</si>
  <si>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</si>
  <si>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</si>
  <si>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</si>
  <si>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</si>
  <si>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</si>
  <si>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</si>
  <si>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</si>
  <si>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</si>
  <si>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</si>
  <si>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</si>
  <si>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</si>
  <si>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</si>
  <si>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</si>
  <si>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</si>
  <si>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</si>
  <si>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</si>
  <si>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</si>
  <si>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</si>
  <si>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</si>
  <si>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</si>
  <si>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</si>
  <si>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</si>
  <si>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</si>
  <si>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</si>
  <si>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</si>
  <si>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</si>
  <si>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</si>
  <si>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</si>
  <si>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</si>
  <si>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</si>
  <si>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</si>
  <si>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</si>
  <si>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</si>
  <si>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</si>
  <si>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</si>
  <si>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</si>
  <si>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</si>
  <si>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</si>
  <si>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</si>
  <si>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</si>
  <si>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</si>
  <si>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</si>
  <si>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</si>
  <si>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</si>
  <si>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</si>
  <si>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</si>
  <si>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</si>
  <si>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</si>
  <si>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</si>
  <si>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</si>
  <si>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</si>
  <si>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</si>
  <si>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</si>
  <si>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</si>
  <si>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</si>
  <si>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</si>
  <si>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</si>
  <si>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</si>
  <si>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</si>
  <si>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</si>
  <si>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</si>
  <si>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</si>
  <si>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</si>
  <si>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</si>
  <si>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</si>
  <si>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</si>
  <si>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</si>
  <si>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</si>
  <si>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</si>
  <si>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</si>
  <si>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</si>
  <si>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</si>
  <si>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</si>
  <si>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</si>
  <si>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</si>
  <si>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</si>
  <si>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</si>
  <si>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</si>
  <si>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</si>
  <si>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</si>
  <si>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</si>
  <si>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</si>
  <si>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</si>
  <si>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</si>
  <si>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</si>
  <si>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</si>
  <si>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</si>
  <si>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</si>
  <si>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</si>
  <si>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</si>
  <si>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</si>
  <si>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</si>
  <si>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</si>
  <si>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</si>
  <si>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</si>
  <si>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</si>
  <si>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</si>
  <si>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</si>
  <si>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</si>
  <si>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</si>
  <si>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</si>
  <si>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</si>
  <si>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</si>
  <si>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</si>
  <si>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</si>
  <si>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</si>
  <si>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</si>
  <si>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</si>
  <si>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</si>
  <si>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</si>
  <si>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</si>
  <si>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</si>
  <si>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</si>
  <si>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</si>
  <si>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</si>
  <si>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</si>
  <si>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</si>
  <si>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</si>
  <si>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</si>
  <si>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</si>
  <si>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</si>
  <si>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</si>
  <si>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</si>
  <si>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</si>
  <si>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</si>
  <si>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</si>
  <si>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</si>
  <si>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</si>
  <si>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</si>
  <si>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</si>
  <si>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</si>
  <si>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</si>
  <si>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</si>
  <si>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</si>
  <si>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</si>
  <si>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</si>
  <si>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</si>
  <si>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</si>
  <si>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</si>
  <si>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</si>
  <si>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</si>
  <si>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</si>
  <si>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</si>
  <si>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</si>
  <si>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</si>
  <si>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</si>
  <si>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</si>
  <si>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</si>
  <si>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</si>
  <si>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</si>
  <si>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</si>
  <si>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</si>
  <si>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</si>
  <si>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</si>
  <si>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</si>
  <si>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</si>
  <si>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</si>
  <si>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</si>
  <si>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</si>
  <si>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</si>
  <si>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</si>
  <si>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</si>
  <si>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</si>
  <si>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</si>
  <si>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</si>
  <si>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</si>
  <si>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</si>
  <si>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</si>
  <si>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</si>
  <si>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</si>
  <si>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</si>
  <si>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</si>
  <si>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</si>
  <si>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</si>
  <si>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</si>
  <si>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</si>
  <si>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</si>
  <si>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</si>
  <si>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</si>
  <si>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</si>
  <si>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</si>
  <si>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</si>
  <si>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</si>
  <si>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</si>
  <si>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</si>
  <si>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</si>
  <si>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</si>
  <si>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</si>
  <si>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</si>
  <si>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</si>
  <si>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</si>
  <si>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</si>
  <si>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</si>
  <si>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</si>
  <si>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</si>
  <si>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</si>
  <si>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</si>
  <si>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</si>
  <si>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</si>
  <si>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</si>
  <si>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</si>
  <si>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</si>
  <si>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</si>
  <si>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</si>
  <si>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</si>
  <si>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</si>
  <si>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</si>
  <si>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</si>
  <si>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</si>
  <si>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</si>
  <si>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</si>
  <si>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</si>
  <si>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</si>
  <si>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</si>
  <si>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</si>
  <si>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</si>
  <si>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</si>
  <si>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</si>
  <si>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</si>
  <si>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</si>
  <si>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</si>
  <si>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</si>
  <si>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</si>
  <si>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</si>
  <si>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</si>
  <si>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</si>
  <si>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</si>
  <si>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</si>
  <si>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</si>
  <si>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</si>
  <si>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</si>
  <si>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</si>
  <si>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</si>
  <si>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</si>
  <si>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</si>
  <si>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</si>
  <si>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</si>
  <si>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</si>
  <si>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</si>
  <si>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</si>
  <si>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</si>
  <si>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</si>
  <si>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</si>
  <si>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</si>
  <si>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</si>
  <si>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</si>
  <si>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</si>
  <si>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</si>
  <si>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</si>
  <si>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</si>
  <si>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</si>
  <si>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</si>
  <si>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</si>
  <si>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</si>
  <si>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</si>
  <si>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</si>
  <si>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</si>
  <si>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</si>
  <si>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</si>
  <si>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</si>
  <si>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</si>
  <si>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</si>
  <si>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</si>
  <si>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</si>
  <si>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</si>
  <si>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</si>
  <si>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</si>
  <si>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</si>
  <si>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</si>
  <si>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</si>
  <si>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</si>
  <si>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</si>
  <si>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</si>
  <si>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</si>
  <si>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</si>
  <si>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</si>
  <si>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</si>
  <si>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</si>
  <si>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</si>
  <si>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</si>
  <si>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</si>
  <si>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</si>
  <si>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</si>
  <si>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</si>
  <si>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</si>
  <si>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</si>
  <si>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</si>
  <si>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</si>
  <si>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</si>
  <si>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</si>
  <si>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</si>
  <si>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</si>
  <si>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</si>
  <si>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</si>
  <si>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</si>
  <si>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</si>
  <si>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</si>
  <si>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</si>
  <si>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</si>
  <si>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</si>
  <si>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</si>
  <si>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</si>
  <si>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</si>
  <si>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</si>
  <si>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</si>
  <si>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</si>
  <si>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</si>
  <si>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</si>
  <si>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</si>
  <si>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</si>
  <si>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</si>
  <si>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</si>
  <si>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</si>
  <si>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</si>
  <si>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</si>
  <si>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</si>
  <si>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</si>
  <si>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</si>
  <si>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</si>
  <si>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</si>
  <si>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</si>
  <si>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</si>
  <si>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</si>
  <si>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</si>
  <si>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</si>
  <si>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</si>
  <si>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</si>
  <si>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</si>
  <si>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</si>
  <si>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</si>
  <si>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</si>
  <si>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</si>
  <si>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</si>
  <si>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</si>
  <si>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</si>
  <si>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</si>
  <si>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</si>
  <si>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</si>
  <si>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</si>
  <si>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</si>
  <si>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</si>
  <si>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</si>
  <si>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</si>
  <si>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</si>
  <si>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</si>
  <si>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</si>
  <si>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</si>
  <si>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</si>
  <si>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</si>
  <si>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</si>
  <si>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</si>
  <si>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</si>
  <si>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</si>
  <si>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</si>
  <si>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</si>
  <si>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</si>
  <si>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</si>
  <si>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</si>
  <si>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</si>
  <si>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</si>
  <si>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</si>
  <si>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</si>
  <si>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</si>
  <si>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</si>
  <si>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</si>
  <si>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</si>
  <si>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</si>
  <si>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</si>
  <si>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</si>
  <si>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</si>
  <si>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</si>
  <si>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</si>
  <si>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</si>
  <si>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</si>
  <si>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</si>
  <si>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</si>
  <si>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</si>
  <si>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</si>
  <si>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</si>
  <si>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</si>
  <si>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</si>
  <si>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</si>
  <si>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</si>
  <si>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</si>
  <si>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</si>
  <si>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</si>
  <si>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</si>
  <si>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</si>
  <si>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</si>
  <si>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</si>
  <si>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</si>
  <si>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</si>
  <si>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</si>
  <si>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</si>
  <si>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</si>
  <si>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</si>
  <si>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</si>
  <si>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</si>
  <si>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</si>
  <si>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</si>
  <si>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</si>
  <si>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</si>
  <si>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</si>
  <si>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</si>
  <si>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</si>
  <si>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</si>
  <si>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</si>
  <si>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</si>
  <si>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</si>
  <si>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</si>
  <si>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</si>
  <si>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</si>
  <si>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</si>
  <si>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</si>
  <si>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</si>
  <si>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</si>
  <si>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</si>
  <si>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</si>
  <si>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</si>
  <si>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</si>
  <si>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</si>
  <si>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</si>
  <si>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</si>
  <si>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</si>
  <si>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</si>
  <si>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</si>
  <si>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</si>
  <si>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</si>
  <si>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</si>
  <si>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</si>
  <si>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</si>
  <si>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</si>
  <si>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</si>
  <si>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</si>
  <si>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</si>
  <si>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</si>
  <si>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</si>
  <si>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</si>
  <si>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</si>
  <si>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</si>
  <si>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</si>
  <si>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</si>
  <si>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</si>
  <si>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</si>
  <si>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</si>
  <si>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</si>
  <si>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</si>
  <si>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</si>
  <si>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</si>
  <si>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</si>
  <si>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</si>
  <si>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</si>
  <si>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</si>
  <si>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</si>
  <si>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</si>
  <si>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</si>
  <si>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</si>
  <si>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</si>
  <si>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</si>
  <si>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</si>
  <si>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</si>
  <si>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</si>
  <si>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</si>
  <si>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</si>
  <si>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</si>
  <si>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</si>
  <si>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</si>
  <si>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</si>
  <si>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</si>
  <si>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</si>
  <si>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</si>
  <si>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</si>
  <si>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</si>
  <si>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</si>
  <si>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</si>
  <si>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</si>
  <si>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</si>
  <si>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</si>
  <si>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</si>
  <si>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</si>
  <si>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</si>
  <si>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</si>
  <si>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</si>
  <si>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</si>
  <si>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</si>
  <si>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</si>
  <si>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</si>
  <si>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</si>
  <si>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</si>
  <si>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</si>
  <si>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</si>
  <si>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</si>
  <si>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</si>
  <si>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</si>
  <si>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</si>
  <si>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</si>
  <si>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</si>
  <si>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</si>
  <si>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</si>
  <si>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</si>
  <si>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</si>
  <si>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</si>
  <si>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</si>
  <si>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</si>
  <si>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</si>
  <si>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</si>
  <si>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</si>
  <si>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</si>
  <si>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</si>
  <si>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</si>
  <si>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</si>
  <si>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</si>
  <si>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</si>
  <si>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</si>
  <si>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</si>
  <si>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</si>
  <si>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</si>
  <si>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</si>
  <si>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</si>
  <si>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</si>
  <si>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</si>
  <si>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</si>
  <si>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</si>
  <si>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</si>
  <si>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</si>
  <si>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</si>
  <si>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</si>
  <si>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</si>
  <si>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</si>
  <si>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</si>
  <si>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</si>
  <si>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</si>
  <si>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</si>
  <si>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</si>
  <si>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</si>
  <si>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</si>
  <si>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</si>
  <si>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</si>
  <si>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</si>
  <si>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</si>
  <si>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</si>
  <si>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</si>
  <si>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</si>
  <si>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</si>
  <si>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</si>
  <si>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</si>
  <si>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</si>
  <si>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</si>
  <si>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</si>
  <si>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</si>
  <si>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</si>
  <si>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</si>
  <si>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</si>
  <si>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</si>
  <si>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</si>
  <si>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</si>
  <si>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</si>
  <si>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</si>
  <si>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</si>
  <si>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</si>
  <si>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</si>
  <si>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</si>
  <si>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</si>
  <si>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</si>
  <si>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</si>
  <si>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</si>
  <si>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</si>
  <si>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</si>
  <si>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</si>
  <si>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</si>
  <si>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</si>
  <si>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</si>
  <si>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</si>
  <si>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</si>
  <si>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</si>
  <si>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</si>
  <si>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</si>
  <si>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</si>
  <si>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</si>
  <si>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</si>
  <si>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</si>
  <si>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</si>
  <si>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</si>
  <si>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</si>
  <si>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</si>
  <si>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</si>
  <si>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</si>
  <si>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</si>
  <si>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</si>
  <si>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</si>
  <si>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</si>
  <si>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</si>
  <si>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</si>
  <si>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</si>
  <si>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</si>
  <si>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</si>
  <si>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</si>
  <si>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</si>
  <si>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</si>
  <si>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</si>
  <si>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</si>
  <si>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</si>
  <si>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</si>
  <si>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</si>
  <si>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</si>
  <si>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</si>
  <si>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</si>
  <si>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</si>
  <si>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</si>
  <si>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</si>
  <si>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</si>
  <si>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</si>
  <si>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</si>
  <si>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</si>
  <si>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</si>
  <si>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</si>
  <si>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</si>
  <si>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</si>
  <si>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</si>
  <si>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</si>
  <si>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</si>
  <si>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</si>
  <si>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</si>
  <si>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</si>
  <si>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</si>
  <si>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</si>
  <si>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</si>
  <si>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</si>
  <si>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</si>
  <si>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</si>
  <si>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</si>
  <si>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</si>
  <si>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</si>
  <si>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</si>
  <si>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</si>
  <si>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</si>
  <si>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</si>
  <si>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</si>
  <si>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</si>
  <si>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</si>
  <si>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</si>
  <si>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</si>
  <si>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</si>
  <si>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</si>
  <si>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</si>
  <si>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</si>
  <si>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</si>
  <si>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</si>
  <si>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</si>
  <si>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</si>
  <si>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</si>
  <si>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</si>
  <si>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</si>
  <si>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</si>
  <si>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</si>
  <si>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</si>
  <si>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</si>
  <si>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</si>
  <si>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</si>
  <si>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</si>
  <si>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</si>
  <si>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</si>
  <si>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</si>
  <si>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</si>
  <si>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</si>
  <si>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</si>
  <si>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</si>
  <si>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</si>
  <si>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</si>
  <si>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</si>
  <si>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</si>
  <si>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</si>
  <si>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</si>
  <si>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</si>
  <si>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</si>
  <si>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</si>
  <si>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</si>
  <si>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</si>
  <si>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</si>
  <si>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</si>
  <si>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</si>
  <si>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</si>
  <si>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</si>
  <si>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</si>
  <si>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</si>
  <si>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</si>
  <si>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</si>
  <si>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</si>
  <si>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</si>
  <si>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</si>
  <si>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</si>
  <si>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</si>
  <si>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</si>
  <si>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</si>
  <si>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</si>
  <si>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</si>
  <si>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</si>
  <si>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</si>
  <si>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</si>
  <si>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</si>
  <si>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</si>
  <si>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</si>
  <si>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</si>
  <si>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</si>
  <si>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</si>
  <si>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</si>
  <si>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</si>
  <si>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</si>
  <si>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</si>
  <si>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</si>
  <si>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</si>
  <si>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</si>
  <si>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</si>
  <si>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</si>
  <si>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</si>
  <si>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</si>
  <si>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</si>
  <si>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</si>
  <si>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</si>
  <si>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</si>
  <si>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</si>
  <si>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</si>
  <si>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</si>
  <si>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</si>
  <si>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</si>
  <si>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</si>
  <si>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</si>
  <si>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</si>
  <si>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</si>
  <si>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</si>
  <si>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</si>
  <si>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</si>
  <si>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</si>
  <si>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</si>
  <si>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</si>
  <si>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</si>
  <si>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</si>
  <si>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</si>
  <si>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</si>
  <si>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</si>
  <si>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</si>
  <si>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</si>
  <si>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</si>
  <si>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</si>
  <si>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</si>
  <si>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</si>
  <si>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</si>
  <si>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</si>
  <si>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</si>
  <si>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</si>
  <si>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</si>
  <si>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</si>
  <si>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</si>
  <si>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</si>
  <si>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</si>
  <si>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</si>
  <si>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</si>
  <si>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</si>
  <si>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</si>
  <si>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</si>
  <si>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</si>
  <si>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</si>
  <si>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</si>
  <si>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</si>
  <si>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</si>
  <si>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</si>
  <si>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</si>
  <si>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</si>
  <si>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</si>
  <si>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</si>
  <si>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</si>
  <si>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</si>
  <si>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</si>
  <si>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</si>
  <si>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</si>
  <si>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</si>
  <si>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</si>
  <si>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</si>
  <si>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</si>
  <si>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</si>
  <si>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</si>
  <si>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</si>
  <si>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</si>
  <si>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</si>
  <si>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</si>
  <si>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</si>
  <si>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</si>
  <si>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</si>
  <si>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</si>
  <si>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</si>
  <si>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</si>
  <si>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</si>
  <si>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</si>
  <si>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</si>
  <si>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</si>
  <si>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</si>
  <si>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</si>
  <si>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</si>
  <si>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</si>
  <si>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</si>
  <si>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</si>
  <si>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</si>
  <si>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</si>
  <si>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</si>
  <si>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</si>
  <si>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</si>
  <si>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</si>
  <si>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</si>
  <si>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</si>
  <si>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</si>
  <si>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</si>
  <si>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</si>
  <si>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</si>
  <si>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</si>
  <si>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</si>
  <si>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</si>
  <si>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</si>
  <si>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</si>
  <si>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</si>
  <si>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</si>
  <si>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</si>
  <si>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</si>
  <si>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</si>
  <si>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</si>
  <si>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</si>
  <si>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</si>
  <si>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</si>
  <si>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</si>
  <si>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</si>
  <si>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</si>
  <si>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</si>
  <si>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</si>
  <si>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</si>
  <si>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</si>
  <si>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</si>
  <si>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</si>
  <si>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</si>
  <si>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</si>
  <si>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</si>
  <si>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</si>
  <si>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</si>
  <si>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</si>
  <si>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</si>
  <si>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</si>
  <si>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</si>
  <si>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</si>
  <si>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</si>
  <si>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</si>
  <si>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</si>
  <si>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</si>
  <si>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</si>
  <si>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</si>
  <si>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</si>
  <si>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</si>
  <si>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</si>
  <si>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</si>
  <si>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</si>
  <si>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</si>
  <si>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</si>
  <si>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</si>
  <si>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</si>
  <si>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</si>
  <si>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</si>
  <si>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</si>
  <si>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</si>
  <si>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</si>
  <si>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</si>
  <si>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</si>
  <si>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</si>
  <si>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</si>
  <si>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</si>
  <si>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</si>
  <si>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</si>
  <si>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</si>
  <si>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</si>
  <si>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</si>
  <si>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</si>
  <si>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</si>
  <si>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</si>
  <si>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</si>
  <si>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</si>
  <si>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</si>
  <si>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</si>
  <si>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</si>
  <si>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</si>
  <si>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</si>
  <si>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</si>
  <si>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</si>
  <si>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</si>
  <si>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</si>
  <si>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</si>
  <si>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</si>
  <si>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</si>
  <si>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</si>
  <si>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</si>
  <si>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</si>
  <si>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</si>
  <si>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</si>
  <si>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</si>
  <si>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</si>
  <si>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</si>
  <si>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</si>
  <si>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</si>
  <si>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</si>
  <si>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</si>
  <si>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</si>
  <si>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</si>
  <si>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</si>
  <si>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</si>
  <si>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</si>
  <si>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</si>
  <si>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</si>
  <si>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</si>
  <si>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</si>
  <si>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</si>
  <si>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</si>
  <si>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</si>
  <si>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</si>
  <si>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</si>
  <si>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</si>
  <si>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</si>
  <si>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</si>
  <si>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</si>
  <si>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</si>
  <si>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</si>
  <si>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</si>
  <si>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</si>
  <si>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</si>
  <si>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</si>
  <si>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</si>
  <si>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</si>
  <si>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</si>
  <si>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</si>
  <si>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</si>
  <si>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</si>
  <si>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</si>
  <si>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</si>
  <si>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</si>
  <si>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</si>
  <si>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</si>
  <si>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</si>
  <si>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</si>
  <si>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</si>
  <si>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</si>
  <si>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</si>
  <si>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</si>
  <si>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</si>
  <si>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</si>
  <si>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</si>
  <si>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</si>
  <si>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</si>
  <si>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</si>
  <si>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</si>
  <si>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</si>
  <si>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</si>
  <si>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</si>
  <si>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</si>
  <si>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</si>
  <si>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</si>
  <si>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</si>
  <si>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</si>
  <si>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</si>
  <si>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</si>
  <si>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</si>
  <si>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</si>
  <si>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</si>
  <si>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</si>
  <si>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</si>
  <si>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</si>
  <si>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</si>
  <si>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</si>
  <si>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</si>
  <si>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</si>
  <si>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</si>
  <si>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</si>
  <si>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</si>
  <si>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</si>
  <si>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</si>
  <si>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</si>
  <si>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</si>
  <si>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</si>
  <si>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</si>
  <si>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</si>
  <si>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</si>
  <si>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</si>
  <si>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</si>
  <si>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</si>
  <si>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</si>
  <si>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</si>
  <si>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</si>
  <si>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</si>
  <si>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</si>
  <si>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</si>
  <si>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</si>
  <si>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</si>
  <si>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</si>
  <si>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</si>
  <si>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</si>
  <si>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</si>
  <si>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</si>
  <si>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</si>
  <si>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</si>
  <si>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</si>
  <si>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</si>
  <si>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</si>
  <si>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</si>
  <si>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</si>
  <si>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</si>
  <si>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</si>
  <si>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</si>
  <si>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</si>
  <si>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</si>
  <si>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</si>
  <si>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</si>
  <si>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</si>
  <si>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</si>
  <si>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</si>
  <si>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</si>
  <si>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</si>
  <si>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</si>
  <si>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</si>
  <si>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</si>
  <si>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</si>
  <si>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</si>
  <si>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</si>
  <si>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</si>
  <si>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</si>
  <si>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</si>
  <si>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</si>
  <si>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</si>
  <si>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</si>
  <si>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</si>
  <si>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</si>
  <si>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</si>
  <si>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</si>
  <si>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</si>
  <si>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</si>
  <si>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</si>
  <si>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</si>
  <si>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</si>
  <si>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</si>
  <si>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</si>
  <si>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</si>
  <si>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</si>
  <si>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</si>
  <si>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</si>
  <si>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</si>
  <si>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</si>
  <si>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</si>
  <si>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</si>
  <si>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</si>
  <si>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</si>
  <si>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</si>
  <si>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</si>
  <si>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</si>
  <si>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</si>
  <si>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</si>
  <si>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</si>
  <si>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</si>
  <si>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</si>
  <si>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</si>
  <si>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</si>
  <si>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</si>
  <si>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</si>
  <si>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</si>
  <si>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</si>
  <si>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</si>
  <si>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</si>
  <si>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</si>
  <si>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</si>
  <si>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</si>
  <si>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</si>
  <si>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</si>
  <si>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</si>
  <si>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</si>
  <si>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</si>
  <si>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</si>
  <si>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</si>
  <si>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</si>
  <si>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</si>
  <si>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</si>
  <si>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</si>
  <si>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</si>
  <si>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</si>
  <si>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</si>
  <si>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</si>
  <si>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</si>
  <si>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</si>
  <si>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</si>
  <si>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</si>
  <si>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</si>
  <si>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</si>
  <si>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</si>
  <si>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</si>
  <si>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</si>
  <si>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</si>
  <si>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</si>
  <si>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</si>
  <si>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</si>
  <si>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</si>
  <si>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</si>
  <si>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</si>
  <si>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</si>
  <si>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</si>
  <si>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</si>
  <si>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</si>
  <si>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</si>
  <si>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</si>
  <si>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</si>
  <si>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</si>
  <si>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</si>
  <si>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</si>
  <si>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</si>
  <si>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</si>
  <si>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</si>
  <si>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</si>
  <si>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</si>
  <si>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</si>
  <si>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</si>
  <si>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</si>
  <si>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</si>
  <si>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</si>
  <si>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</si>
  <si>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</si>
  <si>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</si>
  <si>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</si>
  <si>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</si>
  <si>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</si>
  <si>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</si>
  <si>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</si>
  <si>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</si>
  <si>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</si>
  <si>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</si>
  <si>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</si>
  <si>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</si>
  <si>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</si>
  <si>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</si>
  <si>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</si>
  <si>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</si>
  <si>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</si>
  <si>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</si>
  <si>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</si>
  <si>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</si>
  <si>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</si>
  <si>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</si>
  <si>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</si>
  <si>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</si>
  <si>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</si>
  <si>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</si>
  <si>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</si>
  <si>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</si>
  <si>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</si>
  <si>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</si>
  <si>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</si>
  <si>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</si>
  <si>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</si>
  <si>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</si>
  <si>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</si>
  <si>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</si>
  <si>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</si>
  <si>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</si>
  <si>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</si>
  <si>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</si>
  <si>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</si>
  <si>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</si>
  <si>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</si>
  <si>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</si>
  <si>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</si>
  <si>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</si>
  <si>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</si>
  <si>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</si>
  <si>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</si>
  <si>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</si>
  <si>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</si>
  <si>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</si>
  <si>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</si>
  <si>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</si>
  <si>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</si>
  <si>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</si>
  <si>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</si>
  <si>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</si>
  <si>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</si>
  <si>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</si>
  <si>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</si>
  <si>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</si>
  <si>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</si>
  <si>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</si>
  <si>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</si>
  <si>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</si>
  <si>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</si>
  <si>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</si>
  <si>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</si>
  <si>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</si>
  <si>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</si>
  <si>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</si>
  <si>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</si>
  <si>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</si>
  <si>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</si>
  <si>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</si>
  <si>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</si>
  <si>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</si>
  <si>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</si>
  <si>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</si>
  <si>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</si>
  <si>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</si>
  <si>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</si>
  <si>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</si>
  <si>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</si>
  <si>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</si>
  <si>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</si>
  <si>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</si>
  <si>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</si>
  <si>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</si>
  <si>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</si>
  <si>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</si>
  <si>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</si>
  <si>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</si>
  <si>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</si>
  <si>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</si>
  <si>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</si>
  <si>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</si>
  <si>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</si>
  <si>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</si>
  <si>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</si>
  <si>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</si>
  <si>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</si>
  <si>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</si>
  <si>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</si>
  <si>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</si>
  <si>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</si>
  <si>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</si>
  <si>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</si>
  <si>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</si>
  <si>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</si>
  <si>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</si>
  <si>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</si>
  <si>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</si>
  <si>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</si>
  <si>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</si>
  <si>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</si>
  <si>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</si>
  <si>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</si>
  <si>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</si>
  <si>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</si>
  <si>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</si>
  <si>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</si>
  <si>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</si>
  <si>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</si>
  <si>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</si>
  <si>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</si>
  <si>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</si>
  <si>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</si>
  <si>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</si>
  <si>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</si>
  <si>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</si>
  <si>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</si>
  <si>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</si>
  <si>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</si>
  <si>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</si>
  <si>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</si>
  <si>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</si>
  <si>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</si>
  <si>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</si>
  <si>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</si>
  <si>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</si>
  <si>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</si>
  <si>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</si>
  <si>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</si>
  <si>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</si>
  <si>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</si>
  <si>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</si>
  <si>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</si>
  <si>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</si>
  <si>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</si>
  <si>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</si>
  <si>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</si>
  <si>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</si>
  <si>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</si>
  <si>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</si>
  <si>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</si>
  <si>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</si>
  <si>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</si>
  <si>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</si>
  <si>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</si>
  <si>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</si>
  <si>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</si>
  <si>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</si>
  <si>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</si>
  <si>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</si>
  <si>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</si>
  <si>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</si>
  <si>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</si>
  <si>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</si>
  <si>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</si>
  <si>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</si>
  <si>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</si>
  <si>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</si>
  <si>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</si>
  <si>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</si>
  <si>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</si>
  <si>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</si>
  <si>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</si>
  <si>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</si>
  <si>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</si>
  <si>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</si>
  <si>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</si>
  <si>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</si>
  <si>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</si>
  <si>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</si>
  <si>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</si>
  <si>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</si>
  <si>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</si>
  <si>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</si>
  <si>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</si>
  <si>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</si>
  <si>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</si>
  <si>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</si>
  <si>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</si>
  <si>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</si>
  <si>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</si>
  <si>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</si>
  <si>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</si>
  <si>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</si>
  <si>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</si>
  <si>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</si>
  <si>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</si>
  <si>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</si>
  <si>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</si>
  <si>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</si>
  <si>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</si>
  <si>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</si>
  <si>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</si>
  <si>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</si>
  <si>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</si>
  <si>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</si>
  <si>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</si>
  <si>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</si>
  <si>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</si>
  <si>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</si>
  <si>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</si>
  <si>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</si>
  <si>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</si>
  <si>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</si>
  <si>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</si>
  <si>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</si>
  <si>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</si>
  <si>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</si>
  <si>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</si>
  <si>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</si>
  <si>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</si>
  <si>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</si>
  <si>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</si>
  <si>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</si>
  <si>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</si>
  <si>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</si>
  <si>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</si>
  <si>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</si>
  <si>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</si>
  <si>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</si>
  <si>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</si>
  <si>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</si>
  <si>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</si>
  <si>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</si>
  <si>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</si>
  <si>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</si>
  <si>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</si>
  <si>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</si>
  <si>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</si>
  <si>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</si>
  <si>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</si>
  <si>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</si>
  <si>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</si>
  <si>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</si>
  <si>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</si>
  <si>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</si>
  <si>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</si>
  <si>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</si>
  <si>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</si>
  <si>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</si>
  <si>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</si>
  <si>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</si>
  <si>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</si>
  <si>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</si>
  <si>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</si>
  <si>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</si>
  <si>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</si>
  <si>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</si>
  <si>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</si>
  <si>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</si>
  <si>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</si>
  <si>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</si>
  <si>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</si>
  <si>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</si>
  <si>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</si>
  <si>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</si>
  <si>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</si>
  <si>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</si>
  <si>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</si>
  <si>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</si>
  <si>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</si>
  <si>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</si>
  <si>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</si>
  <si>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</si>
  <si>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</si>
  <si>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</si>
  <si>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</si>
  <si>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</si>
  <si>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</si>
  <si>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</si>
  <si>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</si>
  <si>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</si>
  <si>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</si>
  <si>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</si>
  <si>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</si>
  <si>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</si>
  <si>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</si>
  <si>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</si>
  <si>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</si>
  <si>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</si>
  <si>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</si>
  <si>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</si>
  <si>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</si>
  <si>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</si>
  <si>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</si>
  <si>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</si>
  <si>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</si>
  <si>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</si>
  <si>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</si>
  <si>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</si>
  <si>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</si>
  <si>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</si>
  <si>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</si>
  <si>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</si>
  <si>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</si>
  <si>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</si>
  <si>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</si>
  <si>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</si>
  <si>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</si>
  <si>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</si>
  <si>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</si>
  <si>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</si>
  <si>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</si>
  <si>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</si>
  <si>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</si>
  <si>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</si>
  <si>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</si>
  <si>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</si>
  <si>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</si>
  <si>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</si>
  <si>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</si>
  <si>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</si>
  <si>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</si>
  <si>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</si>
  <si>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</si>
  <si>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</si>
  <si>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</si>
  <si>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</si>
  <si>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</si>
  <si>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</si>
  <si>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</si>
  <si>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</si>
  <si>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</si>
  <si>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</si>
  <si>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</si>
  <si>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</si>
  <si>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</si>
  <si>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</si>
  <si>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</si>
  <si>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</si>
  <si>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</si>
  <si>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</si>
  <si>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</si>
  <si>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</si>
  <si>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</si>
  <si>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</si>
  <si>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</si>
  <si>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</si>
  <si>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</si>
  <si>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</si>
  <si>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</si>
  <si>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</si>
  <si>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</si>
  <si>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</si>
  <si>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</si>
  <si>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</si>
  <si>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</si>
  <si>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</si>
  <si>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</si>
  <si>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</si>
  <si>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</si>
  <si>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</si>
  <si>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</si>
  <si>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</si>
  <si>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</si>
  <si>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</si>
  <si>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</si>
  <si>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</si>
  <si>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</si>
  <si>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</si>
  <si>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</si>
  <si>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</si>
  <si>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</si>
  <si>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</si>
  <si>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</si>
  <si>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</si>
  <si>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</si>
  <si>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</si>
  <si>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</si>
  <si>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</si>
  <si>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</si>
  <si>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</si>
  <si>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</si>
  <si>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</si>
  <si>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</si>
  <si>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</si>
  <si>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</si>
  <si>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</si>
  <si>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</si>
  <si>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</si>
  <si>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</si>
  <si>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</si>
  <si>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</si>
  <si>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</si>
  <si>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</si>
  <si>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</si>
  <si>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</si>
  <si>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</si>
  <si>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</si>
  <si>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</si>
  <si>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</si>
  <si>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</si>
  <si>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</si>
  <si>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</si>
  <si>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</si>
  <si>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</si>
  <si>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</si>
  <si>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</si>
  <si>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</si>
  <si>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</si>
  <si>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</si>
  <si>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</si>
  <si>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</si>
  <si>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</si>
  <si>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</si>
  <si>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</si>
  <si>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</si>
  <si>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</si>
  <si>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</si>
  <si>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</si>
  <si>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</si>
  <si>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</si>
  <si>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</si>
  <si>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</si>
  <si>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</si>
  <si>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</si>
  <si>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</si>
  <si>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</si>
  <si>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</si>
  <si>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</si>
  <si>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</si>
  <si>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</si>
  <si>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</si>
  <si>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</si>
  <si>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</si>
  <si>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</si>
  <si>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</si>
  <si>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</si>
  <si>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</si>
  <si>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</si>
  <si>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</si>
  <si>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</si>
  <si>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</si>
  <si>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</si>
  <si>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</si>
  <si>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</si>
  <si>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</si>
  <si>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</si>
  <si>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</si>
  <si>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</si>
  <si>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</si>
  <si>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</si>
  <si>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</si>
  <si>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</si>
  <si>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</si>
  <si>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</si>
  <si>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</si>
  <si>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</si>
  <si>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</si>
  <si>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</si>
  <si>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</si>
  <si>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</si>
  <si>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</si>
  <si>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</si>
  <si>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</si>
  <si>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</si>
  <si>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</si>
  <si>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</si>
  <si>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</si>
  <si>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</si>
  <si>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</si>
  <si>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</si>
  <si>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</si>
  <si>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</si>
  <si>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</si>
  <si>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</si>
  <si>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</si>
  <si>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</si>
  <si>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</si>
  <si>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</si>
  <si>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</si>
  <si>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</si>
  <si>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</si>
  <si>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</si>
  <si>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</si>
  <si>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</si>
  <si>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</si>
  <si>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</si>
  <si>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</si>
  <si>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</si>
  <si>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</si>
  <si>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</si>
  <si>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</si>
  <si>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</si>
  <si>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</si>
  <si>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</si>
  <si>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</si>
  <si>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</si>
  <si>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</si>
  <si>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</si>
  <si>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</si>
  <si>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</si>
  <si>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</si>
  <si>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</si>
  <si>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</si>
  <si>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</si>
  <si>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</si>
  <si>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</si>
  <si>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</si>
  <si>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</si>
  <si>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</si>
  <si>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</si>
  <si>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</si>
  <si>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</si>
  <si>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</si>
  <si>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</si>
  <si>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</si>
  <si>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</si>
  <si>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</si>
  <si>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</si>
  <si>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</si>
  <si>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</si>
  <si>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</si>
  <si>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</si>
  <si>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</si>
  <si>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</si>
  <si>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</si>
  <si>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</si>
  <si>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</si>
  <si>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</si>
  <si>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</si>
  <si>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</si>
  <si>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</si>
  <si>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</si>
  <si>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</si>
  <si>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</si>
  <si>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</si>
  <si>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</si>
  <si>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</si>
  <si>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</si>
  <si>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</si>
  <si>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</si>
  <si>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</si>
  <si>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</si>
  <si>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</si>
  <si>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</si>
  <si>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</si>
  <si>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</si>
  <si>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</si>
  <si>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</si>
  <si>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</si>
  <si>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</si>
  <si>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</si>
  <si>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</si>
  <si>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</si>
  <si>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</si>
  <si>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</si>
  <si>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</si>
  <si>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</si>
  <si>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</si>
  <si>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</si>
  <si>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</si>
  <si>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</si>
  <si>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</si>
  <si>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</si>
  <si>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</si>
  <si>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</si>
  <si>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</si>
  <si>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</si>
  <si>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</si>
  <si>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</si>
  <si>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</si>
  <si>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</si>
  <si>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</si>
  <si>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</si>
  <si>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</si>
  <si>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</si>
  <si>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</si>
  <si>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</si>
  <si>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</si>
  <si>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</si>
  <si>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</si>
  <si>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</si>
  <si>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</si>
  <si>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</si>
  <si>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</si>
  <si>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</si>
  <si>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</si>
  <si>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</si>
  <si>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</si>
  <si>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</si>
  <si>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</si>
  <si>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</si>
  <si>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</si>
  <si>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</si>
  <si>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</si>
  <si>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</si>
  <si>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</si>
  <si>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</si>
  <si>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</si>
  <si>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</si>
  <si>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</si>
  <si>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</si>
  <si>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</si>
  <si>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</si>
  <si>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</si>
  <si>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</si>
  <si>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</si>
  <si>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</si>
  <si>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</si>
  <si>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</si>
  <si>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</si>
  <si>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</si>
  <si>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</si>
  <si>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</si>
  <si>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</si>
  <si>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</si>
  <si>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</si>
  <si>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</si>
  <si>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</si>
  <si>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</si>
  <si>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</si>
  <si>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</si>
  <si>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</si>
  <si>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</si>
  <si>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</si>
  <si>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</si>
  <si>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</si>
  <si>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</si>
  <si>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</si>
  <si>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</si>
  <si>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</si>
  <si>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</si>
  <si>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</si>
  <si>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</si>
  <si>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</si>
  <si>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</si>
  <si>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</si>
  <si>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</si>
  <si>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</si>
  <si>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</si>
  <si>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</si>
  <si>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</si>
  <si>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</si>
  <si>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</si>
  <si>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</si>
  <si>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</si>
  <si>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</si>
  <si>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</si>
  <si>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</si>
  <si>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</si>
  <si>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</si>
  <si>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</si>
  <si>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</si>
  <si>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</si>
  <si>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</si>
  <si>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</si>
  <si>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</si>
  <si>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</si>
  <si>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</si>
  <si>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</si>
  <si>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</si>
  <si>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</si>
  <si>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</si>
  <si>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</si>
  <si>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</si>
  <si>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</si>
  <si>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</si>
  <si>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</si>
  <si>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</si>
  <si>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</si>
  <si>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</si>
  <si>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</si>
  <si>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</si>
  <si>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</si>
  <si>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</si>
  <si>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</si>
  <si>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</si>
  <si>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</si>
  <si>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</si>
  <si>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</si>
  <si>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</si>
  <si>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</si>
  <si>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</si>
  <si>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</si>
  <si>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</si>
  <si>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</si>
  <si>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</si>
  <si>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</si>
  <si>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</si>
  <si>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</si>
  <si>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</si>
  <si>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</si>
  <si>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</si>
  <si>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</si>
  <si>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</si>
  <si>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</si>
  <si>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</si>
  <si>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</si>
  <si>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</si>
  <si>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</si>
  <si>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</si>
  <si>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</si>
  <si>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</si>
  <si>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</si>
  <si>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</si>
  <si>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</si>
  <si>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</si>
  <si>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</si>
  <si>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</si>
  <si>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</si>
  <si>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</si>
  <si>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</si>
  <si>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</si>
  <si>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</si>
  <si>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</si>
  <si>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</si>
  <si>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</si>
  <si>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</si>
  <si>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</si>
  <si>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</si>
  <si>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</si>
  <si>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</si>
  <si>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</si>
  <si>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</si>
  <si>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</si>
  <si>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</si>
  <si>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</si>
  <si>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</si>
  <si>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</si>
  <si>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</si>
  <si>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</si>
  <si>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</si>
  <si>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</si>
  <si>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</si>
  <si>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</si>
  <si>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</si>
  <si>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</si>
  <si>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</si>
  <si>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</si>
  <si>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</si>
  <si>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</si>
  <si>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</si>
  <si>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</si>
  <si>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</si>
  <si>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</si>
  <si>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</si>
  <si>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</si>
  <si>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</si>
  <si>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</si>
  <si>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</si>
  <si>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</si>
  <si>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</si>
  <si>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</si>
  <si>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</si>
  <si>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</si>
  <si>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</si>
  <si>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</si>
  <si>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</si>
  <si>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</si>
  <si>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</si>
  <si>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</si>
  <si>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</si>
  <si>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</si>
  <si>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</si>
  <si>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</si>
  <si>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</si>
  <si>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</si>
  <si>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</si>
  <si>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</si>
  <si>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</si>
  <si>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</si>
  <si>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</si>
  <si>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</si>
  <si>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</si>
  <si>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</si>
  <si>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</si>
  <si>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</si>
  <si>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</si>
  <si>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</si>
  <si>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</si>
  <si>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</si>
  <si>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</si>
  <si>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</si>
  <si>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</si>
  <si>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</si>
  <si>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</si>
  <si>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</si>
  <si>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</si>
  <si>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</si>
  <si>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</si>
  <si>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</si>
  <si>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</si>
  <si>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</si>
  <si>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</si>
  <si>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</si>
  <si>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</si>
  <si>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</si>
  <si>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</si>
  <si>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</si>
  <si>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</si>
  <si>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</si>
  <si>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</si>
  <si>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</si>
  <si>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</si>
  <si>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</si>
  <si>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</si>
  <si>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</si>
  <si>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</si>
  <si>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</si>
  <si>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</si>
  <si>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</si>
  <si>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</si>
  <si>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</si>
  <si>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</si>
  <si>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</si>
  <si>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</si>
  <si>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</si>
  <si>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</si>
  <si>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</si>
  <si>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</si>
  <si>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</si>
  <si>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</si>
  <si>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</si>
  <si>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</si>
  <si>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</si>
  <si>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</si>
  <si>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</si>
  <si>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</si>
  <si>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</si>
  <si>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</si>
  <si>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</si>
  <si>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</si>
  <si>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</si>
  <si>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</si>
  <si>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</si>
  <si>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</si>
  <si>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</si>
  <si>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</si>
  <si>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</si>
  <si>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</si>
  <si>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</si>
  <si>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</si>
  <si>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</si>
  <si>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</si>
  <si>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</si>
  <si>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</si>
  <si>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</si>
  <si>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</si>
  <si>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</si>
  <si>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</si>
  <si>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</si>
  <si>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</si>
  <si>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</si>
  <si>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</si>
  <si>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</si>
  <si>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</si>
  <si>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</si>
  <si>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</si>
  <si>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</si>
  <si>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</si>
  <si>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</si>
  <si>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</si>
  <si>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</si>
  <si>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</si>
  <si>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</si>
  <si>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</si>
  <si>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</si>
  <si>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</si>
  <si>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</si>
  <si>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</si>
  <si>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</si>
  <si>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</si>
  <si>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</si>
  <si>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</si>
  <si>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</si>
  <si>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</si>
  <si>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</si>
  <si>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</si>
  <si>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</si>
  <si>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</si>
  <si>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</si>
  <si>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</si>
  <si>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</si>
  <si>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</si>
  <si>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</si>
  <si>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</si>
  <si>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</si>
  <si>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</si>
  <si>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</si>
  <si>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</si>
  <si>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</si>
  <si>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</si>
  <si>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</si>
  <si>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</si>
  <si>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</si>
  <si>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</si>
  <si>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</si>
  <si>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</si>
  <si>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</si>
  <si>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</si>
  <si>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</si>
  <si>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</si>
  <si>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</si>
  <si>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</si>
  <si>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</si>
  <si>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</si>
  <si>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</si>
  <si>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</si>
  <si>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</si>
  <si>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</si>
  <si>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</si>
  <si>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</si>
  <si>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</si>
  <si>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</si>
  <si>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</si>
  <si>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</si>
  <si>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</si>
  <si>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</si>
  <si>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</si>
  <si>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</si>
  <si>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</si>
  <si>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</si>
  <si>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</si>
  <si>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</si>
  <si>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</si>
  <si>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</si>
  <si>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</si>
  <si>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</si>
  <si>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</si>
  <si>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</si>
  <si>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</si>
  <si>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</si>
  <si>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</si>
  <si>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</si>
  <si>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</si>
  <si>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</si>
  <si>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</si>
  <si>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</si>
  <si>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</si>
  <si>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</si>
  <si>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</si>
  <si>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</si>
  <si>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</si>
  <si>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</si>
  <si>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</si>
  <si>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</si>
  <si>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</si>
  <si>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</si>
  <si>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</si>
  <si>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</si>
  <si>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</si>
  <si>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</si>
  <si>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</si>
  <si>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</si>
  <si>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</si>
  <si>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</si>
  <si>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</si>
  <si>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</si>
  <si>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</si>
  <si>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</si>
  <si>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</si>
  <si>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</si>
  <si>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</si>
  <si>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</si>
  <si>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</si>
  <si>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</si>
  <si>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</si>
  <si>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</si>
  <si>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</si>
  <si>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</si>
  <si>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</si>
  <si>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</si>
  <si>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</si>
  <si>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</si>
  <si>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</si>
  <si>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</si>
  <si>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</si>
  <si>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</si>
  <si>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</si>
  <si>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</si>
  <si>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</si>
  <si>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</si>
  <si>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</si>
  <si>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</si>
  <si>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</si>
  <si>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</si>
  <si>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</si>
  <si>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</si>
  <si>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</si>
  <si>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</si>
  <si>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</si>
  <si>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</si>
  <si>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</si>
  <si>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</si>
  <si>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</si>
  <si>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</si>
  <si>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</si>
  <si>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</si>
  <si>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</si>
  <si>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</si>
  <si>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</si>
  <si>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</si>
  <si>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</si>
  <si>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</si>
  <si>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</si>
  <si>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</si>
  <si>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</si>
  <si>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</si>
  <si>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</si>
  <si>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</si>
  <si>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</si>
  <si>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</si>
  <si>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</si>
  <si>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</si>
  <si>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</si>
  <si>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</si>
  <si>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</si>
  <si>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</si>
  <si>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</si>
  <si>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</si>
  <si>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</si>
  <si>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</si>
  <si>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</si>
  <si>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</si>
  <si>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</si>
  <si>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</si>
  <si>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</si>
  <si>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</si>
  <si>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</si>
  <si>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</si>
  <si>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</si>
  <si>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</si>
  <si>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</si>
  <si>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</si>
  <si>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</si>
  <si>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</si>
  <si>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</si>
  <si>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</si>
  <si>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</si>
  <si>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</si>
  <si>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</si>
  <si>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</si>
  <si>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</si>
  <si>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</si>
  <si>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</si>
  <si>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</si>
  <si>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</si>
  <si>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</si>
  <si>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</si>
  <si>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</si>
  <si>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</si>
  <si>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</si>
  <si>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</si>
  <si>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</si>
  <si>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</si>
  <si>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</si>
  <si>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</si>
  <si>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</si>
  <si>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</si>
  <si>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</si>
  <si>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</si>
  <si>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</si>
  <si>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</si>
  <si>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</si>
  <si>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</si>
  <si>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</si>
  <si>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</si>
  <si>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</si>
  <si>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</si>
  <si>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</si>
  <si>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</si>
  <si>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</si>
  <si>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</si>
  <si>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</si>
  <si>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</si>
  <si>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</si>
  <si>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</si>
  <si>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</si>
  <si>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</si>
  <si>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</si>
  <si>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</si>
  <si>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</si>
  <si>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</si>
  <si>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</si>
  <si>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</si>
  <si>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</si>
  <si>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</si>
  <si>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</si>
  <si>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</si>
  <si>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</si>
  <si>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</si>
  <si>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</si>
  <si>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</si>
  <si>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</si>
  <si>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</si>
  <si>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</si>
  <si>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</si>
  <si>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</si>
  <si>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</si>
  <si>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</si>
  <si>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</si>
  <si>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</si>
  <si>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</si>
  <si>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</si>
  <si>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</si>
  <si>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</si>
  <si>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</si>
  <si>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</si>
  <si>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</si>
  <si>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</si>
  <si>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</si>
  <si>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</si>
  <si>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</si>
  <si>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</si>
  <si>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</si>
  <si>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</si>
  <si>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</si>
  <si>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</si>
  <si>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</si>
  <si>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</si>
  <si>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</si>
  <si>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</si>
  <si>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</si>
  <si>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</si>
  <si>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</si>
  <si>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</si>
  <si>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</si>
  <si>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</si>
  <si>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</si>
  <si>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</si>
  <si>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</si>
  <si>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</si>
  <si>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</si>
  <si>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</si>
  <si>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</si>
  <si>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</si>
  <si>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</si>
  <si>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</si>
  <si>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</si>
  <si>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</si>
  <si>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</si>
  <si>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</si>
  <si>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</si>
  <si>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</si>
  <si>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</si>
  <si>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</si>
  <si>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</si>
  <si>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</si>
  <si>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</si>
  <si>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</si>
  <si>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</si>
  <si>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</si>
  <si>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</si>
  <si>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</si>
  <si>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</si>
  <si>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</si>
  <si>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</si>
  <si>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</si>
  <si>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</si>
  <si>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</si>
  <si>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</si>
  <si>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</si>
  <si>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</si>
  <si>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</si>
  <si>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</si>
  <si>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</si>
  <si>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</si>
  <si>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</si>
  <si>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</si>
  <si>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</si>
  <si>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</si>
  <si>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</si>
  <si>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</si>
  <si>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</si>
  <si>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</si>
  <si>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</si>
  <si>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</si>
  <si>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</si>
  <si>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</si>
  <si>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</si>
  <si>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</si>
  <si>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</si>
  <si>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</si>
  <si>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</si>
  <si>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</si>
  <si>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</si>
  <si>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</si>
  <si>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</si>
  <si>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</si>
  <si>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</si>
  <si>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</si>
  <si>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</si>
  <si>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</si>
  <si>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</si>
  <si>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</si>
  <si>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</si>
  <si>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</si>
  <si>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</si>
  <si>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</si>
  <si>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</si>
  <si>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</si>
  <si>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</si>
  <si>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</si>
  <si>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</si>
  <si>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</si>
  <si>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</si>
  <si>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</si>
  <si>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</si>
  <si>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</si>
  <si>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</si>
  <si>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</si>
  <si>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</si>
  <si>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</si>
  <si>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</si>
  <si>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</si>
  <si>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</si>
  <si>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</si>
  <si>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</si>
  <si>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</si>
  <si>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</si>
  <si>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</si>
  <si>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</si>
  <si>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</si>
  <si>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</si>
  <si>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</si>
  <si>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</si>
  <si>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</si>
  <si>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</si>
  <si>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</si>
  <si>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</si>
  <si>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</si>
  <si>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</si>
  <si>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</si>
  <si>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</si>
  <si>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</si>
  <si>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</si>
  <si>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</si>
  <si>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</si>
  <si>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</si>
  <si>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</si>
  <si>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</si>
  <si>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</si>
  <si>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</si>
  <si>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</si>
  <si>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</si>
  <si>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</si>
  <si>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</si>
  <si>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</si>
  <si>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</si>
  <si>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</si>
  <si>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</si>
  <si>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</si>
  <si>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</si>
  <si>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</si>
  <si>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</si>
  <si>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</si>
  <si>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</si>
  <si>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</si>
  <si>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</si>
  <si>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</si>
  <si>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</si>
  <si>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</si>
  <si>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</si>
  <si>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</si>
  <si>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</si>
  <si>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</si>
  <si>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</si>
  <si>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</si>
  <si>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</si>
  <si>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</si>
  <si>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</si>
  <si>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</si>
  <si>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</si>
  <si>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</si>
  <si>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</si>
  <si>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</si>
  <si>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</si>
  <si>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</si>
  <si>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</si>
  <si>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</si>
  <si>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</si>
  <si>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</si>
  <si>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</si>
  <si>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</si>
  <si>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</si>
  <si>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</si>
  <si>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</si>
  <si>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</si>
  <si>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</si>
  <si>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</si>
  <si>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</si>
  <si>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</si>
  <si>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</si>
  <si>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</si>
  <si>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</si>
  <si>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</si>
  <si>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</si>
  <si>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</si>
  <si>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</si>
  <si>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</si>
  <si>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</si>
  <si>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</si>
  <si>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</si>
  <si>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</si>
  <si>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</si>
  <si>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</si>
  <si>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</si>
  <si>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</si>
  <si>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</si>
  <si>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</si>
  <si>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500m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</si>
  <si>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</si>
  <si>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</si>
  <si>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</si>
  <si>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</si>
  <si>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</si>
  <si>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</si>
  <si>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</si>
  <si>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</si>
  <si>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</si>
  <si>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</si>
  <si>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</si>
  <si>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</si>
  <si>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</si>
  <si>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</si>
  <si>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</si>
  <si>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</si>
  <si>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</si>
  <si>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</si>
  <si>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</si>
  <si>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</si>
  <si>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</si>
  <si>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</si>
  <si>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</si>
  <si>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</si>
  <si>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</si>
  <si>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</si>
  <si>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</si>
  <si>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</si>
  <si>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</si>
  <si>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</si>
  <si>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</si>
  <si>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</si>
  <si>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</si>
  <si>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</si>
  <si>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</si>
  <si>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</si>
  <si>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</si>
  <si>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</si>
  <si>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</si>
  <si>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</si>
  <si>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</si>
  <si>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</si>
  <si>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</si>
  <si>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</si>
  <si>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</si>
  <si>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</si>
  <si>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</si>
  <si>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</si>
  <si>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</si>
  <si>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</si>
  <si>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</si>
  <si>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</si>
  <si>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</si>
  <si>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</si>
  <si>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</si>
  <si>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</si>
  <si>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</si>
  <si>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</si>
  <si>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</si>
  <si>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</si>
  <si>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</si>
  <si>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</si>
  <si>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</si>
  <si>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</si>
  <si>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</si>
  <si>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</si>
  <si>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</si>
  <si>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</si>
  <si>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</si>
  <si>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</si>
  <si>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</si>
  <si>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</si>
  <si>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</si>
  <si>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</si>
  <si>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</si>
  <si>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</si>
  <si>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</si>
  <si>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</si>
  <si>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</si>
  <si>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</si>
  <si>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</si>
  <si>
    <t>Earth Engine indicator translations reviewed (added April 2026)</t>
  </si>
  <si>
    <t>مؤشر اختلاف الغطاء النباتي المعياري (NDVI)</t>
  </si>
  <si>
    <t>مساحة خضراء عامة واسعة</t>
  </si>
  <si>
    <t>إمكانية الوصول إليها في نطاق 500 متر</t>
  </si>
  <si>
    <t>درجة حرارة سطح الأرض ({units})</t>
  </si>
  <si>
    <t>الغطاء النباتي</t>
  </si>
  <si>
    <t>التعرض للحرارة الحضرية</t>
  </si>
  <si>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</si>
  <si>
    <t>إمكانية الوصول إلى مساحات خضراء عامة واسعة</t>
  </si>
  <si>
    <t>{percent} of the population live within 500m of large public green space of at least 1 hectare in size</t>
  </si>
  <si>
    <t>تم تقييم أوجه عدم المساواة في قابلية التأثر بالحرارة كدالة للتعرض للحرارة، والحساسية، والقدرة على التكيف (Turner et al, 2025; https://dx.doi.org/10.2139/ssrn.5251739).</t>
  </si>
  <si>
    <t>قابلية التأثر بالحرارة</t>
  </si>
  <si>
    <t>يعيش {percent} من السكان في المناطق الأكثر عرضة للحرارة</t>
  </si>
  <si>
    <t>متوسط ​​درجة حرارة سطح الأرض خلال الثلث الأكثر حرارة من العام (من {start_date} إلى {end_date})</t>
  </si>
  <si>
    <t>{percent} من مساحة أراضي منطقة الدراسة تستوفي عتبة الغطاء النباتي لمتوسط ​​مؤشر الغطاء النباتي السنوي NDVI ≥ 0.2</t>
  </si>
  <si>
    <t>{percent} of study region land area meets the vegetation threshold of annual average NDVI ≥ 0.2</t>
  </si>
  <si>
    <t>يعيش {percent} من السكان على بُعد 500 متر من مساحة خضراء عامة كبيرة لا تقل مساحتها عن هكتار واحد.</t>
  </si>
  <si>
    <t>Índex de Vegetació de Diferència Normalitzada (NDVI)</t>
  </si>
  <si>
    <t>Gran espai verd públic</t>
  </si>
  <si>
    <t>Accés a menys de 500 m</t>
  </si>
  <si>
    <t>Cobertura vegetal</t>
  </si>
  <si>
    <t>Accés a grans espais verds públics</t>
  </si>
  <si>
    <t>{percent} de la població viu a menys de 500 m d'un gran espai verd públic d'almenys 1 hectàrea</t>
  </si>
  <si>
    <t>Exposició urbana a la calor</t>
  </si>
  <si>
    <t>Temperatura mitjana de la superfície terrestre durant el terç més calorós de l'any (de {start_date} a {end_date})</t>
  </si>
  <si>
    <t>Vulnerabilitat urbana a la calor</t>
  </si>
  <si>
    <t>Les desigualtats en la vulnerabilitat a la calor es van avaluar com a funció de l'exposició a la calor, la sensibilitat i la capacitat d'adaptació (Turner et al., 2025; https://dx.doi.org/10.2139/ssrn.5251739).</t>
  </si>
  <si>
    <t>Vulnerabilitat a la calor</t>
  </si>
  <si>
    <t>{percent} de la població viu a les zones més vulnerables a la calor</t>
  </si>
  <si>
    <t>Els grans espais verds públics poden proporcionar múltiples beneficis colaterals per a la salut i el medi ambient, mitigant la calor urbana, millorant la qualitat de l'aire i la biodiversitat, i promovent l'activitat física, les interaccions socials i el benestar mental.</t>
  </si>
  <si>
    <t>{percent} de la superfície terrestre de la regió d'estudi compleix el llindar de vegetació d'un NDVI mitjà anual ≥ 0,2</t>
  </si>
  <si>
    <t>Temperatura de la superfície terrestre ({units})</t>
  </si>
  <si>
    <t>归一化植被指数 (NDVI)</t>
  </si>
  <si>
    <t>大型公共绿地</t>
  </si>
  <si>
    <t>500 米范围内可达</t>
  </si>
  <si>
    <t>植被覆盖度</t>
  </si>
  <si>
    <t>大型公共绿地能够缓解城市热岛效应、改善空气质量和生物多样性，并促进身体活动、社交互动和心理健康，从而带来多重健康和环境效益。</t>
  </si>
  <si>
    <t>研究区域内 {percent} 的土地面积满足年平均 NDVI ≥ 0.2 的植被阈值</t>
  </si>
  <si>
    <t>大型公共绿地可达性</t>
  </si>
  <si>
    <t>{percent} 的人口居住在距离至少 1 公顷的大型公共绿地 500 米范围内</t>
  </si>
  <si>
    <t>城市热暴露</t>
  </si>
  <si>
    <t>一年中最热的三分之一时期（{start_date} 至 {end_date}）的平均地表温度</t>
  </si>
  <si>
    <t>城市热脆弱性</t>
  </si>
  <si>
    <t>热脆弱性的不平等程度根据热暴露、敏感性和适应能力进行评估（Turner 等，2025；https://dx.doi.org/10.2139/ssrn.5251739）。</t>
  </si>
  <si>
    <t>热脆弱性</t>
  </si>
  <si>
    <t>{percent} 的人口居住在最易受热影响的地区</t>
  </si>
  <si>
    <t>地表温度（{units}）</t>
  </si>
  <si>
    <t>歸一化植被指數 (NDVI)</t>
  </si>
  <si>
    <t>大型公共綠地</t>
  </si>
  <si>
    <t>500 公尺範圍內可達</t>
  </si>
  <si>
    <t>植被覆蓋度</t>
  </si>
  <si>
    <t>大型公共綠地能夠緩解城市熱島效應、改善空氣品質和生物多樣性，並促進身體活動、社交互動和心理健康，從而帶來多重健康和環境效益。</t>
  </si>
  <si>
    <t>研究區域內 {percent} 的土地面積滿足年平均 NDVI ≥ 0.2 的植被閾值</t>
  </si>
  <si>
    <t>大型公共綠地可及性</t>
  </si>
  <si>
    <t>{percent} 的人口居住在距離至少 1 公頃的大型公共綠地 500 公尺範圍內</t>
  </si>
  <si>
    <t>城市熱暴露</t>
  </si>
  <si>
    <t>一年中最熱的三分之一時期（{start_date} 至 {end_date}）的平均地表溫度</t>
  </si>
  <si>
    <t>城市熱脆弱性</t>
  </si>
  <si>
    <t>熱脆弱性的不平等程度是根據熱暴露、敏感性和適應能力進行評估（Turner 等，2025；https://dx.doi.org/10.2139/ssrn.5251739）。</t>
  </si>
  <si>
    <t>熱脆弱性</t>
  </si>
  <si>
    <t>{percent} 的人口居住在最容易受到熱影響的地區</t>
  </si>
  <si>
    <t>地表溫度（{units}）</t>
  </si>
  <si>
    <t>Indeks normalizirane razlike vegetacije (NDVI)</t>
  </si>
  <si>
    <t>Veliki javni zeleni prostor</t>
  </si>
  <si>
    <t>Pristup unutar 500 m</t>
  </si>
  <si>
    <t>Vegetacijski pokrov</t>
  </si>
  <si>
    <t>Veliki javni zeleni prostori mogu pružiti višestruke zdravstvene i ekološke koristi ublažavanjem urbane vrućine, poboljšanjem kvalitete zraka i bioraznolikosti te promicanjem tjelesne aktivnosti, društvenih interakcija i mentalnog blagostanja.</t>
  </si>
  <si>
    <t>{percent} površine proučavane regije zadovoljava vegetacijski prag prosječnog godišnjeg NDVI ≥ 0,2</t>
  </si>
  <si>
    <t>Pristup velikim javnim zelenim površinama</t>
  </si>
  <si>
    <t>{percent} stanovništva živi unutar 500 m od velikih javnih zelenih površina veličine najmanje 1 hektara</t>
  </si>
  <si>
    <t>Izloženost toplini u urbanim područjima</t>
  </si>
  <si>
    <t>Prosječna temperatura površine zemljišta za najtopliju trećinu godine (od {start_date} do {end_date})</t>
  </si>
  <si>
    <t>Ranjivost na toplinu u urbanim područjima</t>
  </si>
  <si>
    <t>Nejednakosti u ranjivosti na toplinu procijenjene su kao funkcija izloženosti toplini, osjetljivosti i adaptivnog kapaciteta (Turner i sur., 2025.; https://dx.doi.org/10.2139/ssrn.5251739).</t>
  </si>
  <si>
    <t>Ranjivost na toplinu</t>
  </si>
  <si>
    <t>{percent} stanovništva živi u područjima najosjetljivijim na toplinu</t>
  </si>
  <si>
    <t>Temperatura površine tla ({units})</t>
  </si>
  <si>
    <t>Index normalizovaného rozdílu vegetace (NDVI)</t>
  </si>
  <si>
    <t>Rozsáhlé veřejné zelené plochy</t>
  </si>
  <si>
    <t>Přístup do 500 m</t>
  </si>
  <si>
    <t>Vegetační kryt</t>
  </si>
  <si>
    <t>Rozsáhlé veřejné zelené plochy mohou přinést řadu zdravotních a environmentálních výhod zmírněním městského tepla, zlepšením kvality ovzduší a biodiverzity a podporou fyzické aktivity, sociálních interakcí a duševní pohody.</t>
  </si>
  <si>
    <t>{percent} rozlohy studovaného regionu splňuje vegetační práh průměrného ročního NDVI ≥ 0,2</t>
  </si>
  <si>
    <t>Přístup k velkým veřejným zeleným plochám</t>
  </si>
  <si>
    <t>{percent} populace žije do 500 m od velkých veřejných zelených ploch o velikosti alespoň 1 hektaru</t>
  </si>
  <si>
    <t>Vystavení teplu ve městech</t>
  </si>
  <si>
    <t>Průměrná teplota povrchu země pro nejteplejší třetinu roku ({start_date} až {end_date})</t>
  </si>
  <si>
    <t>Zranitelnost vůči teplu ve městech</t>
  </si>
  <si>
    <t>Nerovnosti v zranitelnosti vůči teplu byly vyhodnoceny jako funkce vystavení teplu, citlivosti a adaptační kapacity (Turner et al, 2025; https://dx.doi.org/10.2139/ssrn.5251739).</t>
  </si>
  <si>
    <t>Zranitelnost vůči teplu</t>
  </si>
  <si>
    <t>{percent} populace žije v oblastech nejvíce zranitelných vůči teplu</t>
  </si>
  <si>
    <t>Teplota povrchu země ({units})</t>
  </si>
  <si>
    <t>Normaliseret differensvegetationsindeks (NDVI)</t>
  </si>
  <si>
    <t>Stort offentligt grønt område</t>
  </si>
  <si>
    <t>Adgang inden for 500 m</t>
  </si>
  <si>
    <t>Vegetationsdække</t>
  </si>
  <si>
    <t>Store offentlige grønne områder kan give flere sundhedsmæssige og miljømæssige sidegevinster ved at afbøde byvarme, forbedre luftkvaliteten og biodiversiteten samt fremme fysisk aktivitet, sociale interaktioner og mental velvære.</t>
  </si>
  <si>
    <t>{percent} af studieregionens landareal opfylder vegetationstærsklen for en årlig gennemsnitlig NDVI ≥ 0,2</t>
  </si>
  <si>
    <t>Adgang til store offentlige grønne områder</t>
  </si>
  <si>
    <t>{percent} af befolkningen bor inden for 500 m af store offentlige grønne områder på mindst 1 hektar</t>
  </si>
  <si>
    <t>Varmeeksponering i byen</t>
  </si>
  <si>
    <t>Gennemsnitlig jordoverfladetemperatur for den varmeste tredjedel af året ({start_date} til {end_date})</t>
  </si>
  <si>
    <t>Varmesårbarhed i byen</t>
  </si>
  <si>
    <t>Uligheder i varmesårbarhed blev evalueret som en funktion af varmeeksponering, følsomhed og tilpasningsevne (Turner et al., 2025; https://dx.doi.org/10.2139/ssrn.5251739).</t>
  </si>
  <si>
    <t>Varmesårbarhed</t>
  </si>
  <si>
    <t>{percent} af befolkningen bor i områder, der er mest sårbare over for varme</t>
  </si>
  <si>
    <t>Jordoverfladetemperatur ({units})</t>
  </si>
  <si>
    <t>Genormaliseerde differentie-vegetatie-index (NDVI)</t>
  </si>
  <si>
    <t>Grote openbare groene ruimte</t>
  </si>
  <si>
    <t>Toegang binnen 500 m</t>
  </si>
  <si>
    <t>Vegetatiebedekking</t>
  </si>
  <si>
    <t>Grote openbare groene ruimtes kunnen meerdere gezondheids- en milieuvoordelen bieden door stedelijke hitte te verminderen, de luchtkwaliteit en biodiversiteit te verbeteren en fysieke activiteit, sociale interacties en mentaal welzijn te bevorderen.</t>
  </si>
  <si>
    <t>{percent} van het landoppervlak van het onderzoeksgebied voldoet aan de vegetatiedrempel van een jaarlijkse gemiddelde NDVI ≥ 0,2</t>
  </si>
  <si>
    <t>Toegang tot grote openbare groene ruimten</t>
  </si>
  <si>
    <t>{percent} van de bevolking woont binnen 500 meter van een grote openbare groene ruimte van minstens 1 hectare</t>
  </si>
  <si>
    <t>Blootstelling aan stedelijke hitte</t>
  </si>
  <si>
    <t>Gemiddelde landtemperatuur gedurende het warmste derde deel van het jaar ({start_date} tot {end_date})</t>
  </si>
  <si>
    <t>Kwetsbaarheid voor stedelijke hitte</t>
  </si>
  <si>
    <t>Ongelijkheden in hittekwetsbaarheid werden geëvalueerd als functie van blootstelling aan hitte, gevoeligheid en aanpassingsvermogen (Turner et al, 2025; https://dx.doi.org/10.2139/ssrn.5251739).</t>
  </si>
  <si>
    <t>Kwetsbaarheid voor hitte</t>
  </si>
  <si>
    <t>{percent} van de bevolking woont in gebieden die het meest kwetsbaar zijn voor hitte</t>
  </si>
  <si>
    <t>Landoppervlaktetemperatuur ({units})</t>
  </si>
  <si>
    <t>Normalisoitu differentiaalinen kasvillisuusindeksi (NDVI)</t>
  </si>
  <si>
    <t>Suuri julkinen viheralue</t>
  </si>
  <si>
    <t>Pääsy 500 metrin säteellä</t>
  </si>
  <si>
    <t>Kasvillisuuspeite</t>
  </si>
  <si>
    <t>Suuret julkiset viheralueet voivat tarjota useita terveys- ja ympäristöhyötyjä lieventämällä kaupunkien kuumuutta, parantamalla ilmanlaatua ja biologista monimuotoisuutta sekä edistämällä fyysistä aktiivisuutta, sosiaalista vuorovaikutusta ja henkistä hyvinvointia.</t>
  </si>
  <si>
    <t>{prosenttia} tutkimusalueen maa-alueesta täyttää kasvillisuuden kynnysarvon, joka on vuosittainen keskimääräinen NDVI ≥ 0,2</t>
  </si>
  <si>
    <t>Suurten julkisten viheralueiden käyttöoikeus</t>
  </si>
  <si>
    <t>{prosenttia} väestöstä asuu 500 metrin säteellä vähintään 1 hehtaarin kokoisista suurista julkisista viheralueista</t>
  </si>
  <si>
    <t>Kaupunkien lämpöaltistus</t>
  </si>
  <si>
    <t>Keskimääräinen maanpinnan lämpötila vuoden kuumimman kolmanneksen aikana ({start_date} - {end_date})</t>
  </si>
  <si>
    <t>Kaupunkien lämpöalttius</t>
  </si>
  <si>
    <t>Lämpöalttiuden eriarvoisuutta arvioitiin lämpöaltistuksen, herkkyyden ja sopeutumiskyvyn funktiona (Turner et al, 2025; https://dx.doi.org/10.2139/ssrn.5251739).</t>
  </si>
  <si>
    <t>Lämpöalttius</t>
  </si>
  <si>
    <t>{prosenttia} väestöstä asuu alueilla, jotka ovat alttiimpia kuumuudelle</t>
  </si>
  <si>
    <t>Maanpinnan lämpötila ({units})</t>
  </si>
  <si>
    <t>Indice de végétation par différence normalisée (NDVI)</t>
  </si>
  <si>
    <t>Grand espace vert public</t>
  </si>
  <si>
    <t>Accès à moins de 500 m</t>
  </si>
  <si>
    <t>Couverture végétale</t>
  </si>
  <si>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</si>
  <si>
    <t>{pourcentage} de la superficie de la région étudiée atteint le seuil de végétation d'un NDVI moyen annuel ≥ 0,2.</t>
  </si>
  <si>
    <t>Accès à de grands espaces verts publics</t>
  </si>
  <si>
    <t>{pourcentage} de la population vit à moins de 500 m d'un grand espace vert public d'au moins 1 hectare.</t>
  </si>
  <si>
    <t>Exposition à la chaleur urbaine</t>
  </si>
  <si>
    <t>Température moyenne de la surface terrestre pour le tiers le plus chaud de l'année (du {start_date} au {end_date}).</t>
  </si>
  <si>
    <t>Vulnérabilité à la chaleur urbaine</t>
  </si>
  <si>
    <t>Les inégalités de vulnérabilité à la chaleur ont été évaluées en fonction de l'exposition à la chaleur, de la sensibilité et de la capacité d'adaptation (Turner et al., 2025 ; https://dx.doi.org/10.2139/ssrn.5251739).</t>
  </si>
  <si>
    <t>Vulnérabilité à la chaleur</t>
  </si>
  <si>
    <t>{pourcentage} de la population vit dans les zones les plus vulnérables à la chaleur.</t>
  </si>
  <si>
    <t>Température de surface du sol (units)</t>
  </si>
  <si>
    <t>Normalisierter Differenzvegetationsindex (NDVI)</t>
  </si>
  <si>
    <t>Große öffentliche Grünfläche</t>
  </si>
  <si>
    <t>Zugang innerhalb von 500 m</t>
  </si>
  <si>
    <t>Landoberflächentemperatur (units)</t>
  </si>
  <si>
    <t>Vegetationsbedeckung</t>
  </si>
  <si>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</si>
  <si>
    <t>{percent} der Landfläche des Untersuchungsgebiets erfüllt den Vegetationsschwellenwert von einem jährlichen durchschnittlichen NDVI ≥ 0,2.</t>
  </si>
  <si>
    <t>Zugang zu großen öffentlichen Grünflächen</t>
  </si>
  <si>
    <t>{percent} der Bevölkerung lebt innerhalb von 500 m Entfernung zu einer großen öffentlichen Grünfläche von mindestens 1 Hektar Größe.</t>
  </si>
  <si>
    <t>Städtische Hitzebelastung</t>
  </si>
  <si>
    <t>Durchschnittliche Landoberflächentemperatur im heißesten Drittel des Jahres ({start_date} bis {en_date}).</t>
  </si>
  <si>
    <t>Städtische Hitzeanfälligkeit</t>
  </si>
  <si>
    <t>Ungleichheiten in der Hitzeanfälligkeit wurden in Abhängigkeit von Hitzebelastung, -empfindlichkeit und Anpassungsfähigkeit bewertet (Turner et al., 2025; https://dx.doi.org/10.2139/ssrn.5251739).</t>
  </si>
  <si>
    <t>Hitzeanfälligkeit</t>
  </si>
  <si>
    <t>{percent} der Bevölkerung lebt in Gebieten mit besonders hoher Hitzeanfälligkeit.</t>
  </si>
  <si>
    <t>Δείκτης Κανονικοποιημένης Διαφοράς Βλάστησης (NDVI)</t>
  </si>
  <si>
    <t>Μεγάλος δημόσιος χώρος πρασίνου</t>
  </si>
  <si>
    <t>Πρόσβαση σε απόσταση 500 μέτρων</t>
  </si>
  <si>
    <t>Κάλυψη βλάστησης</t>
  </si>
  <si>
    <t>Πρόσβαση σε μεγάλους δημόσιους χώρους πρασίνου</t>
  </si>
  <si>
    <t>{percent} του πληθυσμού ζει σε απόσταση 500 μέτρων από μεγάλους δημόσιους χώρους πρασίνου μεγέθους τουλάχιστον 1 εκταρίου</t>
  </si>
  <si>
    <t>Έκθεση σε αστική θερμότητα</t>
  </si>
  <si>
    <t>Μέση θερμοκρασία επιφάνειας γης για το θερμότερο τρίτο του έτους ({start_date} έως {end_date})</t>
  </si>
  <si>
    <t>Ευπάθεια σε αστική θερμότητα</t>
  </si>
  <si>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</si>
  <si>
    <t>Ευπάθεια σε θερμότητα</t>
  </si>
  <si>
    <t>{percent} του πληθυσμού ζει σε περιοχές που είναι πιο ευάλωτες στη θερμότητα</t>
  </si>
  <si>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</si>
  <si>
    <t>{percent} της έκτασης της περιοχής μελέτης πληροί το όριο βλάστησης του ετήσιου μέσου NDVI ≥ 0,2</t>
  </si>
  <si>
    <t>Θερμοκρασία Επιφάνειας Γης ({units})</t>
  </si>
  <si>
    <t>Ma'aunin Bambancin Tsirrai Mai Daidaita (NDVI)</t>
  </si>
  <si>
    <t>Babban sarari mai kore ga jama'a</t>
  </si>
  <si>
    <t>Samun dama a cikin mita 500</t>
  </si>
  <si>
    <t>Murfin Lambu</t>
  </si>
  <si>
    <t>Manyan wurare masu kore ga jama'a na iya samar da fa'idodi da yawa na lafiya da muhalli ta hanyar rage zafin birni, inganta ingancin iska da bambancin halittu, da kuma haɓaka motsa jiki, hulɗar zamantakewa, da walwalar kwakwalwa.</t>
  </si>
  <si>
    <t>Babban damar shiga sararin kore na jama'a</t>
  </si>
  <si>
    <t>Shan zafi a birane</t>
  </si>
  <si>
    <t>Rashin lafiyar zafi a birane</t>
  </si>
  <si>
    <t>An kimanta rashin daidaito a cikin raunin zafi a matsayin aikin fallasa zafi, jin zafi, da ƙarfin daidaitawa (Turner et al, 2025; https://dx.doi.org/10.2139/ssrn.5251739).</t>
  </si>
  <si>
    <t>Rashin lafiyar zafi</t>
  </si>
  <si>
    <t>{percent} na jama'a suna zaune a yankunan da suka fi fuskantar zafi</t>
  </si>
  <si>
    <t>Matsakaicin zafin ƙasa na mafi zafi na uku na shekara ({start_date} zuwa {end_date})</t>
  </si>
  <si>
    <t>{percent} na yankin da aka yi nazari, yankin ƙasa ya cika ƙa'idar ciyayi na matsakaicin NDVI na shekara-shekara ≥ 0.2</t>
  </si>
  <si>
    <t>{percent} na jama'a suna zaune a cikin murabba'in mita 500 na babban sararin kore na jama'a na akalla hekta 1 a girma</t>
  </si>
  <si>
    <t>Zafin Ƙasa ({units})</t>
  </si>
  <si>
    <t>नॉर्मलाइज़्ड डिफरेंस वेजिटेशन इंडेक्स (NDVI)</t>
  </si>
  <si>
    <t>बड़ी पब्लिक ग्रीन स्पेस</t>
  </si>
  <si>
    <t>500m के अंदर एक्सेस</t>
  </si>
  <si>
    <t>वेजिटेशन कवर</t>
  </si>
  <si>
    <t>बड़े पब्लिक ग्रीन स्पेस तक पहुँच</t>
  </si>
  <si>
    <t>{percent} आबादी कम से कम 1 हेक्टेयर साइज़ के बड़े पब्लिक ग्रीन स्पेस के 500m के अंदर रहती है।</t>
  </si>
  <si>
    <t>शहरी गर्मी का खतरा</t>
  </si>
  <si>
    <t>साल के सबसे गर्म तीसरे हिस्से के लिए ज़मीन की सतह का औसत तापमान ({start_date} से {end_date} तक)</t>
  </si>
  <si>
    <t>गर्मी के खतरे में असमानता को गर्मी के खतरे, सेंसिटिविटी और एडैप्टिव कैपेसिटी (टर्नर एट अल, 2025; https://dx.doi.org/10.2139/ssrn.5251739) के आधार पर आंका गया।</t>
  </si>
  <si>
    <t>गर्मी का खतरा</t>
  </si>
  <si>
    <t>{percent} आबादी उन इलाकों में रहती है जहाँ गर्मी का सबसे ज़्यादा खतरा होता है।</t>
  </si>
  <si>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</si>
  <si>
    <t>स्टडी एरिया का {percent} ज़मीन का एरिया सालाना औसत NDVI ≥ 0.2 की पेड़-पौधों की लिमिट को पूरा करता है।</t>
  </si>
  <si>
    <t>ज़मीन की सतह का टेम्परेचर ({units})</t>
  </si>
  <si>
    <t>Indeks Vegetasi Perbedaan Normalisasi (NDVI)</t>
  </si>
  <si>
    <t>Ruang hijau publik yang luas</t>
  </si>
  <si>
    <t>Akses dalam radius 500m</t>
  </si>
  <si>
    <t>Tutupan vegetasi</t>
  </si>
  <si>
    <t>Ruang hijau publik yang luas dapat memberikan berbagai manfaat kesehatan dan lingkungan dengan mengurangi panas perkotaan, meningkatkan kualitas udara dan keanekaragaman hayati, serta mendorong aktivitas fisik, interaksi sosial, dan kesejahteraan mental.</t>
  </si>
  <si>
    <t>Akses ruang hijau publik yang luas</t>
  </si>
  <si>
    <t>Paparan panas perkotaan</t>
  </si>
  <si>
    <t>Suhu permukaan tanah rata-rata untuk sepertiga terpanas tahun ini ({start_date} hingga {end_date})</t>
  </si>
  <si>
    <t>Kerentanan panas perkotaan</t>
  </si>
  <si>
    <t>Ketidaksetaraan dalam kerentanan panas dievaluasi sebagai fungsi dari paparan panas, sensitivitas, dan kapasitas adaptif (Turner et al, 2025; https://dx.doi.org/10.2139/ssrn.5251739).</t>
  </si>
  <si>
    <t>Kerentanan panas</t>
  </si>
  <si>
    <t>{percent} dari populasi tinggal di daerah yang paling rentan terhadap panas</t>
  </si>
  <si>
    <t>{percent} dari populasi tinggal dalam jarak 500m dari ruang hijau publik yang luas dengan ukuran minimal 1 hektar</t>
  </si>
  <si>
    <t>{percent} dari luas lahan wilayah studi memenuhi ambang batas vegetasi dengan rata-rata tahunan NDVI ≥ 0,2</t>
  </si>
  <si>
    <t>Suhu Permukaan Tanah ({units})</t>
  </si>
  <si>
    <t>Indice di vegetazione normalizzato (NDVI)</t>
  </si>
  <si>
    <t>Ampio spazio verde pubblico</t>
  </si>
  <si>
    <t>Accesso entro 500 m</t>
  </si>
  <si>
    <t>Temperatura della superficie del suolo ({unità})</t>
  </si>
  <si>
    <t>Copertura vegetale</t>
  </si>
  <si>
    <t>Gli ampi spazi verdi pubblici possono offrire molteplici benefici collaterali per la salute e l'ambiente, mitigando il calore urbano, migliorando la qualità dell'aria e la biodiversità e promuovendo l'attività fisica, le interazioni sociali e il benessere mentale.</t>
  </si>
  <si>
    <t>Accesso a grandi spazi verdi pubblici</t>
  </si>
  <si>
    <t>Esposizione al calore urbano</t>
  </si>
  <si>
    <t>Temperatura media della superficie terrestre per il terzo più caldo dell'anno (dal {start_date} al {end_date})</t>
  </si>
  <si>
    <t>Vulnerabilità al calore urbano</t>
  </si>
  <si>
    <t>Le disuguaglianze nella vulnerabilità al calore sono state valutate in funzione dell'esposizione al calore, della sensibilità e della capacità di adattamento (Turner et al, 2025; https://dx.doi.org/10.2139/ssrn.5251739).</t>
  </si>
  <si>
    <t>Vulnerabilità al calore</t>
  </si>
  <si>
    <t>Il {percent} della popolazione vive in aree più vulnerabili al calore</t>
  </si>
  <si>
    <t>Il {percent} della popolazione vive entro 500 m da un grande spazio verde pubblico di almeno 1 ettaro</t>
  </si>
  <si>
    <t>Il {percent} della superficie terrestre della regione di studio soddisfa la soglia di vegetazione con un NDVI medio annuo ≥ 0,2</t>
  </si>
  <si>
    <t>正規化植生指数（NDVI）</t>
  </si>
  <si>
    <t>大規模な公共緑地</t>
  </si>
  <si>
    <t>500m以内のアクセス</t>
  </si>
  <si>
    <t>植被率</t>
  </si>
  <si>
    <t>大規模な公共緑地は、都市部のヒートアイランド現象の緩和、大気質と生物多様性の向上、身体活動、社会交流、精神的健康の促進など、健康面と環境面で多岐にわたる副次的効果をもたらします。</t>
  </si>
  <si>
    <t>大規模公共緑地へのアクセス</t>
  </si>
  <si>
    <t>都市部の熱曝露</t>
  </si>
  <si>
    <t>都市部の熱脆弱性</t>
  </si>
  <si>
    <t>熱脆弱性の不平等は、熱曝露、感受性、および適応能力の関数として評価された（Turner et al, 2025; https://dx.doi.org/10.2139/ssrn.5251739）。</t>
  </si>
  <si>
    <t>人口の{percent}が、熱に対して最も脆弱な地域に居住している。</t>
  </si>
  <si>
    <t>年間で最も暑い3分の1の期間（{start_date}～{end_date}）の平均地表面温度</t>
  </si>
  <si>
    <t>人口の{percent}が、少なくとも1ヘクタールの大規模公共緑地から500m以内に居住している。</t>
  </si>
  <si>
    <t>調査対象地域の土地面積の{percent}が、年間平均NDVI≧0.2の植生基準を満たしている。</t>
  </si>
  <si>
    <t>地表面温度（{units}）</t>
  </si>
  <si>
    <t>정규화 식생지수(NDVI)</t>
  </si>
  <si>
    <t>대규모 공공 녹지 공간</t>
  </si>
  <si>
    <t>500m 이내 접근성</t>
  </si>
  <si>
    <t>지표면 온도({units})</t>
  </si>
  <si>
    <t>식생 피복률</t>
  </si>
  <si>
    <t>대규모 공공 녹지 공간은 도시 열섬 현상 완화, 대기 질 및 생물 다양성 개선, 신체 활동 증진, 사회적 교류 및 정신 건강 증진을 통해 다양한 건강 및 환경적 이점을 제공할 수 있습니다.</t>
  </si>
  <si>
    <t>연구 지역 토지 면적의 {percent}가 연평균 NDVI ≥ 0.2의 식생 기준을 충족합니다.</t>
  </si>
  <si>
    <t>대규모 공공 녹지 접근성</t>
  </si>
  <si>
    <t>인구의 {percent}가 최소 1헥타르 규모의 대규모 공공 녹지에서 500m 이내에 거주합니다.</t>
  </si>
  <si>
    <t>도시 열 노출</t>
  </si>
  <si>
    <t>연중 가장 더운 3분의 1 기간({start_date}~{end_date})의 평균 지표면 온도</t>
  </si>
  <si>
    <t>도시 열 취약성</t>
  </si>
  <si>
    <t>열 취약성의 불평등은 열 노출, 민감도 및 적응 능력의 함수로 평가되었습니다(Turner et al, 2025; https://dx.doi.org/10.2139/ssrn.5251739).</t>
  </si>
  <si>
    <t>열 취약성</t>
  </si>
  <si>
    <t>인구의 {percent}가 열에 가장 취약한 지역에 거주합니다.</t>
  </si>
  <si>
    <t>Te Tāurangi Rerekētanga Huawhenua Whakaōrite (NDVI)</t>
  </si>
  <si>
    <t>Wāhi matomato tūmatanui nui</t>
  </si>
  <si>
    <t>Te urunga atu i roto i te 500m</t>
  </si>
  <si>
    <t>Te Taupoki Huawhenua</t>
  </si>
  <si>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</si>
  <si>
    <t>Te urunga atu ki ngā wāhi matomato tūmatanui nui</t>
  </si>
  <si>
    <t>Te wera o te tāone</t>
  </si>
  <si>
    <t>Te ngoikore o te wera o te tāone</t>
  </si>
  <si>
    <t>I aromatawaihia ngā kore taurite o te ngoikore o te wera hei mahi a te wera, te aro, me te kaha urutau (Turner et al, 2025; https://dx.doi.org/10.2139/ssrn.5251739).</t>
  </si>
  <si>
    <t>Te ngoikore o te wera</t>
  </si>
  <si>
    <t>Te Pāmahana o te Mata Whenua ({units})</t>
  </si>
  <si>
    <t>{percent} o te rohe rangahau whenua e tutuki ana i te paepae tipu o te toharite ā-tau NDVI ≥ 0.2</t>
  </si>
  <si>
    <t>{percent} o te taupori e noho ana i ngā wāhi tino ngoikore ki te wera</t>
  </si>
  <si>
    <t>Te pāmahana mata whenua toharite mō te hautoru wera rawa o te tau ({start_date} ki {end_date})</t>
  </si>
  <si>
    <t>{percent} o te taupori e noho ana i roto i te 500m o ngā wāhi matomato tūmatanui nui, neke atu i te 1 heketea te rahi</t>
  </si>
  <si>
    <t>सामान्यीकृत भिन्नता वनस्पति सूचकांक (NDVI)</t>
  </si>
  <si>
    <t>ठूला सार्वजनिक हरियो ठाउँ</t>
  </si>
  <si>
    <t>५०० मिटर भित्र पहुँच</t>
  </si>
  <si>
    <t>वनस्पति कभर</t>
  </si>
  <si>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</si>
  <si>
    <t>ठूलो सार्वजनिक हरियो ठाउँ पहुँच</t>
  </si>
  <si>
    <t>शहरी ताप जोखिम</t>
  </si>
  <si>
    <t>वर्षको सबैभन्दा तातो तेस्रो भागको लागि औसत जमिनको सतहको तापक्रम ({start_date} देखि {end_date} सम्म)</t>
  </si>
  <si>
    <t>तातो जोखिममा असमानताहरूलाई ताप जोखिम, संवेदनशीलता र अनुकूलन क्षमताको कार्यको रूपमा मूल्याङ्कन गरिएको थियो (टर्नर एट अल, २०२५; https://dx.doi.org/10.2139/ssrn.5251739)।</t>
  </si>
  <si>
    <t>तातो जोखिम</t>
  </si>
  <si>
    <t>जमिनको सतहको तापक्रम ({units})</t>
  </si>
  <si>
    <t>अध्ययन क्षेत्रको {percent} भू-क्षेत्रफलले वार्षिक औसत NDVI ≥ ०.२ को वनस्पति सीमा पूरा गर्दछ</t>
  </si>
  <si>
    <t>जनसंख्याको {percent} कम्तिमा १ हेक्टर आकारको ठूलो सार्वजनिक हरियो ठाउँको ५०० मिटर भित्र बस्छन्</t>
  </si>
  <si>
    <t>जनसंख्याको {percent} गर्मीको लागि सबैभन्दा जोखिममा रहेका क्षेत्रहरूमा बस्छन्</t>
  </si>
  <si>
    <t>شاخص پوشش گیاهی نرمال شده (NDVI)</t>
  </si>
  <si>
    <t>فضای سبز عمومی بزرگ</t>
  </si>
  <si>
    <t>دسترسی در محدوده ۵۰۰ متری</t>
  </si>
  <si>
    <t>پوشش گیاهی</t>
  </si>
  <si>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</si>
  <si>
    <t>دسترسی به فضای سبز عمومی بزرگ</t>
  </si>
  <si>
    <t>قرار گرفتن در معرض گرمای شهری</t>
  </si>
  <si>
    <t>میانگین دمای سطح زمین برای گرم‌ترین یک سوم سال ({start_date} تا {end_date})</t>
  </si>
  <si>
    <t>آسیب‌پذیری گرمای شهری</t>
  </si>
  <si>
    <t>نابرابری‌ها در آسیب‌پذیری گرما به عنوان تابعی از قرار گرفتن در معرض گرما، حساسیت و ظرفیت سازگاری ارزیابی شدند (Turner et al, 2025; https://dx.doi.org/10.2139/ssrn.5251739).</t>
  </si>
  <si>
    <t>آسیب‌پذیری گرما</t>
  </si>
  <si>
    <t>دمای سطح زمین ({units})</t>
  </si>
  <si>
    <t>{percent} از مساحت منطقه مورد مطالعه، آستانه پوشش گیاهی میانگین سالانه NDVI ≥ 0.2 را برآورده می‌کند.</t>
  </si>
  <si>
    <t>{percent} از جمعیت در فاصله ۵۰۰ متری از فضای سبز عمومی بزرگ با حداقل ۱ هکتار مساحت زندگی می‌کنند.</t>
  </si>
  <si>
    <t>{percent} از جمعیت در مناطقی زندگی می‌کنند که بیشترین آسیب‌پذیری را در برابر گرما دارند.</t>
  </si>
  <si>
    <t>Índice de Vegetação por Diferença Normalizada (NDVI)</t>
  </si>
  <si>
    <t>Grandes espaços verdes públicos</t>
  </si>
  <si>
    <t>Acesso a menos de 500 m</t>
  </si>
  <si>
    <t>Temperatura da superfície terrestre (units)</t>
  </si>
  <si>
    <t>Grandes espaços verdes públicos podem proporcionar múltiplos benefícios para a saúde e o meio ambiente, mitigando o calor urbano, melhorando a qualidade do ar e a biodiversidade, e promovendo atividade física, interações sociais e bem-estar mental.</t>
  </si>
  <si>
    <t>{percent} da área terrestre da região de estudo atende ao limiar de vegetação de NDVI médio anual ≥ 0,2</t>
  </si>
  <si>
    <t>Acesso a grandes espaços verdes públicos</t>
  </si>
  <si>
    <t>{percent} da população vive a menos de 500 m de um grande espaço verde público com pelo menos 1 hectare de tamanho</t>
  </si>
  <si>
    <t>Exposição ao calor urbano</t>
  </si>
  <si>
    <t>Temperatura média da superfície terrestre durante o terço mais quente do ano ({start_date} a {end_date})</t>
  </si>
  <si>
    <t>Vulnerabilidade ao calor urbano</t>
  </si>
  <si>
    <t>As desigualdades na vulnerabilidade ao calor foram avaliadas em função da exposição ao calor, da sensibilidade e da capacidade adaptativa (Turner et al, 2025; https://dx.doi.org/10.2139/ssrn.5251739).</t>
  </si>
  <si>
    <t>Vulnerabilidade ao calor</t>
  </si>
  <si>
    <t>{percent} da população vive em áreas mais vulneráveis ao calor</t>
  </si>
  <si>
    <t>Os grandes espaços verdes públicos podem proporcionar múltiplos benefícios para a saúde e para o ambiente, mitigando o calor urbano, melhorando a qualidade do ar e a biodiversidade, e promovendo a atividade física, as interações sociais e o bem-estar mental.</t>
  </si>
  <si>
    <t>{percent} da área terrestre da região de estudo cumpre o limiar de vegetação de NDVI médio anual ≥ 0,2</t>
  </si>
  <si>
    <t>{percent} da população vive em zonas mais vulneráveis ao calor</t>
  </si>
  <si>
    <t>Índice de Vegetación de Diferencia Normalizada (NDVI)</t>
  </si>
  <si>
    <t>Grandes espacios verdes públicos</t>
  </si>
  <si>
    <t>Acceso a menos de 500 m</t>
  </si>
  <si>
    <t>Temperatura de la superficie terrestre (units)</t>
  </si>
  <si>
    <t>Los grandes espacios verdes públicos pueden proporcionar múltiples beneficios para la salud y el medio ambiente al mitigar el calor urbano, mejorar la calidad del aire y la biodiversidad, y promover la actividad física, las interacciones sociales y el bienestar mental.</t>
  </si>
  <si>
    <t>{percent} de la superficie terrestre de la región de estudio cumple con el umbral de vegetación de un NDVI promedio anual ≥ 0,2.</t>
  </si>
  <si>
    <t>Acceso a grandes espacios verdes públicos</t>
  </si>
  <si>
    <t>{percent} de la población vive a menos de 500 m de un gran espacio verde público de al menos 1 hectárea.</t>
  </si>
  <si>
    <t>Exposición al calor urbano</t>
  </si>
  <si>
    <t>Temperatura promedio de la superficie terrestre durante el tercio más cálido del año ({start_date} a {end_date}).</t>
  </si>
  <si>
    <t>Vulnerabilidad al calor urbano</t>
  </si>
  <si>
    <t>Las desigualdades en la vulnerabilidad al calor se evaluaron en función de la exposición al calor, la sensibilidad y la capacidad de adaptación (Turner et al., 2025; https://dx.doi.org/10.2139/ssrn.5251739).</t>
  </si>
  <si>
    <t>Vulnerabilidad al calor</t>
  </si>
  <si>
    <t>{percent} de la población vive en las zonas más vulnerables al calor.</t>
  </si>
  <si>
    <t>இயல்பாக்கப்பட்ட வேறுபாட்டுத் தாவரக் குறியீடு (NDVI)</t>
  </si>
  <si>
    <t>பெரிய பொதுப் பசுமை வெளி</t>
  </si>
  <si>
    <t>500 மீட்டருக்குள் அணுகல்</t>
  </si>
  <si>
    <t>நில மேற்பரப்பு வெப்பநிலை ({units})</t>
  </si>
  <si>
    <t>தாவரப் பரப்பு</t>
  </si>
  <si>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</si>
  <si>
    <t>ஆய்வுப் பிராந்திய நிலப்பரப்பில் {percent} ஆண்டு சராசரி NDVI ≥ 0.2 என்ற தாவர வரம்பைப் பூர்த்தி செய்கிறது</t>
  </si>
  <si>
    <t>பெரிய பொது பசுமைவெளி அணுகல்</t>
  </si>
  <si>
    <t>{percent} மக்கள், குறைந்தது 1 ஹெக்டேர் பரப்பளவுள்ள பெரிய பொது பசுமைவெளியிலிருந்து 500 மீட்டருக்குள் வாழ்கின்றனர்</t>
  </si>
  <si>
    <t>நகர்ப்புற வெப்ப வெளிப்பாடு</t>
  </si>
  <si>
    <t>ஆண்டின் வெப்பமான மூன்றில் ஒரு பகுதிக்கான ({start_date} முதல் {end_date} வரை) சராசரி நில மேற்பரப்பு வெப்பநிலை</t>
  </si>
  <si>
    <t>நகர்ப்புற வெப்ப பாதிப்புத்தன்மை</t>
  </si>
  <si>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</si>
  <si>
    <t>வெப்ப பாதிப்புத்தன்மை</t>
  </si>
  <si>
    <t>{percent} மக்கள் வெப்பத்தால் மிகவும் பாதிக்கப்படக்கூடிய பகுதிகளில் வாழ்கின்றனர்.</t>
  </si>
  <si>
    <t>ดัชนีความแตกต่างของพืชพรรณแบบนอร์มาไลซ์ (NDVI)</t>
  </si>
  <si>
    <t>พื้นที่สีเขียวสาธารณะขนาดใหญ่</t>
  </si>
  <si>
    <t>การเข้าถึงภายใน 500 เมตร</t>
  </si>
  <si>
    <t>อุณหภูมิพื้นผิว ({units})</t>
  </si>
  <si>
    <t>ความหนาแน่นของพืชพรรณ</t>
  </si>
  <si>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</si>
  <si>
    <t>{percent} ของพื้นที่ศึกษาตรงตามเกณฑ์พืชพรรณของค่าเฉลี่ย NDVI รายปี ≥ 0.2</t>
  </si>
  <si>
    <t>การเข้าถึงพื้นที่สีเขียวสาธารณะขนาดใหญ่</t>
  </si>
  <si>
    <t>{percent} ของประชากรอาศัยอยู่ภายในระยะ 500 เมตรจากพื้นที่สีเขียวสาธารณะขนาดใหญ่ที่มีขนาดอย่างน้อย 1 เฮกตาร์</t>
  </si>
  <si>
    <t>การสัมผัสความร้อนในเมือง</t>
  </si>
  <si>
    <t>อุณหภูมิพื้นผิวเฉลี่ยในช่วงหนึ่งในสามของปีที่ร้อนที่สุด ({start_date} ถึง {end_date})</t>
  </si>
  <si>
    <t>ความเปราะบางต่อความร้อนในเมือง</t>
  </si>
  <si>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</si>
  <si>
    <t>ความเปราะบางต่อความร้อน</t>
  </si>
  <si>
    <t>{percent} ของประชากรอาศัยอยู่ในพื้นที่ที่มีความเสี่ยงต่อความร้อนมากที่สุด</t>
  </si>
  <si>
    <t>Normalleştirilmiş Fark Bitki Örtüsü İndeksi (NDVI)</t>
  </si>
  <si>
    <t>Büyük kamusal yeşil alan</t>
  </si>
  <si>
    <t>500 m içinde erişim</t>
  </si>
  <si>
    <t>Yüzey Sıcaklığı ({units})</t>
  </si>
  <si>
    <t>Bitki örtüsü</t>
  </si>
  <si>
    <t>Büyük kamusal yeşil alanlar, kentsel ısıyı azaltarak, hava kalitesini ve biyoçeşitliliği iyileştirerek ve fiziksel aktiviteyi, sosyal etkileşimleri ve zihinsel refahı teşvik ederek çok sayıda sağlık ve çevresel fayda sağlayabilir.</t>
  </si>
  <si>
    <t>Çalışma bölgesinin arazi alanının {percent}'si yıllık ortalama NDVI ≥ 0,2 bitki örtüsü eşiğini karşılıyor.</t>
  </si>
  <si>
    <t>Büyük kamusal yeşil alanlara erişim</t>
  </si>
  <si>
    <t>Nüfusun {percent}'si en az 1 hektarlık büyük kamusal yeşil alanlara 500 m mesafede yaşıyor.</t>
  </si>
  <si>
    <t>Kentsel ısıya maruz kalma</t>
  </si>
  <si>
    <t>Yılın en sıcak üçte birlik bölümü için ortalama arazi yüzey sıcaklığı ({start_date} - {end_date})</t>
  </si>
  <si>
    <t>Kentsel ısıya karşı savunmasızlık</t>
  </si>
  <si>
    <t>Isıya karşı savunmasızlıktaki eşitsizlikler, ısıya maruz kalma, hassasiyet ve adaptasyon kapasitesinin bir fonksiyonu olarak değerlendirilmiştir (Turner vd., 2025; https://dx.doi.org/10.2139/ssrn.5251739).</t>
  </si>
  <si>
    <t>Isıya karşı savunmasızlık</t>
  </si>
  <si>
    <t>Nüfusun {percent}'si ısıya karşı en savunmasız bölgelerde yaşıyor.</t>
  </si>
  <si>
    <t>Індекс нормалізованої різниці рослинності (NDVI)</t>
  </si>
  <si>
    <t>Великі громадські зелені зони</t>
  </si>
  <si>
    <t>Доступ у межах 500 м</t>
  </si>
  <si>
    <t>Температура поверхні землі ({units})</t>
  </si>
  <si>
    <t>Рослинний покрив</t>
  </si>
  <si>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</si>
  <si>
    <t>{percent} площі досліджуваного регіону відповідає порогу рослинності середньорічного NDVI ≥ 0,2</t>
  </si>
  <si>
    <t>Доступ до великих громадських зелених насаджень</t>
  </si>
  <si>
    <t>{percent} населення проживає в межах 500 м від великих громадських зелених насаджень площею щонайменше 1 гектар</t>
  </si>
  <si>
    <t>Вплив тепла в міському середовищі</t>
  </si>
  <si>
    <t>Середня температура поверхні землі протягом найспекотнішої третини року (з {start_date} до {end_date})</t>
  </si>
  <si>
    <t>Вразливість до тепла в міському середовищі</t>
  </si>
  <si>
    <t>Нерівність у вразливості до тепла оцінювалася як функція впливу тепла, чутливості та адаптивної здатності (Turner et al, 2025; https://dx.doi.org/10.2139/ssrn.5251739).</t>
  </si>
  <si>
    <t>Вразливість до тепла</t>
  </si>
  <si>
    <t>{percent} населення проживає в районах, найбільш вразливих до тепла</t>
  </si>
  <si>
    <t>Chỉ số thực vật khác biệt chuẩn hóa (NDVI)</t>
  </si>
  <si>
    <t>Không gian xanh công cộng rộng lớn</t>
  </si>
  <si>
    <t>Phạm vi tiếp cận trong vòng 500m</t>
  </si>
  <si>
    <t>Nhiệt độ bề mặt đất ({units})</t>
  </si>
  <si>
    <t>Độ che phủ thực vật</t>
  </si>
  <si>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</si>
  <si>
    <t>{percent} diện tích đất vùng nghiên cứu đáp ứng ngưỡng thảm thực vật với chỉ số NDVI trung bình hàng năm ≥ 0,2</t>
  </si>
  <si>
    <t>Tiếp cận không gian xanh công cộng rộng lớn</t>
  </si>
  <si>
    <t>{percent} dân số sống trong phạm vi 500m tính từ không gian xanh công cộng rộng lớn có diện tích ít nhất 1 ha</t>
  </si>
  <si>
    <t>Tiếp xúc với nhiệt đô thị</t>
  </si>
  <si>
    <t>Nhiệt độ bề mặt đất trung bình trong một phần ba nóng nhất của năm (từ {start_date} đến {end_date})</t>
  </si>
  <si>
    <t>Tính dễ bị tổn thương do nhiệt đô thị</t>
  </si>
  <si>
    <t>Sự bất bình đẳng về tính dễ bị tổn thương do nhiệt được đánh giá dựa trên mức độ tiếp xúc với nhiệt, độ nhạy cảm và khả năng thích ứng (Turner et al, 2025; https://dx.doi.org/10.2139/ssrn.5251739).</t>
  </si>
  <si>
    <t>Tính dễ bị tổn thương do nhiệt</t>
  </si>
  <si>
    <t>{percent} dân số sống ở những khu vực dễ bị tổn thương nhất do nhiệt</t>
  </si>
  <si>
    <t>https://github.com/healthysustainablecities/global-indicators/issues/600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</si>
</sst>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
      <u/>
      <sz val="11"/>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52">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20" fillId="33" borderId="0" xfId="0" applyFont="1" applyFill="1" applyAlignment="1">
      <alignment vertical="top"/>
    </xf>
    <xf numFmtId="0" fontId="23" fillId="33" borderId="0" xfId="42" applyFill="1" applyAlignment="1">
      <alignment vertical="top"/>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xf numFmtId="0" fontId="0" fillId="0" borderId="0" xfId="0" applyAlignment="1">
      <alignment horizontal="lef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ithub.com/healthysustainablecities/global-indicators/issues/600" TargetMode="External"/><Relationship Id="rId1" Type="http://schemas.openxmlformats.org/officeDocument/2006/relationships/hyperlink" Target="https://github.com/healthysustainablecities/global-indicators/issues/600"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5213</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5208</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5209</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5210</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5211</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5212</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5274</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5275</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5276</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5274</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5275</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5276</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1024</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1024</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1024</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1024</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1024</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5234</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5235</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5236</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5237</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5238</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5239</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5240</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5241</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5242</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5243</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5244</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5245</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5246</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5247</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5248</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5249</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5250</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5251</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5252</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5253</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5254</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5255</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5256</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5257</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5258</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5259</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5260</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5261</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5262</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5263</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5264</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5265</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5266</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5267</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5268</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5269</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5270</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5271</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5272</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5273</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5204</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5205</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5206</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5207</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5213</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5208</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5209</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5210</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5211</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5212</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5274</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5275</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5276</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6"/>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v>
      </c>
      <c r="B12">
        <v>17</v>
      </c>
      <c r="C12" t="s">
        <v>19</v>
      </c>
      <c r="D12">
        <v>0</v>
      </c>
      <c r="E12">
        <v>10</v>
      </c>
      <c r="F12">
        <v>200</v>
      </c>
      <c r="G12">
        <v>13</v>
      </c>
      <c r="H12" t="s">
        <v>102</v>
      </c>
      <c r="I12">
        <v>10</v>
      </c>
      <c r="J12">
        <v>1</v>
      </c>
      <c r="K12">
        <v>0</v>
      </c>
      <c r="L12">
        <v>0</v>
      </c>
      <c r="M12" t="s">
        <v>884</v>
      </c>
      <c r="N12" t="s">
        <v>21</v>
      </c>
      <c r="O12" t="s">
        <v>22</v>
      </c>
      <c r="Q12">
        <v>5</v>
      </c>
      <c r="R12" t="b">
        <v>0</v>
      </c>
      <c r="S12" t="s">
        <v>119</v>
      </c>
      <c r="T12">
        <v>0</v>
      </c>
    </row>
    <row r="13" spans="1:20" x14ac:dyDescent="0.25">
      <c r="A13" t="s">
        <v>18</v>
      </c>
      <c r="B13">
        <v>19</v>
      </c>
      <c r="C13" t="s">
        <v>19</v>
      </c>
      <c r="D13">
        <v>0</v>
      </c>
      <c r="E13">
        <v>10</v>
      </c>
      <c r="F13">
        <v>200</v>
      </c>
      <c r="G13">
        <v>13</v>
      </c>
      <c r="H13" t="s">
        <v>102</v>
      </c>
      <c r="I13">
        <v>10</v>
      </c>
      <c r="J13">
        <v>1</v>
      </c>
      <c r="K13">
        <v>0</v>
      </c>
      <c r="L13">
        <v>0</v>
      </c>
      <c r="M13" t="s">
        <v>884</v>
      </c>
      <c r="N13" t="s">
        <v>21</v>
      </c>
      <c r="O13" t="s">
        <v>22</v>
      </c>
      <c r="Q13">
        <v>5</v>
      </c>
      <c r="R13" t="b">
        <v>0</v>
      </c>
      <c r="S13" t="s">
        <v>119</v>
      </c>
      <c r="T13">
        <v>0</v>
      </c>
    </row>
    <row r="14" spans="1:20" x14ac:dyDescent="0.25">
      <c r="A14" t="s">
        <v>18</v>
      </c>
      <c r="B14">
        <v>21</v>
      </c>
      <c r="C14" t="s">
        <v>19</v>
      </c>
      <c r="D14">
        <v>0</v>
      </c>
      <c r="E14">
        <v>10</v>
      </c>
      <c r="F14">
        <v>200</v>
      </c>
      <c r="G14">
        <v>13</v>
      </c>
      <c r="H14" t="s">
        <v>102</v>
      </c>
      <c r="I14">
        <v>10</v>
      </c>
      <c r="J14">
        <v>1</v>
      </c>
      <c r="K14">
        <v>0</v>
      </c>
      <c r="L14">
        <v>0</v>
      </c>
      <c r="M14" t="s">
        <v>884</v>
      </c>
      <c r="N14" t="s">
        <v>21</v>
      </c>
      <c r="O14" t="s">
        <v>22</v>
      </c>
      <c r="Q14">
        <v>5</v>
      </c>
      <c r="R14" t="b">
        <v>0</v>
      </c>
      <c r="S14" t="s">
        <v>119</v>
      </c>
      <c r="T14">
        <v>0</v>
      </c>
    </row>
    <row r="15" spans="1:20" x14ac:dyDescent="0.25">
      <c r="A15" t="s">
        <v>18</v>
      </c>
      <c r="B15">
        <v>23</v>
      </c>
      <c r="C15" t="s">
        <v>19</v>
      </c>
      <c r="D15">
        <v>0</v>
      </c>
      <c r="E15">
        <v>10</v>
      </c>
      <c r="F15">
        <v>200</v>
      </c>
      <c r="G15">
        <v>13</v>
      </c>
      <c r="H15" t="s">
        <v>102</v>
      </c>
      <c r="I15">
        <v>10</v>
      </c>
      <c r="J15">
        <v>1</v>
      </c>
      <c r="K15">
        <v>0</v>
      </c>
      <c r="L15">
        <v>0</v>
      </c>
      <c r="M15" t="s">
        <v>884</v>
      </c>
      <c r="N15" t="s">
        <v>21</v>
      </c>
      <c r="O15" t="s">
        <v>22</v>
      </c>
      <c r="Q15">
        <v>5</v>
      </c>
      <c r="R15" t="b">
        <v>0</v>
      </c>
      <c r="S15" t="s">
        <v>119</v>
      </c>
      <c r="T15">
        <v>0</v>
      </c>
    </row>
    <row r="16" spans="1:20" x14ac:dyDescent="0.25">
      <c r="A16" t="s">
        <v>181</v>
      </c>
      <c r="B16">
        <v>1</v>
      </c>
      <c r="C16" t="s">
        <v>19</v>
      </c>
      <c r="D16">
        <v>28</v>
      </c>
      <c r="E16">
        <v>155</v>
      </c>
      <c r="F16">
        <v>200</v>
      </c>
      <c r="G16">
        <v>163</v>
      </c>
      <c r="H16" t="s">
        <v>102</v>
      </c>
      <c r="I16">
        <v>14</v>
      </c>
      <c r="J16">
        <v>1</v>
      </c>
      <c r="K16">
        <v>0</v>
      </c>
      <c r="L16">
        <v>0</v>
      </c>
      <c r="M16" t="s">
        <v>884</v>
      </c>
      <c r="N16" t="s">
        <v>21</v>
      </c>
      <c r="O16" t="s">
        <v>25</v>
      </c>
      <c r="Q16">
        <v>3</v>
      </c>
      <c r="R16" t="b">
        <v>1</v>
      </c>
      <c r="S16" t="s">
        <v>119</v>
      </c>
      <c r="T16">
        <v>0</v>
      </c>
    </row>
    <row r="17" spans="1:20" x14ac:dyDescent="0.25">
      <c r="A17" t="s">
        <v>180</v>
      </c>
      <c r="B17">
        <v>1</v>
      </c>
      <c r="C17" t="s">
        <v>19</v>
      </c>
      <c r="D17">
        <v>28</v>
      </c>
      <c r="E17">
        <v>163</v>
      </c>
      <c r="F17">
        <v>200</v>
      </c>
      <c r="G17">
        <v>169</v>
      </c>
      <c r="H17" t="s">
        <v>102</v>
      </c>
      <c r="I17">
        <v>14</v>
      </c>
      <c r="J17">
        <v>0</v>
      </c>
      <c r="K17">
        <v>0</v>
      </c>
      <c r="L17">
        <v>0</v>
      </c>
      <c r="M17" t="s">
        <v>884</v>
      </c>
      <c r="N17" t="s">
        <v>21</v>
      </c>
      <c r="O17" t="s">
        <v>25</v>
      </c>
      <c r="Q17">
        <v>2</v>
      </c>
      <c r="R17" t="b">
        <v>1</v>
      </c>
      <c r="S17" t="s">
        <v>119</v>
      </c>
      <c r="T17">
        <v>0</v>
      </c>
    </row>
    <row r="18" spans="1:20" x14ac:dyDescent="0.25">
      <c r="A18" t="s">
        <v>867</v>
      </c>
      <c r="B18">
        <v>-999</v>
      </c>
      <c r="C18" t="s">
        <v>19</v>
      </c>
      <c r="D18">
        <v>28</v>
      </c>
      <c r="E18">
        <v>169</v>
      </c>
      <c r="F18">
        <v>200</v>
      </c>
      <c r="G18">
        <v>175</v>
      </c>
      <c r="H18" t="s">
        <v>102</v>
      </c>
      <c r="I18">
        <v>14</v>
      </c>
      <c r="J18">
        <v>0</v>
      </c>
      <c r="K18">
        <v>0</v>
      </c>
      <c r="L18">
        <v>0</v>
      </c>
      <c r="M18" t="s">
        <v>884</v>
      </c>
      <c r="N18" t="s">
        <v>21</v>
      </c>
      <c r="O18" t="s">
        <v>25</v>
      </c>
      <c r="Q18">
        <v>1</v>
      </c>
      <c r="R18" t="b">
        <v>1</v>
      </c>
      <c r="S18" t="s">
        <v>119</v>
      </c>
      <c r="T18">
        <v>0</v>
      </c>
    </row>
    <row r="19" spans="1:20" x14ac:dyDescent="0.25">
      <c r="A19" t="s">
        <v>887</v>
      </c>
      <c r="B19">
        <v>1</v>
      </c>
      <c r="C19" t="s">
        <v>19</v>
      </c>
      <c r="D19">
        <v>28</v>
      </c>
      <c r="E19">
        <v>171</v>
      </c>
      <c r="F19">
        <v>200</v>
      </c>
      <c r="G19">
        <v>177</v>
      </c>
      <c r="H19" t="s">
        <v>102</v>
      </c>
      <c r="I19">
        <v>9</v>
      </c>
      <c r="J19">
        <v>0</v>
      </c>
      <c r="K19">
        <v>1</v>
      </c>
      <c r="L19">
        <v>0</v>
      </c>
      <c r="M19" t="s">
        <v>884</v>
      </c>
      <c r="N19" t="s">
        <v>21</v>
      </c>
      <c r="O19" t="s">
        <v>25</v>
      </c>
      <c r="Q19">
        <v>0</v>
      </c>
      <c r="R19" t="b">
        <v>1</v>
      </c>
      <c r="S19" t="s">
        <v>119</v>
      </c>
      <c r="T19">
        <v>0</v>
      </c>
    </row>
    <row r="20" spans="1:20" x14ac:dyDescent="0.25">
      <c r="A20" t="s">
        <v>720</v>
      </c>
      <c r="B20">
        <v>1</v>
      </c>
      <c r="C20" t="s">
        <v>19</v>
      </c>
      <c r="D20">
        <v>28</v>
      </c>
      <c r="E20">
        <v>193</v>
      </c>
      <c r="F20">
        <v>205</v>
      </c>
      <c r="G20">
        <v>198</v>
      </c>
      <c r="H20" t="s">
        <v>102</v>
      </c>
      <c r="I20">
        <v>8</v>
      </c>
      <c r="J20">
        <v>0</v>
      </c>
      <c r="K20">
        <v>1</v>
      </c>
      <c r="L20">
        <v>0</v>
      </c>
      <c r="M20" t="s">
        <v>884</v>
      </c>
      <c r="N20" t="s">
        <v>21</v>
      </c>
      <c r="O20" t="s">
        <v>22</v>
      </c>
      <c r="Q20">
        <v>0</v>
      </c>
      <c r="R20" t="b">
        <v>1</v>
      </c>
      <c r="S20" t="s">
        <v>119</v>
      </c>
      <c r="T20">
        <v>0</v>
      </c>
    </row>
    <row r="21" spans="1:20" x14ac:dyDescent="0.25">
      <c r="A21" t="s">
        <v>893</v>
      </c>
      <c r="B21">
        <v>1</v>
      </c>
      <c r="C21" t="s">
        <v>24</v>
      </c>
      <c r="D21">
        <v>0</v>
      </c>
      <c r="E21">
        <v>198</v>
      </c>
      <c r="F21">
        <v>210</v>
      </c>
      <c r="G21">
        <v>298</v>
      </c>
      <c r="I21">
        <v>0</v>
      </c>
      <c r="J21">
        <v>0</v>
      </c>
      <c r="K21">
        <v>0</v>
      </c>
      <c r="L21">
        <v>0</v>
      </c>
      <c r="N21" t="s">
        <v>21</v>
      </c>
      <c r="O21" t="s">
        <v>25</v>
      </c>
      <c r="Q21">
        <v>0</v>
      </c>
      <c r="R21" t="b">
        <v>0</v>
      </c>
      <c r="S21" t="s">
        <v>119</v>
      </c>
      <c r="T21">
        <v>0</v>
      </c>
    </row>
    <row r="22" spans="1:20" x14ac:dyDescent="0.25">
      <c r="A22" t="s">
        <v>894</v>
      </c>
      <c r="B22">
        <v>1</v>
      </c>
      <c r="C22" t="s">
        <v>19</v>
      </c>
      <c r="D22">
        <v>80</v>
      </c>
      <c r="E22">
        <v>211</v>
      </c>
      <c r="F22">
        <v>210</v>
      </c>
      <c r="G22">
        <v>216</v>
      </c>
      <c r="H22" t="s">
        <v>102</v>
      </c>
      <c r="I22">
        <v>12</v>
      </c>
      <c r="J22">
        <v>0</v>
      </c>
      <c r="K22">
        <v>1</v>
      </c>
      <c r="L22">
        <v>0</v>
      </c>
      <c r="N22" t="s">
        <v>21</v>
      </c>
      <c r="O22" t="s">
        <v>25</v>
      </c>
      <c r="Q22">
        <v>0</v>
      </c>
      <c r="R22" t="b">
        <v>1</v>
      </c>
      <c r="S22" t="s">
        <v>119</v>
      </c>
      <c r="T22">
        <v>0</v>
      </c>
    </row>
    <row r="23" spans="1:20" x14ac:dyDescent="0.25">
      <c r="A23" t="s">
        <v>28</v>
      </c>
      <c r="B23">
        <v>1</v>
      </c>
      <c r="C23" t="s">
        <v>24</v>
      </c>
      <c r="D23">
        <v>0</v>
      </c>
      <c r="E23">
        <v>0</v>
      </c>
      <c r="F23">
        <v>211</v>
      </c>
      <c r="G23">
        <v>298</v>
      </c>
      <c r="I23">
        <v>0</v>
      </c>
      <c r="J23">
        <v>0</v>
      </c>
      <c r="K23">
        <v>0</v>
      </c>
      <c r="L23">
        <v>0</v>
      </c>
      <c r="N23" t="s">
        <v>21</v>
      </c>
      <c r="O23" t="s">
        <v>25</v>
      </c>
      <c r="P23" t="s">
        <v>899</v>
      </c>
      <c r="Q23">
        <v>1</v>
      </c>
      <c r="R23" t="b">
        <v>0</v>
      </c>
      <c r="S23" t="s">
        <v>119</v>
      </c>
      <c r="T23">
        <v>0</v>
      </c>
    </row>
    <row r="24" spans="1:20" x14ac:dyDescent="0.25">
      <c r="A24" t="s">
        <v>96</v>
      </c>
      <c r="B24">
        <v>1</v>
      </c>
      <c r="C24" t="s">
        <v>24</v>
      </c>
      <c r="D24">
        <v>90</v>
      </c>
      <c r="E24">
        <v>15</v>
      </c>
      <c r="F24">
        <v>196</v>
      </c>
      <c r="G24">
        <v>45</v>
      </c>
      <c r="I24">
        <v>0</v>
      </c>
      <c r="J24">
        <v>0</v>
      </c>
      <c r="K24">
        <v>0</v>
      </c>
      <c r="L24">
        <v>0</v>
      </c>
      <c r="N24" t="s">
        <v>21</v>
      </c>
      <c r="O24" t="s">
        <v>27</v>
      </c>
      <c r="P24" t="s">
        <v>898</v>
      </c>
      <c r="Q24">
        <v>2</v>
      </c>
      <c r="R24" t="b">
        <v>1</v>
      </c>
      <c r="S24" t="s">
        <v>722</v>
      </c>
      <c r="T24">
        <v>0</v>
      </c>
    </row>
    <row r="25" spans="1:20" x14ac:dyDescent="0.25">
      <c r="A25" t="s">
        <v>41</v>
      </c>
      <c r="B25">
        <v>2</v>
      </c>
      <c r="C25" t="s">
        <v>19</v>
      </c>
      <c r="D25">
        <v>10</v>
      </c>
      <c r="E25">
        <v>15</v>
      </c>
      <c r="F25">
        <v>196</v>
      </c>
      <c r="G25">
        <f>E25+4</f>
        <v>19</v>
      </c>
      <c r="H25" t="s">
        <v>102</v>
      </c>
      <c r="I25">
        <v>9</v>
      </c>
      <c r="J25">
        <v>0</v>
      </c>
      <c r="K25">
        <v>0</v>
      </c>
      <c r="L25">
        <v>0</v>
      </c>
      <c r="M25" t="s">
        <v>903</v>
      </c>
      <c r="N25" t="s">
        <v>947</v>
      </c>
      <c r="O25" t="s">
        <v>25</v>
      </c>
      <c r="Q25">
        <v>3</v>
      </c>
      <c r="R25" t="b">
        <v>1</v>
      </c>
      <c r="S25" t="s">
        <v>119</v>
      </c>
      <c r="T25">
        <v>0</v>
      </c>
    </row>
    <row r="26" spans="1:20" x14ac:dyDescent="0.25">
      <c r="A26" t="s">
        <v>904</v>
      </c>
      <c r="B26">
        <v>-999</v>
      </c>
      <c r="C26" t="s">
        <v>19</v>
      </c>
      <c r="D26">
        <v>10</v>
      </c>
      <c r="E26">
        <v>238</v>
      </c>
      <c r="F26">
        <v>196</v>
      </c>
      <c r="G26">
        <f>E26+5</f>
        <v>243</v>
      </c>
      <c r="H26" t="s">
        <v>102</v>
      </c>
      <c r="I26">
        <v>10</v>
      </c>
      <c r="J26">
        <v>0</v>
      </c>
      <c r="K26">
        <v>0</v>
      </c>
      <c r="L26">
        <v>0</v>
      </c>
      <c r="M26" t="s">
        <v>903</v>
      </c>
      <c r="N26" t="s">
        <v>947</v>
      </c>
      <c r="O26" t="s">
        <v>25</v>
      </c>
      <c r="P26" s="1" t="s">
        <v>905</v>
      </c>
      <c r="Q26">
        <v>2</v>
      </c>
      <c r="R26" t="b">
        <v>1</v>
      </c>
      <c r="T26">
        <v>0</v>
      </c>
    </row>
    <row r="27" spans="1:20" x14ac:dyDescent="0.25">
      <c r="A27" t="s">
        <v>859</v>
      </c>
      <c r="B27">
        <v>-999</v>
      </c>
      <c r="C27" t="s">
        <v>19</v>
      </c>
      <c r="D27">
        <v>10</v>
      </c>
      <c r="E27">
        <f>G26+6</f>
        <v>249</v>
      </c>
      <c r="F27">
        <v>196</v>
      </c>
      <c r="G27">
        <f>E27+5</f>
        <v>254</v>
      </c>
      <c r="H27" t="s">
        <v>102</v>
      </c>
      <c r="I27">
        <v>10</v>
      </c>
      <c r="J27">
        <v>0</v>
      </c>
      <c r="K27">
        <v>0</v>
      </c>
      <c r="L27">
        <v>0</v>
      </c>
      <c r="M27" t="s">
        <v>903</v>
      </c>
      <c r="N27" t="s">
        <v>947</v>
      </c>
      <c r="O27" t="s">
        <v>25</v>
      </c>
      <c r="P27" s="1"/>
      <c r="Q27">
        <v>2</v>
      </c>
      <c r="R27" t="b">
        <v>1</v>
      </c>
      <c r="T27">
        <v>0</v>
      </c>
    </row>
    <row r="28" spans="1:20" x14ac:dyDescent="0.25">
      <c r="A28" t="s">
        <v>860</v>
      </c>
      <c r="B28">
        <v>-999</v>
      </c>
      <c r="C28" t="s">
        <v>19</v>
      </c>
      <c r="D28">
        <v>10</v>
      </c>
      <c r="E28">
        <f>G27+10</f>
        <v>264</v>
      </c>
      <c r="F28">
        <v>196</v>
      </c>
      <c r="G28">
        <f>E28+5</f>
        <v>269</v>
      </c>
      <c r="H28" t="s">
        <v>102</v>
      </c>
      <c r="I28">
        <v>10</v>
      </c>
      <c r="J28">
        <v>0</v>
      </c>
      <c r="K28">
        <v>0</v>
      </c>
      <c r="L28">
        <v>0</v>
      </c>
      <c r="N28" t="s">
        <v>947</v>
      </c>
      <c r="O28" t="s">
        <v>25</v>
      </c>
      <c r="P28" s="1"/>
      <c r="Q28">
        <v>2</v>
      </c>
      <c r="R28" t="b">
        <v>1</v>
      </c>
      <c r="T28">
        <v>0</v>
      </c>
    </row>
    <row r="29" spans="1:20" x14ac:dyDescent="0.25">
      <c r="A29" t="s">
        <v>385</v>
      </c>
      <c r="B29">
        <v>-999</v>
      </c>
      <c r="C29" t="s">
        <v>19</v>
      </c>
      <c r="D29">
        <v>10</v>
      </c>
      <c r="E29">
        <f>G28+10</f>
        <v>279</v>
      </c>
      <c r="F29">
        <v>196</v>
      </c>
      <c r="G29">
        <f>E29+5</f>
        <v>284</v>
      </c>
      <c r="H29" t="s">
        <v>102</v>
      </c>
      <c r="I29">
        <v>10</v>
      </c>
      <c r="J29">
        <v>0</v>
      </c>
      <c r="K29">
        <v>0</v>
      </c>
      <c r="L29">
        <v>0</v>
      </c>
      <c r="M29" t="s">
        <v>903</v>
      </c>
      <c r="N29" t="s">
        <v>947</v>
      </c>
      <c r="O29" t="s">
        <v>25</v>
      </c>
      <c r="P29" s="1"/>
      <c r="Q29">
        <v>2</v>
      </c>
      <c r="R29" t="b">
        <v>1</v>
      </c>
      <c r="T29">
        <v>0</v>
      </c>
    </row>
    <row r="30" spans="1:20" x14ac:dyDescent="0.25">
      <c r="A30" t="s">
        <v>620</v>
      </c>
      <c r="B30">
        <v>-999</v>
      </c>
      <c r="C30" t="s">
        <v>19</v>
      </c>
      <c r="D30">
        <v>10</v>
      </c>
      <c r="E30">
        <f>G29+10</f>
        <v>294</v>
      </c>
      <c r="F30">
        <v>196</v>
      </c>
      <c r="G30">
        <f>E30+5</f>
        <v>299</v>
      </c>
      <c r="H30" t="s">
        <v>102</v>
      </c>
      <c r="I30">
        <v>10</v>
      </c>
      <c r="J30">
        <v>0</v>
      </c>
      <c r="K30">
        <v>0</v>
      </c>
      <c r="L30">
        <v>0</v>
      </c>
      <c r="M30" t="s">
        <v>903</v>
      </c>
      <c r="N30" t="s">
        <v>947</v>
      </c>
      <c r="O30" t="s">
        <v>25</v>
      </c>
      <c r="P30" s="1"/>
      <c r="Q30">
        <v>2</v>
      </c>
      <c r="R30" t="b">
        <v>1</v>
      </c>
      <c r="T30">
        <v>0</v>
      </c>
    </row>
    <row r="31" spans="1:20" x14ac:dyDescent="0.25">
      <c r="A31" t="s">
        <v>383</v>
      </c>
      <c r="B31">
        <v>2</v>
      </c>
      <c r="C31" t="s">
        <v>26</v>
      </c>
      <c r="D31">
        <v>210</v>
      </c>
      <c r="E31">
        <v>0</v>
      </c>
      <c r="F31">
        <v>0</v>
      </c>
      <c r="G31">
        <v>298</v>
      </c>
      <c r="I31">
        <v>0</v>
      </c>
      <c r="J31">
        <v>0</v>
      </c>
      <c r="K31">
        <v>0</v>
      </c>
      <c r="L31">
        <v>0</v>
      </c>
      <c r="M31" t="s">
        <v>947</v>
      </c>
      <c r="N31" t="s">
        <v>947</v>
      </c>
      <c r="O31" t="s">
        <v>25</v>
      </c>
      <c r="Q31">
        <v>0</v>
      </c>
      <c r="R31" t="b">
        <v>0</v>
      </c>
      <c r="S31" t="s">
        <v>119</v>
      </c>
      <c r="T31">
        <v>0</v>
      </c>
    </row>
    <row r="32" spans="1:20" x14ac:dyDescent="0.25">
      <c r="A32" t="s">
        <v>181</v>
      </c>
      <c r="B32">
        <v>3</v>
      </c>
      <c r="C32" t="s">
        <v>19</v>
      </c>
      <c r="D32">
        <v>14</v>
      </c>
      <c r="E32">
        <v>20</v>
      </c>
      <c r="F32">
        <v>200</v>
      </c>
      <c r="G32">
        <v>28</v>
      </c>
      <c r="H32" t="s">
        <v>102</v>
      </c>
      <c r="I32">
        <v>14</v>
      </c>
      <c r="J32">
        <v>1</v>
      </c>
      <c r="K32">
        <v>0</v>
      </c>
      <c r="L32">
        <v>0</v>
      </c>
      <c r="N32" t="s">
        <v>21</v>
      </c>
      <c r="O32" t="s">
        <v>25</v>
      </c>
      <c r="Q32">
        <v>4</v>
      </c>
      <c r="R32" t="b">
        <v>1</v>
      </c>
      <c r="S32" t="s">
        <v>119</v>
      </c>
      <c r="T32">
        <v>0</v>
      </c>
    </row>
    <row r="33" spans="1:20" x14ac:dyDescent="0.25">
      <c r="A33" t="s">
        <v>180</v>
      </c>
      <c r="B33">
        <v>3</v>
      </c>
      <c r="C33" t="s">
        <v>19</v>
      </c>
      <c r="D33">
        <v>14</v>
      </c>
      <c r="E33">
        <v>28</v>
      </c>
      <c r="F33">
        <v>196</v>
      </c>
      <c r="G33">
        <v>33</v>
      </c>
      <c r="H33" t="s">
        <v>102</v>
      </c>
      <c r="I33">
        <v>14</v>
      </c>
      <c r="J33">
        <v>0</v>
      </c>
      <c r="K33">
        <v>0</v>
      </c>
      <c r="L33">
        <v>0</v>
      </c>
      <c r="N33" t="s">
        <v>21</v>
      </c>
      <c r="O33" t="s">
        <v>25</v>
      </c>
      <c r="Q33">
        <v>3</v>
      </c>
      <c r="R33" t="b">
        <v>1</v>
      </c>
      <c r="S33" t="s">
        <v>119</v>
      </c>
      <c r="T33">
        <v>0</v>
      </c>
    </row>
    <row r="34" spans="1:20" x14ac:dyDescent="0.25">
      <c r="A34" t="s">
        <v>669</v>
      </c>
      <c r="B34">
        <v>3</v>
      </c>
      <c r="C34" t="s">
        <v>19</v>
      </c>
      <c r="D34">
        <v>14</v>
      </c>
      <c r="E34">
        <v>41</v>
      </c>
      <c r="F34">
        <v>196</v>
      </c>
      <c r="G34">
        <v>46</v>
      </c>
      <c r="H34" t="s">
        <v>102</v>
      </c>
      <c r="I34">
        <v>12</v>
      </c>
      <c r="J34">
        <v>0</v>
      </c>
      <c r="K34">
        <v>0</v>
      </c>
      <c r="L34">
        <v>0</v>
      </c>
      <c r="N34" t="s">
        <v>21</v>
      </c>
      <c r="O34" t="s">
        <v>25</v>
      </c>
      <c r="Q34">
        <v>2</v>
      </c>
      <c r="R34" t="b">
        <v>1</v>
      </c>
      <c r="S34" t="s">
        <v>119</v>
      </c>
      <c r="T34">
        <v>0</v>
      </c>
    </row>
    <row r="35" spans="1:20" x14ac:dyDescent="0.25">
      <c r="A35" t="s">
        <v>721</v>
      </c>
      <c r="B35">
        <v>3</v>
      </c>
      <c r="C35" t="s">
        <v>19</v>
      </c>
      <c r="D35">
        <v>0</v>
      </c>
      <c r="E35">
        <v>225</v>
      </c>
      <c r="F35">
        <v>196</v>
      </c>
      <c r="G35">
        <v>230</v>
      </c>
      <c r="H35" t="s">
        <v>102</v>
      </c>
      <c r="I35">
        <v>8</v>
      </c>
      <c r="J35">
        <v>0</v>
      </c>
      <c r="K35">
        <v>1</v>
      </c>
      <c r="L35">
        <v>0</v>
      </c>
      <c r="M35" t="s">
        <v>884</v>
      </c>
      <c r="N35" t="s">
        <v>21</v>
      </c>
      <c r="O35" t="s">
        <v>22</v>
      </c>
      <c r="Q35">
        <v>0</v>
      </c>
      <c r="R35" t="b">
        <v>1</v>
      </c>
      <c r="S35" t="s">
        <v>119</v>
      </c>
      <c r="T35">
        <v>0</v>
      </c>
    </row>
    <row r="36" spans="1:20" x14ac:dyDescent="0.25">
      <c r="A36" t="s">
        <v>100</v>
      </c>
      <c r="B36">
        <v>3</v>
      </c>
      <c r="C36" t="s">
        <v>24</v>
      </c>
      <c r="D36">
        <v>0</v>
      </c>
      <c r="E36">
        <v>230</v>
      </c>
      <c r="F36">
        <v>210</v>
      </c>
      <c r="G36">
        <v>330</v>
      </c>
      <c r="I36">
        <v>0</v>
      </c>
      <c r="J36">
        <v>0</v>
      </c>
      <c r="K36">
        <v>0</v>
      </c>
      <c r="L36">
        <v>0</v>
      </c>
      <c r="N36" t="s">
        <v>21</v>
      </c>
      <c r="O36" t="s">
        <v>25</v>
      </c>
      <c r="Q36">
        <v>0</v>
      </c>
      <c r="R36" t="b">
        <v>0</v>
      </c>
      <c r="S36" t="s">
        <v>119</v>
      </c>
      <c r="T36">
        <v>0</v>
      </c>
    </row>
    <row r="37" spans="1:20" x14ac:dyDescent="0.25">
      <c r="A37" t="s">
        <v>58</v>
      </c>
      <c r="B37">
        <v>3</v>
      </c>
      <c r="C37" t="s">
        <v>19</v>
      </c>
      <c r="D37">
        <v>80</v>
      </c>
      <c r="E37">
        <v>211</v>
      </c>
      <c r="F37">
        <v>210</v>
      </c>
      <c r="G37">
        <v>216</v>
      </c>
      <c r="H37" t="s">
        <v>102</v>
      </c>
      <c r="I37">
        <v>12</v>
      </c>
      <c r="J37">
        <v>0</v>
      </c>
      <c r="K37">
        <v>1</v>
      </c>
      <c r="L37">
        <v>0</v>
      </c>
      <c r="N37" t="s">
        <v>21</v>
      </c>
      <c r="O37" t="s">
        <v>25</v>
      </c>
      <c r="Q37">
        <v>0</v>
      </c>
      <c r="R37" t="b">
        <v>1</v>
      </c>
      <c r="S37" t="s">
        <v>119</v>
      </c>
      <c r="T37">
        <v>0</v>
      </c>
    </row>
    <row r="38" spans="1:20" x14ac:dyDescent="0.25">
      <c r="A38" t="s">
        <v>126</v>
      </c>
      <c r="B38">
        <v>-999</v>
      </c>
      <c r="C38" t="s">
        <v>19</v>
      </c>
      <c r="D38">
        <v>14</v>
      </c>
      <c r="E38">
        <v>69</v>
      </c>
      <c r="F38">
        <v>196</v>
      </c>
      <c r="G38">
        <v>73</v>
      </c>
      <c r="H38" t="s">
        <v>102</v>
      </c>
      <c r="I38">
        <v>9</v>
      </c>
      <c r="J38">
        <v>0</v>
      </c>
      <c r="K38">
        <v>0</v>
      </c>
      <c r="L38">
        <v>0</v>
      </c>
      <c r="N38" t="s">
        <v>21</v>
      </c>
      <c r="O38" t="s">
        <v>25</v>
      </c>
      <c r="Q38">
        <v>3</v>
      </c>
      <c r="R38" t="b">
        <v>1</v>
      </c>
      <c r="S38" t="s">
        <v>119</v>
      </c>
      <c r="T38">
        <v>0</v>
      </c>
    </row>
    <row r="39" spans="1:20" x14ac:dyDescent="0.25">
      <c r="A39" t="s">
        <v>127</v>
      </c>
      <c r="B39">
        <v>-999</v>
      </c>
      <c r="C39" t="s">
        <v>19</v>
      </c>
      <c r="D39">
        <v>14</v>
      </c>
      <c r="E39">
        <v>100</v>
      </c>
      <c r="F39">
        <v>196</v>
      </c>
      <c r="G39">
        <v>105</v>
      </c>
      <c r="H39" t="s">
        <v>102</v>
      </c>
      <c r="I39">
        <v>14</v>
      </c>
      <c r="J39">
        <v>1</v>
      </c>
      <c r="K39">
        <v>0</v>
      </c>
      <c r="L39">
        <v>0</v>
      </c>
      <c r="N39" t="s">
        <v>21</v>
      </c>
      <c r="O39" t="s">
        <v>25</v>
      </c>
      <c r="Q39">
        <v>3</v>
      </c>
      <c r="R39" t="b">
        <v>1</v>
      </c>
      <c r="S39" t="s">
        <v>119</v>
      </c>
      <c r="T39">
        <v>0</v>
      </c>
    </row>
    <row r="40" spans="1:20" x14ac:dyDescent="0.25">
      <c r="A40" t="s">
        <v>723</v>
      </c>
      <c r="B40">
        <v>-999</v>
      </c>
      <c r="C40" t="s">
        <v>26</v>
      </c>
      <c r="D40">
        <v>13</v>
      </c>
      <c r="E40">
        <v>98</v>
      </c>
      <c r="F40">
        <v>210</v>
      </c>
      <c r="G40">
        <v>50</v>
      </c>
      <c r="I40">
        <v>0</v>
      </c>
      <c r="J40">
        <v>1</v>
      </c>
      <c r="K40">
        <v>0</v>
      </c>
      <c r="L40">
        <v>0</v>
      </c>
      <c r="N40" t="s">
        <v>21</v>
      </c>
      <c r="O40" t="s">
        <v>25</v>
      </c>
      <c r="Q40">
        <v>0</v>
      </c>
      <c r="R40" t="b">
        <v>0</v>
      </c>
      <c r="S40" t="s">
        <v>119</v>
      </c>
      <c r="T40">
        <v>0</v>
      </c>
    </row>
    <row r="41" spans="1:20" x14ac:dyDescent="0.25">
      <c r="A41" t="s">
        <v>1020</v>
      </c>
      <c r="B41">
        <v>3</v>
      </c>
      <c r="C41" t="s">
        <v>19</v>
      </c>
      <c r="D41">
        <v>14</v>
      </c>
      <c r="E41">
        <v>92</v>
      </c>
      <c r="F41">
        <v>196</v>
      </c>
      <c r="G41">
        <v>97</v>
      </c>
      <c r="H41" t="s">
        <v>102</v>
      </c>
      <c r="I41">
        <v>14</v>
      </c>
      <c r="J41">
        <v>1</v>
      </c>
      <c r="K41">
        <v>0</v>
      </c>
      <c r="L41">
        <v>0</v>
      </c>
      <c r="N41" t="s">
        <v>21</v>
      </c>
      <c r="O41" t="s">
        <v>25</v>
      </c>
      <c r="Q41">
        <v>3</v>
      </c>
      <c r="R41" t="b">
        <v>1</v>
      </c>
      <c r="S41" t="s">
        <v>119</v>
      </c>
      <c r="T41">
        <v>0</v>
      </c>
    </row>
    <row r="42" spans="1:20" x14ac:dyDescent="0.25">
      <c r="A42" t="s">
        <v>1021</v>
      </c>
      <c r="B42">
        <v>3</v>
      </c>
      <c r="C42" t="s">
        <v>19</v>
      </c>
      <c r="D42">
        <v>14</v>
      </c>
      <c r="E42">
        <v>101</v>
      </c>
      <c r="F42">
        <v>196</v>
      </c>
      <c r="G42">
        <v>106</v>
      </c>
      <c r="H42" t="s">
        <v>102</v>
      </c>
      <c r="I42">
        <v>12</v>
      </c>
      <c r="J42">
        <v>0</v>
      </c>
      <c r="K42">
        <v>0</v>
      </c>
      <c r="L42">
        <v>0</v>
      </c>
      <c r="N42" t="s">
        <v>21</v>
      </c>
      <c r="O42" t="s">
        <v>25</v>
      </c>
      <c r="Q42">
        <v>3</v>
      </c>
      <c r="R42" t="b">
        <v>1</v>
      </c>
      <c r="S42" t="s">
        <v>119</v>
      </c>
      <c r="T42">
        <v>0</v>
      </c>
    </row>
    <row r="43" spans="1:20" x14ac:dyDescent="0.25">
      <c r="A43" t="s">
        <v>976</v>
      </c>
      <c r="B43">
        <v>3</v>
      </c>
      <c r="C43" t="s">
        <v>19</v>
      </c>
      <c r="D43">
        <v>14</v>
      </c>
      <c r="E43">
        <v>132</v>
      </c>
      <c r="F43">
        <v>196</v>
      </c>
      <c r="G43">
        <v>137</v>
      </c>
      <c r="H43" t="s">
        <v>102</v>
      </c>
      <c r="I43">
        <v>12</v>
      </c>
      <c r="J43">
        <v>1</v>
      </c>
      <c r="K43">
        <v>0</v>
      </c>
      <c r="L43">
        <v>0</v>
      </c>
      <c r="N43" t="s">
        <v>21</v>
      </c>
      <c r="O43" t="s">
        <v>25</v>
      </c>
      <c r="Q43">
        <v>3</v>
      </c>
      <c r="R43" t="b">
        <v>1</v>
      </c>
      <c r="S43" t="s">
        <v>119</v>
      </c>
      <c r="T43">
        <v>0</v>
      </c>
    </row>
    <row r="44" spans="1:20" x14ac:dyDescent="0.25">
      <c r="A44" t="s">
        <v>5021</v>
      </c>
      <c r="B44">
        <v>3</v>
      </c>
      <c r="C44" t="s">
        <v>19</v>
      </c>
      <c r="D44">
        <v>14</v>
      </c>
      <c r="E44">
        <v>141</v>
      </c>
      <c r="F44">
        <v>196</v>
      </c>
      <c r="G44">
        <v>146</v>
      </c>
      <c r="H44" t="s">
        <v>102</v>
      </c>
      <c r="I44">
        <v>12</v>
      </c>
      <c r="J44">
        <v>0</v>
      </c>
      <c r="K44">
        <v>0</v>
      </c>
      <c r="L44">
        <v>0</v>
      </c>
      <c r="N44" t="s">
        <v>21</v>
      </c>
      <c r="O44" t="s">
        <v>25</v>
      </c>
      <c r="Q44">
        <v>3</v>
      </c>
      <c r="R44" t="b">
        <v>1</v>
      </c>
      <c r="S44" t="s">
        <v>119</v>
      </c>
      <c r="T44">
        <v>0</v>
      </c>
    </row>
    <row r="45" spans="1:20" x14ac:dyDescent="0.25">
      <c r="A45" t="s">
        <v>969</v>
      </c>
      <c r="B45">
        <v>3</v>
      </c>
      <c r="C45" t="s">
        <v>19</v>
      </c>
      <c r="D45">
        <v>14</v>
      </c>
      <c r="E45">
        <v>158</v>
      </c>
      <c r="F45">
        <v>196</v>
      </c>
      <c r="G45">
        <v>163</v>
      </c>
      <c r="H45" t="s">
        <v>102</v>
      </c>
      <c r="I45">
        <v>12</v>
      </c>
      <c r="J45">
        <v>1</v>
      </c>
      <c r="K45">
        <v>0</v>
      </c>
      <c r="L45">
        <v>0</v>
      </c>
      <c r="N45" t="s">
        <v>21</v>
      </c>
      <c r="O45" t="s">
        <v>25</v>
      </c>
      <c r="Q45">
        <v>3</v>
      </c>
      <c r="R45" t="b">
        <v>1</v>
      </c>
      <c r="S45" t="s">
        <v>119</v>
      </c>
      <c r="T45">
        <v>0</v>
      </c>
    </row>
    <row r="46" spans="1:20" x14ac:dyDescent="0.25">
      <c r="A46" t="s">
        <v>1017</v>
      </c>
      <c r="B46">
        <v>3</v>
      </c>
      <c r="C46" t="s">
        <v>19</v>
      </c>
      <c r="D46">
        <v>14</v>
      </c>
      <c r="E46">
        <v>167</v>
      </c>
      <c r="F46">
        <v>196</v>
      </c>
      <c r="G46">
        <v>172</v>
      </c>
      <c r="H46" t="s">
        <v>102</v>
      </c>
      <c r="I46">
        <v>12</v>
      </c>
      <c r="J46">
        <v>0</v>
      </c>
      <c r="K46">
        <v>0</v>
      </c>
      <c r="L46">
        <v>0</v>
      </c>
      <c r="N46" t="s">
        <v>21</v>
      </c>
      <c r="O46" t="s">
        <v>25</v>
      </c>
      <c r="Q46">
        <v>3</v>
      </c>
      <c r="R46" t="b">
        <v>1</v>
      </c>
      <c r="S46" t="s">
        <v>119</v>
      </c>
      <c r="T46">
        <v>0</v>
      </c>
    </row>
    <row r="47" spans="1:20" x14ac:dyDescent="0.25">
      <c r="A47" t="s">
        <v>970</v>
      </c>
      <c r="B47">
        <v>3</v>
      </c>
      <c r="C47" t="s">
        <v>19</v>
      </c>
      <c r="D47">
        <v>14</v>
      </c>
      <c r="E47">
        <v>200</v>
      </c>
      <c r="F47">
        <v>196</v>
      </c>
      <c r="G47">
        <v>205</v>
      </c>
      <c r="H47" t="s">
        <v>102</v>
      </c>
      <c r="I47">
        <v>12</v>
      </c>
      <c r="J47">
        <v>1</v>
      </c>
      <c r="K47">
        <v>0</v>
      </c>
      <c r="L47">
        <v>0</v>
      </c>
      <c r="N47" t="s">
        <v>21</v>
      </c>
      <c r="O47" t="s">
        <v>25</v>
      </c>
      <c r="Q47">
        <v>3</v>
      </c>
      <c r="R47" t="b">
        <v>1</v>
      </c>
      <c r="S47" t="s">
        <v>119</v>
      </c>
      <c r="T47">
        <v>0</v>
      </c>
    </row>
    <row r="48" spans="1:20" x14ac:dyDescent="0.25">
      <c r="A48" t="s">
        <v>1018</v>
      </c>
      <c r="B48">
        <v>3</v>
      </c>
      <c r="C48" t="s">
        <v>19</v>
      </c>
      <c r="D48">
        <v>14</v>
      </c>
      <c r="E48">
        <v>209</v>
      </c>
      <c r="F48">
        <v>196</v>
      </c>
      <c r="G48">
        <v>214</v>
      </c>
      <c r="H48" t="s">
        <v>102</v>
      </c>
      <c r="I48">
        <v>12</v>
      </c>
      <c r="J48">
        <v>0</v>
      </c>
      <c r="K48">
        <v>0</v>
      </c>
      <c r="L48">
        <v>0</v>
      </c>
      <c r="N48" t="s">
        <v>21</v>
      </c>
      <c r="O48" t="s">
        <v>25</v>
      </c>
      <c r="Q48">
        <v>3</v>
      </c>
      <c r="R48" t="b">
        <v>1</v>
      </c>
      <c r="S48" t="s">
        <v>119</v>
      </c>
      <c r="T48">
        <v>0</v>
      </c>
    </row>
    <row r="49" spans="1:20" x14ac:dyDescent="0.25">
      <c r="A49" t="s">
        <v>994</v>
      </c>
      <c r="B49">
        <v>4</v>
      </c>
      <c r="C49" t="s">
        <v>19</v>
      </c>
      <c r="D49">
        <v>14</v>
      </c>
      <c r="E49">
        <v>20</v>
      </c>
      <c r="F49">
        <v>196</v>
      </c>
      <c r="G49">
        <v>25</v>
      </c>
      <c r="H49" t="s">
        <v>102</v>
      </c>
      <c r="I49">
        <v>14</v>
      </c>
      <c r="J49">
        <v>1</v>
      </c>
      <c r="K49">
        <v>0</v>
      </c>
      <c r="L49">
        <v>0</v>
      </c>
      <c r="N49" t="s">
        <v>21</v>
      </c>
      <c r="O49" t="s">
        <v>25</v>
      </c>
      <c r="Q49">
        <v>3</v>
      </c>
      <c r="R49" t="b">
        <v>1</v>
      </c>
      <c r="S49" t="s">
        <v>119</v>
      </c>
      <c r="T49">
        <v>0</v>
      </c>
    </row>
    <row r="50" spans="1:20" x14ac:dyDescent="0.25">
      <c r="A50" t="s">
        <v>910</v>
      </c>
      <c r="B50">
        <v>4</v>
      </c>
      <c r="C50" t="s">
        <v>19</v>
      </c>
      <c r="D50">
        <v>14</v>
      </c>
      <c r="E50">
        <v>33</v>
      </c>
      <c r="F50">
        <v>196</v>
      </c>
      <c r="G50">
        <v>38</v>
      </c>
      <c r="H50" t="s">
        <v>102</v>
      </c>
      <c r="I50">
        <v>12</v>
      </c>
      <c r="J50">
        <v>0</v>
      </c>
      <c r="K50">
        <v>0</v>
      </c>
      <c r="L50">
        <v>0</v>
      </c>
      <c r="N50" t="s">
        <v>21</v>
      </c>
      <c r="O50" t="s">
        <v>25</v>
      </c>
      <c r="Q50">
        <v>3</v>
      </c>
      <c r="R50" t="b">
        <v>1</v>
      </c>
      <c r="S50" t="s">
        <v>119</v>
      </c>
      <c r="T50">
        <v>0</v>
      </c>
    </row>
    <row r="51" spans="1:20" x14ac:dyDescent="0.25">
      <c r="A51" t="s">
        <v>727</v>
      </c>
      <c r="B51">
        <v>4</v>
      </c>
      <c r="C51" t="s">
        <v>24</v>
      </c>
      <c r="D51">
        <v>15</v>
      </c>
      <c r="E51">
        <v>55</v>
      </c>
      <c r="F51">
        <v>196</v>
      </c>
      <c r="G51">
        <v>190</v>
      </c>
      <c r="I51">
        <v>0</v>
      </c>
      <c r="J51">
        <v>0</v>
      </c>
      <c r="K51">
        <v>0</v>
      </c>
      <c r="L51">
        <v>0</v>
      </c>
      <c r="N51" t="s">
        <v>21</v>
      </c>
      <c r="O51" t="s">
        <v>25</v>
      </c>
      <c r="Q51">
        <v>2</v>
      </c>
      <c r="R51" t="b">
        <v>0</v>
      </c>
      <c r="S51" t="s">
        <v>119</v>
      </c>
      <c r="T51">
        <v>0</v>
      </c>
    </row>
    <row r="52" spans="1:20" x14ac:dyDescent="0.25">
      <c r="A52" t="s">
        <v>989</v>
      </c>
      <c r="B52">
        <v>-999</v>
      </c>
      <c r="C52" t="s">
        <v>26</v>
      </c>
      <c r="D52">
        <v>40</v>
      </c>
      <c r="E52">
        <v>200</v>
      </c>
      <c r="F52">
        <v>170</v>
      </c>
      <c r="G52">
        <v>240</v>
      </c>
      <c r="I52">
        <v>0</v>
      </c>
      <c r="J52">
        <v>1</v>
      </c>
      <c r="K52">
        <v>0</v>
      </c>
      <c r="L52">
        <v>0</v>
      </c>
      <c r="N52" t="s">
        <v>988</v>
      </c>
      <c r="O52" t="s">
        <v>25</v>
      </c>
      <c r="Q52">
        <v>0</v>
      </c>
      <c r="R52" t="b">
        <v>0</v>
      </c>
      <c r="S52" t="s">
        <v>119</v>
      </c>
      <c r="T52">
        <v>0</v>
      </c>
    </row>
    <row r="53" spans="1:20" x14ac:dyDescent="0.25">
      <c r="A53" t="s">
        <v>990</v>
      </c>
      <c r="B53">
        <v>4</v>
      </c>
      <c r="C53" t="s">
        <v>19</v>
      </c>
      <c r="D53">
        <v>14</v>
      </c>
      <c r="E53">
        <v>202</v>
      </c>
      <c r="F53">
        <v>196</v>
      </c>
      <c r="G53">
        <v>207</v>
      </c>
      <c r="H53" t="s">
        <v>102</v>
      </c>
      <c r="I53">
        <v>10</v>
      </c>
      <c r="J53">
        <v>1</v>
      </c>
      <c r="K53">
        <v>0</v>
      </c>
      <c r="L53">
        <v>0</v>
      </c>
      <c r="N53" t="s">
        <v>21</v>
      </c>
      <c r="O53" t="s">
        <v>25</v>
      </c>
      <c r="Q53">
        <v>2</v>
      </c>
      <c r="R53" t="b">
        <v>1</v>
      </c>
      <c r="T53">
        <v>0</v>
      </c>
    </row>
    <row r="54" spans="1:20" x14ac:dyDescent="0.25">
      <c r="A54" t="s">
        <v>995</v>
      </c>
      <c r="B54">
        <v>4</v>
      </c>
      <c r="C54" t="s">
        <v>24</v>
      </c>
      <c r="D54">
        <v>14</v>
      </c>
      <c r="E54">
        <v>210</v>
      </c>
      <c r="F54">
        <v>24</v>
      </c>
      <c r="G54">
        <v>220</v>
      </c>
      <c r="I54">
        <v>0</v>
      </c>
      <c r="J54">
        <v>0</v>
      </c>
      <c r="K54">
        <v>0</v>
      </c>
      <c r="L54">
        <v>0</v>
      </c>
      <c r="N54" t="s">
        <v>21</v>
      </c>
      <c r="O54" t="s">
        <v>25</v>
      </c>
      <c r="P54" t="s">
        <v>5277</v>
      </c>
      <c r="Q54">
        <v>2</v>
      </c>
      <c r="R54" t="b">
        <v>0</v>
      </c>
      <c r="S54" t="s">
        <v>119</v>
      </c>
      <c r="T54">
        <v>0</v>
      </c>
    </row>
    <row r="55" spans="1:20" x14ac:dyDescent="0.25">
      <c r="A55" t="s">
        <v>996</v>
      </c>
      <c r="B55">
        <v>4</v>
      </c>
      <c r="C55" t="s">
        <v>24</v>
      </c>
      <c r="D55">
        <v>75</v>
      </c>
      <c r="E55">
        <v>210</v>
      </c>
      <c r="F55">
        <v>85</v>
      </c>
      <c r="G55">
        <v>220</v>
      </c>
      <c r="I55">
        <v>0</v>
      </c>
      <c r="J55">
        <v>0</v>
      </c>
      <c r="K55">
        <v>0</v>
      </c>
      <c r="L55">
        <v>0</v>
      </c>
      <c r="N55" t="s">
        <v>21</v>
      </c>
      <c r="O55" t="s">
        <v>25</v>
      </c>
      <c r="P55" t="s">
        <v>5278</v>
      </c>
      <c r="Q55">
        <v>2</v>
      </c>
      <c r="R55" t="b">
        <v>0</v>
      </c>
      <c r="S55" t="s">
        <v>119</v>
      </c>
      <c r="T55">
        <v>0</v>
      </c>
    </row>
    <row r="56" spans="1:20" x14ac:dyDescent="0.25">
      <c r="A56" t="s">
        <v>997</v>
      </c>
      <c r="B56">
        <v>4</v>
      </c>
      <c r="C56" t="s">
        <v>24</v>
      </c>
      <c r="D56">
        <v>136</v>
      </c>
      <c r="E56">
        <v>210</v>
      </c>
      <c r="F56">
        <v>146</v>
      </c>
      <c r="G56">
        <v>220</v>
      </c>
      <c r="I56">
        <v>0</v>
      </c>
      <c r="J56">
        <v>0</v>
      </c>
      <c r="K56">
        <v>0</v>
      </c>
      <c r="L56">
        <v>0</v>
      </c>
      <c r="N56" t="s">
        <v>21</v>
      </c>
      <c r="O56" t="s">
        <v>25</v>
      </c>
      <c r="P56" t="s">
        <v>5279</v>
      </c>
      <c r="Q56">
        <v>2</v>
      </c>
      <c r="R56" t="b">
        <v>0</v>
      </c>
      <c r="S56" t="s">
        <v>119</v>
      </c>
      <c r="T56">
        <v>0</v>
      </c>
    </row>
    <row r="57" spans="1:20" x14ac:dyDescent="0.25">
      <c r="A57" t="s">
        <v>991</v>
      </c>
      <c r="B57">
        <v>4</v>
      </c>
      <c r="C57" t="s">
        <v>19</v>
      </c>
      <c r="D57">
        <v>14</v>
      </c>
      <c r="E57">
        <v>222</v>
      </c>
      <c r="F57">
        <v>70</v>
      </c>
      <c r="G57">
        <v>227</v>
      </c>
      <c r="H57" t="s">
        <v>102</v>
      </c>
      <c r="I57">
        <v>10</v>
      </c>
      <c r="J57">
        <v>0</v>
      </c>
      <c r="K57">
        <v>0</v>
      </c>
      <c r="L57">
        <v>0</v>
      </c>
      <c r="N57" t="s">
        <v>21</v>
      </c>
      <c r="O57" t="s">
        <v>25</v>
      </c>
      <c r="Q57">
        <v>2</v>
      </c>
      <c r="R57" t="b">
        <v>1</v>
      </c>
      <c r="T57">
        <v>0</v>
      </c>
    </row>
    <row r="58" spans="1:20" x14ac:dyDescent="0.25">
      <c r="A58" t="s">
        <v>992</v>
      </c>
      <c r="B58">
        <v>4</v>
      </c>
      <c r="C58" t="s">
        <v>19</v>
      </c>
      <c r="D58">
        <v>75</v>
      </c>
      <c r="E58">
        <v>222</v>
      </c>
      <c r="F58">
        <v>131</v>
      </c>
      <c r="G58">
        <v>227</v>
      </c>
      <c r="H58" t="s">
        <v>102</v>
      </c>
      <c r="I58">
        <v>10</v>
      </c>
      <c r="J58">
        <v>0</v>
      </c>
      <c r="K58">
        <v>0</v>
      </c>
      <c r="L58">
        <v>0</v>
      </c>
      <c r="N58" t="s">
        <v>21</v>
      </c>
      <c r="O58" t="s">
        <v>25</v>
      </c>
      <c r="Q58">
        <v>2</v>
      </c>
      <c r="R58" t="b">
        <v>1</v>
      </c>
      <c r="T58">
        <v>0</v>
      </c>
    </row>
    <row r="59" spans="1:20" x14ac:dyDescent="0.25">
      <c r="A59" t="s">
        <v>993</v>
      </c>
      <c r="B59">
        <v>4</v>
      </c>
      <c r="C59" t="s">
        <v>19</v>
      </c>
      <c r="D59">
        <v>136</v>
      </c>
      <c r="E59">
        <v>222</v>
      </c>
      <c r="F59">
        <v>196</v>
      </c>
      <c r="G59">
        <v>227</v>
      </c>
      <c r="H59" t="s">
        <v>102</v>
      </c>
      <c r="I59">
        <v>10</v>
      </c>
      <c r="J59">
        <v>0</v>
      </c>
      <c r="K59">
        <v>0</v>
      </c>
      <c r="L59">
        <v>0</v>
      </c>
      <c r="N59" t="s">
        <v>21</v>
      </c>
      <c r="O59" t="s">
        <v>25</v>
      </c>
      <c r="Q59">
        <v>2</v>
      </c>
      <c r="R59" t="b">
        <v>1</v>
      </c>
      <c r="T59">
        <v>0</v>
      </c>
    </row>
    <row r="60" spans="1:20" x14ac:dyDescent="0.25">
      <c r="A60" t="s">
        <v>863</v>
      </c>
      <c r="B60">
        <v>5</v>
      </c>
      <c r="C60" t="s">
        <v>19</v>
      </c>
      <c r="D60">
        <v>14</v>
      </c>
      <c r="E60">
        <v>20</v>
      </c>
      <c r="F60">
        <v>196</v>
      </c>
      <c r="G60">
        <v>25</v>
      </c>
      <c r="H60" t="s">
        <v>102</v>
      </c>
      <c r="I60">
        <v>14</v>
      </c>
      <c r="J60">
        <v>1</v>
      </c>
      <c r="K60">
        <v>0</v>
      </c>
      <c r="L60">
        <v>0</v>
      </c>
      <c r="N60" t="s">
        <v>21</v>
      </c>
      <c r="O60" t="s">
        <v>25</v>
      </c>
      <c r="Q60">
        <v>3</v>
      </c>
      <c r="R60" t="b">
        <v>1</v>
      </c>
      <c r="S60" t="s">
        <v>119</v>
      </c>
      <c r="T60">
        <v>0</v>
      </c>
    </row>
    <row r="61" spans="1:20" x14ac:dyDescent="0.25">
      <c r="A61" t="s">
        <v>801</v>
      </c>
      <c r="B61">
        <v>5</v>
      </c>
      <c r="C61" t="s">
        <v>19</v>
      </c>
      <c r="D61">
        <v>14</v>
      </c>
      <c r="E61">
        <v>33</v>
      </c>
      <c r="F61">
        <v>196</v>
      </c>
      <c r="G61">
        <v>38</v>
      </c>
      <c r="H61" t="s">
        <v>102</v>
      </c>
      <c r="I61">
        <v>12</v>
      </c>
      <c r="J61">
        <v>0</v>
      </c>
      <c r="K61">
        <v>0</v>
      </c>
      <c r="L61">
        <v>0</v>
      </c>
      <c r="N61" t="s">
        <v>21</v>
      </c>
      <c r="O61" t="s">
        <v>25</v>
      </c>
      <c r="Q61">
        <v>3</v>
      </c>
      <c r="R61" t="b">
        <v>1</v>
      </c>
      <c r="S61" t="s">
        <v>119</v>
      </c>
      <c r="T61">
        <v>0</v>
      </c>
    </row>
    <row r="62" spans="1:20" x14ac:dyDescent="0.25">
      <c r="A62" t="s">
        <v>966</v>
      </c>
      <c r="B62">
        <v>5</v>
      </c>
      <c r="C62" t="s">
        <v>26</v>
      </c>
      <c r="D62">
        <v>30</v>
      </c>
      <c r="E62">
        <v>85</v>
      </c>
      <c r="F62">
        <v>170</v>
      </c>
      <c r="G62">
        <v>152</v>
      </c>
      <c r="I62">
        <v>0</v>
      </c>
      <c r="J62">
        <v>1</v>
      </c>
      <c r="K62">
        <v>0</v>
      </c>
      <c r="L62">
        <v>0</v>
      </c>
      <c r="M62" t="s">
        <v>665</v>
      </c>
      <c r="N62" t="s">
        <v>665</v>
      </c>
      <c r="O62" t="s">
        <v>25</v>
      </c>
      <c r="Q62">
        <v>1</v>
      </c>
      <c r="R62" t="b">
        <v>0</v>
      </c>
      <c r="S62" t="s">
        <v>119</v>
      </c>
      <c r="T62">
        <v>0</v>
      </c>
    </row>
    <row r="63" spans="1:20" x14ac:dyDescent="0.25">
      <c r="A63" t="s">
        <v>35</v>
      </c>
      <c r="B63">
        <v>5</v>
      </c>
      <c r="C63" t="s">
        <v>19</v>
      </c>
      <c r="D63">
        <v>40</v>
      </c>
      <c r="E63">
        <v>93</v>
      </c>
      <c r="F63">
        <v>160</v>
      </c>
      <c r="G63">
        <v>98</v>
      </c>
      <c r="H63" t="s">
        <v>102</v>
      </c>
      <c r="I63">
        <v>16</v>
      </c>
      <c r="J63">
        <v>1</v>
      </c>
      <c r="K63">
        <v>0</v>
      </c>
      <c r="L63">
        <v>0</v>
      </c>
      <c r="N63" t="s">
        <v>665</v>
      </c>
      <c r="O63" t="s">
        <v>27</v>
      </c>
      <c r="Q63">
        <v>3</v>
      </c>
      <c r="R63" t="b">
        <v>1</v>
      </c>
      <c r="S63" t="s">
        <v>119</v>
      </c>
      <c r="T63">
        <v>0</v>
      </c>
    </row>
    <row r="64" spans="1:20" x14ac:dyDescent="0.25">
      <c r="A64" t="s">
        <v>104</v>
      </c>
      <c r="B64">
        <v>5</v>
      </c>
      <c r="C64" t="s">
        <v>19</v>
      </c>
      <c r="D64">
        <v>40</v>
      </c>
      <c r="E64">
        <v>106</v>
      </c>
      <c r="F64">
        <v>160</v>
      </c>
      <c r="G64">
        <v>114</v>
      </c>
      <c r="H64" t="s">
        <v>102</v>
      </c>
      <c r="I64">
        <v>16</v>
      </c>
      <c r="J64">
        <v>0</v>
      </c>
      <c r="K64">
        <v>1</v>
      </c>
      <c r="L64">
        <v>0</v>
      </c>
      <c r="N64" t="s">
        <v>665</v>
      </c>
      <c r="O64" t="s">
        <v>27</v>
      </c>
      <c r="Q64">
        <v>2</v>
      </c>
      <c r="R64" t="b">
        <v>1</v>
      </c>
      <c r="S64" t="s">
        <v>119</v>
      </c>
      <c r="T64">
        <v>0</v>
      </c>
    </row>
    <row r="65" spans="1:20" x14ac:dyDescent="0.25">
      <c r="A65" t="s">
        <v>56</v>
      </c>
      <c r="B65">
        <v>5</v>
      </c>
      <c r="C65" t="s">
        <v>19</v>
      </c>
      <c r="D65">
        <v>40</v>
      </c>
      <c r="E65">
        <v>134</v>
      </c>
      <c r="F65">
        <v>160</v>
      </c>
      <c r="G65">
        <v>140</v>
      </c>
      <c r="H65" t="s">
        <v>102</v>
      </c>
      <c r="I65">
        <v>20</v>
      </c>
      <c r="J65">
        <v>1</v>
      </c>
      <c r="K65">
        <v>0</v>
      </c>
      <c r="L65">
        <v>0</v>
      </c>
      <c r="N65" t="s">
        <v>665</v>
      </c>
      <c r="O65" t="s">
        <v>27</v>
      </c>
      <c r="P65" t="s">
        <v>963</v>
      </c>
      <c r="Q65">
        <v>3</v>
      </c>
      <c r="R65" t="b">
        <v>1</v>
      </c>
      <c r="S65" t="s">
        <v>119</v>
      </c>
      <c r="T65">
        <v>0</v>
      </c>
    </row>
    <row r="66" spans="1:20" x14ac:dyDescent="0.25">
      <c r="A66" t="s">
        <v>965</v>
      </c>
      <c r="B66">
        <v>5</v>
      </c>
      <c r="C66" t="s">
        <v>26</v>
      </c>
      <c r="D66">
        <v>30</v>
      </c>
      <c r="E66">
        <v>182</v>
      </c>
      <c r="F66">
        <v>170</v>
      </c>
      <c r="G66">
        <v>249</v>
      </c>
      <c r="I66">
        <v>0</v>
      </c>
      <c r="J66">
        <v>1</v>
      </c>
      <c r="K66">
        <v>0</v>
      </c>
      <c r="L66">
        <v>0</v>
      </c>
      <c r="M66" t="s">
        <v>967</v>
      </c>
      <c r="N66" t="s">
        <v>967</v>
      </c>
      <c r="O66" t="s">
        <v>25</v>
      </c>
      <c r="Q66">
        <v>1</v>
      </c>
      <c r="R66" t="b">
        <v>0</v>
      </c>
      <c r="S66" t="s">
        <v>119</v>
      </c>
      <c r="T66">
        <v>0</v>
      </c>
    </row>
    <row r="67" spans="1:20" x14ac:dyDescent="0.25">
      <c r="A67" t="s">
        <v>36</v>
      </c>
      <c r="B67">
        <v>5</v>
      </c>
      <c r="C67" t="s">
        <v>19</v>
      </c>
      <c r="D67">
        <v>40</v>
      </c>
      <c r="E67">
        <v>190</v>
      </c>
      <c r="F67">
        <v>160</v>
      </c>
      <c r="G67">
        <v>195</v>
      </c>
      <c r="H67" t="s">
        <v>102</v>
      </c>
      <c r="I67">
        <v>16</v>
      </c>
      <c r="J67">
        <v>1</v>
      </c>
      <c r="K67">
        <v>0</v>
      </c>
      <c r="L67">
        <v>0</v>
      </c>
      <c r="N67" t="s">
        <v>967</v>
      </c>
      <c r="O67" t="s">
        <v>27</v>
      </c>
      <c r="Q67">
        <v>3</v>
      </c>
      <c r="R67" t="b">
        <v>1</v>
      </c>
      <c r="S67" t="s">
        <v>119</v>
      </c>
      <c r="T67">
        <v>0</v>
      </c>
    </row>
    <row r="68" spans="1:20" x14ac:dyDescent="0.25">
      <c r="A68" t="s">
        <v>105</v>
      </c>
      <c r="B68">
        <v>5</v>
      </c>
      <c r="C68" t="s">
        <v>19</v>
      </c>
      <c r="D68">
        <v>40</v>
      </c>
      <c r="E68">
        <v>203</v>
      </c>
      <c r="F68">
        <v>160</v>
      </c>
      <c r="G68">
        <v>211</v>
      </c>
      <c r="H68" t="s">
        <v>102</v>
      </c>
      <c r="I68">
        <v>16</v>
      </c>
      <c r="J68">
        <v>0</v>
      </c>
      <c r="K68">
        <v>1</v>
      </c>
      <c r="L68">
        <v>0</v>
      </c>
      <c r="N68" t="s">
        <v>967</v>
      </c>
      <c r="O68" t="s">
        <v>27</v>
      </c>
      <c r="Q68">
        <v>2</v>
      </c>
      <c r="R68" t="b">
        <v>1</v>
      </c>
      <c r="S68" t="s">
        <v>119</v>
      </c>
      <c r="T68">
        <v>0</v>
      </c>
    </row>
    <row r="69" spans="1:20" x14ac:dyDescent="0.25">
      <c r="A69" t="s">
        <v>57</v>
      </c>
      <c r="B69">
        <v>5</v>
      </c>
      <c r="C69" t="s">
        <v>19</v>
      </c>
      <c r="D69">
        <v>40</v>
      </c>
      <c r="E69">
        <v>231</v>
      </c>
      <c r="F69">
        <v>160</v>
      </c>
      <c r="G69">
        <v>237</v>
      </c>
      <c r="H69" t="s">
        <v>102</v>
      </c>
      <c r="I69">
        <v>20</v>
      </c>
      <c r="J69">
        <v>1</v>
      </c>
      <c r="K69">
        <v>0</v>
      </c>
      <c r="L69">
        <v>0</v>
      </c>
      <c r="N69" t="s">
        <v>967</v>
      </c>
      <c r="O69" t="s">
        <v>27</v>
      </c>
      <c r="P69" t="s">
        <v>964</v>
      </c>
      <c r="Q69">
        <v>3</v>
      </c>
      <c r="R69" t="b">
        <v>1</v>
      </c>
      <c r="S69" t="s">
        <v>119</v>
      </c>
      <c r="T69">
        <v>0</v>
      </c>
    </row>
    <row r="70" spans="1:20" x14ac:dyDescent="0.25">
      <c r="A70" t="s">
        <v>972</v>
      </c>
      <c r="B70">
        <v>6</v>
      </c>
      <c r="C70" t="s">
        <v>26</v>
      </c>
      <c r="D70">
        <v>14</v>
      </c>
      <c r="E70">
        <v>45</v>
      </c>
      <c r="F70">
        <v>196</v>
      </c>
      <c r="G70">
        <v>244</v>
      </c>
      <c r="I70">
        <v>0</v>
      </c>
      <c r="J70">
        <v>0</v>
      </c>
      <c r="K70">
        <v>0</v>
      </c>
      <c r="L70">
        <v>0</v>
      </c>
      <c r="N70" t="s">
        <v>21</v>
      </c>
      <c r="O70" t="s">
        <v>25</v>
      </c>
      <c r="Q70">
        <v>1</v>
      </c>
      <c r="R70" t="b">
        <v>0</v>
      </c>
      <c r="S70" t="s">
        <v>119</v>
      </c>
      <c r="T70">
        <v>0</v>
      </c>
    </row>
    <row r="71" spans="1:20" x14ac:dyDescent="0.25">
      <c r="A71" t="s">
        <v>805</v>
      </c>
      <c r="B71">
        <v>6</v>
      </c>
      <c r="C71" t="s">
        <v>19</v>
      </c>
      <c r="D71">
        <v>20</v>
      </c>
      <c r="E71">
        <v>51</v>
      </c>
      <c r="F71">
        <v>194</v>
      </c>
      <c r="G71">
        <v>56</v>
      </c>
      <c r="H71" t="s">
        <v>102</v>
      </c>
      <c r="I71">
        <v>12</v>
      </c>
      <c r="J71">
        <v>1</v>
      </c>
      <c r="K71">
        <v>0</v>
      </c>
      <c r="L71">
        <v>0</v>
      </c>
      <c r="N71" t="s">
        <v>21</v>
      </c>
      <c r="O71" t="s">
        <v>25</v>
      </c>
      <c r="Q71">
        <v>2</v>
      </c>
      <c r="R71" t="b">
        <v>1</v>
      </c>
      <c r="S71" t="s">
        <v>119</v>
      </c>
      <c r="T71">
        <v>0</v>
      </c>
    </row>
    <row r="72" spans="1:20" x14ac:dyDescent="0.25">
      <c r="A72" t="s">
        <v>804</v>
      </c>
      <c r="B72">
        <v>6</v>
      </c>
      <c r="C72" t="s">
        <v>19</v>
      </c>
      <c r="D72">
        <v>20</v>
      </c>
      <c r="E72">
        <v>64</v>
      </c>
      <c r="F72">
        <v>194</v>
      </c>
      <c r="G72">
        <v>69</v>
      </c>
      <c r="H72" t="s">
        <v>102</v>
      </c>
      <c r="I72">
        <v>12</v>
      </c>
      <c r="J72">
        <v>0</v>
      </c>
      <c r="K72">
        <v>0</v>
      </c>
      <c r="L72">
        <v>0</v>
      </c>
      <c r="N72" t="s">
        <v>21</v>
      </c>
      <c r="O72" t="s">
        <v>25</v>
      </c>
      <c r="P72" s="1"/>
      <c r="Q72">
        <v>1</v>
      </c>
      <c r="R72" t="b">
        <v>1</v>
      </c>
      <c r="S72" t="s">
        <v>119</v>
      </c>
      <c r="T72">
        <v>0</v>
      </c>
    </row>
    <row r="73" spans="1:20" x14ac:dyDescent="0.25">
      <c r="A73" t="s">
        <v>1005</v>
      </c>
      <c r="B73">
        <v>6</v>
      </c>
      <c r="C73" t="s">
        <v>24</v>
      </c>
      <c r="D73">
        <v>14</v>
      </c>
      <c r="E73">
        <v>130</v>
      </c>
      <c r="F73">
        <v>196</v>
      </c>
      <c r="G73">
        <v>225</v>
      </c>
      <c r="I73">
        <v>0</v>
      </c>
      <c r="J73">
        <v>0</v>
      </c>
      <c r="K73">
        <v>0</v>
      </c>
      <c r="L73">
        <v>0</v>
      </c>
      <c r="N73" t="s">
        <v>21</v>
      </c>
      <c r="O73" t="s">
        <v>25</v>
      </c>
      <c r="P73" s="1" t="s">
        <v>1006</v>
      </c>
      <c r="Q73">
        <v>1</v>
      </c>
      <c r="R73" t="b">
        <v>1</v>
      </c>
      <c r="S73" t="s">
        <v>119</v>
      </c>
      <c r="T73">
        <v>0</v>
      </c>
    </row>
    <row r="74" spans="1:20" x14ac:dyDescent="0.25">
      <c r="A74" t="s">
        <v>81</v>
      </c>
      <c r="B74">
        <v>6</v>
      </c>
      <c r="C74" t="s">
        <v>19</v>
      </c>
      <c r="D74">
        <v>78</v>
      </c>
      <c r="E74">
        <v>223</v>
      </c>
      <c r="F74">
        <v>102</v>
      </c>
      <c r="G74">
        <v>226</v>
      </c>
      <c r="H74" t="s">
        <v>102</v>
      </c>
      <c r="I74">
        <v>8</v>
      </c>
      <c r="J74">
        <v>0</v>
      </c>
      <c r="K74">
        <v>0</v>
      </c>
      <c r="L74">
        <v>0</v>
      </c>
      <c r="M74" t="s">
        <v>884</v>
      </c>
      <c r="O74" t="s">
        <v>25</v>
      </c>
      <c r="Q74">
        <v>3</v>
      </c>
      <c r="R74" t="b">
        <v>1</v>
      </c>
      <c r="T74">
        <v>0</v>
      </c>
    </row>
    <row r="75" spans="1:20" x14ac:dyDescent="0.25">
      <c r="A75" t="s">
        <v>83</v>
      </c>
      <c r="B75">
        <v>6</v>
      </c>
      <c r="C75" t="s">
        <v>19</v>
      </c>
      <c r="D75">
        <v>114</v>
      </c>
      <c r="E75">
        <v>223</v>
      </c>
      <c r="F75">
        <v>129</v>
      </c>
      <c r="G75">
        <v>226</v>
      </c>
      <c r="H75" t="s">
        <v>102</v>
      </c>
      <c r="I75">
        <v>8</v>
      </c>
      <c r="J75">
        <v>0</v>
      </c>
      <c r="K75">
        <v>0</v>
      </c>
      <c r="L75">
        <v>0</v>
      </c>
      <c r="M75" t="s">
        <v>884</v>
      </c>
      <c r="O75" t="s">
        <v>22</v>
      </c>
      <c r="Q75">
        <v>3</v>
      </c>
      <c r="R75" t="b">
        <v>1</v>
      </c>
      <c r="T75">
        <v>0</v>
      </c>
    </row>
    <row r="76" spans="1:20" x14ac:dyDescent="0.25">
      <c r="A76" t="s">
        <v>614</v>
      </c>
      <c r="B76">
        <v>6</v>
      </c>
      <c r="C76" t="s">
        <v>19</v>
      </c>
      <c r="D76">
        <v>66</v>
      </c>
      <c r="E76">
        <v>228</v>
      </c>
      <c r="F76">
        <v>141</v>
      </c>
      <c r="G76">
        <v>231</v>
      </c>
      <c r="H76" t="s">
        <v>102</v>
      </c>
      <c r="I76">
        <v>8</v>
      </c>
      <c r="J76">
        <v>0</v>
      </c>
      <c r="K76">
        <v>1</v>
      </c>
      <c r="L76">
        <v>0</v>
      </c>
      <c r="M76" t="s">
        <v>884</v>
      </c>
      <c r="O76" t="s">
        <v>27</v>
      </c>
      <c r="Q76">
        <v>3</v>
      </c>
      <c r="R76" t="b">
        <v>1</v>
      </c>
      <c r="T76">
        <v>0</v>
      </c>
    </row>
    <row r="77" spans="1:20" x14ac:dyDescent="0.25">
      <c r="A77" t="s">
        <v>1026</v>
      </c>
      <c r="B77">
        <v>6</v>
      </c>
      <c r="C77" t="s">
        <v>26</v>
      </c>
      <c r="D77">
        <v>64</v>
      </c>
      <c r="E77">
        <v>214</v>
      </c>
      <c r="F77">
        <v>143</v>
      </c>
      <c r="G77">
        <v>236</v>
      </c>
      <c r="I77">
        <v>0</v>
      </c>
      <c r="J77">
        <v>0</v>
      </c>
      <c r="K77">
        <v>0</v>
      </c>
      <c r="L77">
        <v>0</v>
      </c>
      <c r="O77" t="s">
        <v>25</v>
      </c>
      <c r="Q77">
        <v>1</v>
      </c>
      <c r="R77" t="b">
        <v>0</v>
      </c>
      <c r="S77" t="s">
        <v>119</v>
      </c>
      <c r="T77">
        <v>0</v>
      </c>
    </row>
    <row r="78" spans="1:20" x14ac:dyDescent="0.25">
      <c r="A78" t="s">
        <v>777</v>
      </c>
      <c r="B78">
        <v>7</v>
      </c>
      <c r="C78" t="s">
        <v>19</v>
      </c>
      <c r="D78">
        <v>14</v>
      </c>
      <c r="E78">
        <v>20</v>
      </c>
      <c r="F78">
        <v>196</v>
      </c>
      <c r="G78">
        <v>25</v>
      </c>
      <c r="H78" t="s">
        <v>102</v>
      </c>
      <c r="I78">
        <v>14</v>
      </c>
      <c r="J78">
        <v>1</v>
      </c>
      <c r="K78">
        <v>0</v>
      </c>
      <c r="L78">
        <v>0</v>
      </c>
      <c r="N78" t="s">
        <v>21</v>
      </c>
      <c r="O78" t="s">
        <v>25</v>
      </c>
      <c r="Q78">
        <v>3</v>
      </c>
      <c r="R78" t="b">
        <v>1</v>
      </c>
      <c r="S78" t="s">
        <v>119</v>
      </c>
      <c r="T78">
        <v>0</v>
      </c>
    </row>
    <row r="79" spans="1:20" x14ac:dyDescent="0.25">
      <c r="A79" t="s">
        <v>917</v>
      </c>
      <c r="B79">
        <v>7</v>
      </c>
      <c r="C79" t="s">
        <v>19</v>
      </c>
      <c r="D79">
        <v>14</v>
      </c>
      <c r="E79">
        <v>33</v>
      </c>
      <c r="F79">
        <v>196</v>
      </c>
      <c r="G79">
        <v>38</v>
      </c>
      <c r="H79" t="s">
        <v>102</v>
      </c>
      <c r="I79">
        <v>12</v>
      </c>
      <c r="J79">
        <v>0</v>
      </c>
      <c r="K79">
        <v>0</v>
      </c>
      <c r="L79">
        <v>0</v>
      </c>
      <c r="N79" t="s">
        <v>21</v>
      </c>
      <c r="O79" t="s">
        <v>25</v>
      </c>
      <c r="Q79">
        <v>3</v>
      </c>
      <c r="R79" t="b">
        <v>1</v>
      </c>
      <c r="T79">
        <v>0</v>
      </c>
    </row>
    <row r="80" spans="1:20" x14ac:dyDescent="0.25">
      <c r="A80" t="s">
        <v>769</v>
      </c>
      <c r="B80">
        <v>7</v>
      </c>
      <c r="C80" t="s">
        <v>26</v>
      </c>
      <c r="D80">
        <v>0</v>
      </c>
      <c r="E80">
        <v>85</v>
      </c>
      <c r="F80">
        <v>210</v>
      </c>
      <c r="G80">
        <v>198</v>
      </c>
      <c r="I80">
        <v>0</v>
      </c>
      <c r="J80">
        <v>1</v>
      </c>
      <c r="K80">
        <v>0</v>
      </c>
      <c r="L80">
        <v>0</v>
      </c>
      <c r="M80" t="s">
        <v>918</v>
      </c>
      <c r="N80" t="s">
        <v>918</v>
      </c>
      <c r="O80" t="s">
        <v>25</v>
      </c>
      <c r="Q80">
        <v>1</v>
      </c>
      <c r="R80" t="b">
        <v>0</v>
      </c>
      <c r="S80" t="s">
        <v>119</v>
      </c>
      <c r="T80">
        <v>0</v>
      </c>
    </row>
    <row r="81" spans="1:20" x14ac:dyDescent="0.25">
      <c r="A81" t="s">
        <v>770</v>
      </c>
      <c r="B81">
        <v>7</v>
      </c>
      <c r="C81" t="s">
        <v>19</v>
      </c>
      <c r="D81">
        <v>14</v>
      </c>
      <c r="E81">
        <v>90</v>
      </c>
      <c r="F81">
        <v>196</v>
      </c>
      <c r="G81">
        <v>93</v>
      </c>
      <c r="H81" t="s">
        <v>102</v>
      </c>
      <c r="I81">
        <v>12</v>
      </c>
      <c r="J81">
        <v>1</v>
      </c>
      <c r="K81">
        <v>0</v>
      </c>
      <c r="L81">
        <v>0</v>
      </c>
      <c r="N81" t="s">
        <v>918</v>
      </c>
      <c r="O81" t="s">
        <v>25</v>
      </c>
      <c r="Q81">
        <v>3</v>
      </c>
      <c r="R81" t="b">
        <v>0</v>
      </c>
      <c r="S81" t="s">
        <v>119</v>
      </c>
      <c r="T81">
        <v>0</v>
      </c>
    </row>
    <row r="82" spans="1:20" x14ac:dyDescent="0.25">
      <c r="A82" t="s">
        <v>774</v>
      </c>
      <c r="B82">
        <v>7</v>
      </c>
      <c r="C82" t="s">
        <v>19</v>
      </c>
      <c r="D82">
        <v>113</v>
      </c>
      <c r="E82">
        <v>87</v>
      </c>
      <c r="F82">
        <v>140</v>
      </c>
      <c r="G82">
        <v>92</v>
      </c>
      <c r="H82" t="s">
        <v>102</v>
      </c>
      <c r="I82">
        <v>10</v>
      </c>
      <c r="J82">
        <v>1</v>
      </c>
      <c r="K82">
        <v>0</v>
      </c>
      <c r="L82">
        <v>0</v>
      </c>
      <c r="N82" t="s">
        <v>918</v>
      </c>
      <c r="O82" t="s">
        <v>27</v>
      </c>
      <c r="Q82">
        <v>3</v>
      </c>
      <c r="R82" t="b">
        <v>1</v>
      </c>
      <c r="S82" t="s">
        <v>119</v>
      </c>
      <c r="T82">
        <v>0</v>
      </c>
    </row>
    <row r="83" spans="1:20" x14ac:dyDescent="0.25">
      <c r="A83" t="s">
        <v>775</v>
      </c>
      <c r="B83">
        <v>7</v>
      </c>
      <c r="C83" t="s">
        <v>19</v>
      </c>
      <c r="D83">
        <v>140</v>
      </c>
      <c r="E83">
        <v>87</v>
      </c>
      <c r="F83">
        <v>169</v>
      </c>
      <c r="G83">
        <v>92</v>
      </c>
      <c r="H83" t="s">
        <v>102</v>
      </c>
      <c r="I83">
        <v>10</v>
      </c>
      <c r="J83">
        <v>1</v>
      </c>
      <c r="K83">
        <v>0</v>
      </c>
      <c r="L83">
        <v>0</v>
      </c>
      <c r="N83" t="s">
        <v>918</v>
      </c>
      <c r="O83" t="s">
        <v>27</v>
      </c>
      <c r="Q83">
        <v>3</v>
      </c>
      <c r="R83" t="b">
        <v>1</v>
      </c>
      <c r="S83" t="s">
        <v>119</v>
      </c>
      <c r="T83">
        <v>0</v>
      </c>
    </row>
    <row r="84" spans="1:20" x14ac:dyDescent="0.25">
      <c r="A84" t="s">
        <v>776</v>
      </c>
      <c r="B84">
        <v>7</v>
      </c>
      <c r="C84" t="s">
        <v>19</v>
      </c>
      <c r="D84">
        <v>168</v>
      </c>
      <c r="E84">
        <v>87</v>
      </c>
      <c r="F84">
        <v>194</v>
      </c>
      <c r="G84">
        <v>92</v>
      </c>
      <c r="H84" t="s">
        <v>102</v>
      </c>
      <c r="I84">
        <v>10</v>
      </c>
      <c r="J84">
        <v>1</v>
      </c>
      <c r="K84">
        <v>0</v>
      </c>
      <c r="L84">
        <v>0</v>
      </c>
      <c r="N84" t="s">
        <v>918</v>
      </c>
      <c r="O84" t="s">
        <v>27</v>
      </c>
      <c r="Q84">
        <v>3</v>
      </c>
      <c r="R84" t="b">
        <v>1</v>
      </c>
      <c r="S84" t="s">
        <v>119</v>
      </c>
      <c r="T84">
        <v>0</v>
      </c>
    </row>
    <row r="85" spans="1:20" x14ac:dyDescent="0.25">
      <c r="A85" t="s">
        <v>44</v>
      </c>
      <c r="B85">
        <v>7</v>
      </c>
      <c r="C85" t="s">
        <v>25</v>
      </c>
      <c r="D85">
        <v>114</v>
      </c>
      <c r="E85">
        <v>85</v>
      </c>
      <c r="F85">
        <v>114</v>
      </c>
      <c r="G85">
        <v>198</v>
      </c>
      <c r="I85">
        <v>0.5</v>
      </c>
      <c r="J85">
        <v>0</v>
      </c>
      <c r="K85">
        <v>0</v>
      </c>
      <c r="L85">
        <v>0</v>
      </c>
      <c r="M85" t="s">
        <v>21</v>
      </c>
      <c r="N85" t="s">
        <v>918</v>
      </c>
      <c r="O85" t="s">
        <v>25</v>
      </c>
      <c r="Q85">
        <v>4</v>
      </c>
      <c r="R85" t="b">
        <v>0</v>
      </c>
      <c r="S85" t="s">
        <v>119</v>
      </c>
      <c r="T85">
        <v>0</v>
      </c>
    </row>
    <row r="86" spans="1:20" x14ac:dyDescent="0.25">
      <c r="A86" t="s">
        <v>45</v>
      </c>
      <c r="B86">
        <v>7</v>
      </c>
      <c r="C86" t="s">
        <v>25</v>
      </c>
      <c r="D86">
        <v>141</v>
      </c>
      <c r="E86">
        <v>85</v>
      </c>
      <c r="F86">
        <v>141</v>
      </c>
      <c r="G86">
        <v>198</v>
      </c>
      <c r="I86">
        <v>0.5</v>
      </c>
      <c r="J86">
        <v>0</v>
      </c>
      <c r="K86">
        <v>0</v>
      </c>
      <c r="L86">
        <v>0</v>
      </c>
      <c r="M86" t="s">
        <v>21</v>
      </c>
      <c r="N86" t="s">
        <v>918</v>
      </c>
      <c r="O86" t="s">
        <v>25</v>
      </c>
      <c r="Q86">
        <v>4</v>
      </c>
      <c r="R86" t="b">
        <v>0</v>
      </c>
      <c r="S86" t="s">
        <v>119</v>
      </c>
      <c r="T86">
        <v>0</v>
      </c>
    </row>
    <row r="87" spans="1:20" x14ac:dyDescent="0.25">
      <c r="A87" t="s">
        <v>46</v>
      </c>
      <c r="B87">
        <v>7</v>
      </c>
      <c r="C87" t="s">
        <v>25</v>
      </c>
      <c r="D87">
        <v>168</v>
      </c>
      <c r="E87">
        <v>85</v>
      </c>
      <c r="F87">
        <v>168</v>
      </c>
      <c r="G87">
        <v>198</v>
      </c>
      <c r="I87">
        <v>0.5</v>
      </c>
      <c r="J87">
        <v>0</v>
      </c>
      <c r="K87">
        <v>0</v>
      </c>
      <c r="L87">
        <v>0</v>
      </c>
      <c r="M87" t="s">
        <v>21</v>
      </c>
      <c r="N87" t="s">
        <v>918</v>
      </c>
      <c r="O87" t="s">
        <v>25</v>
      </c>
      <c r="Q87">
        <v>4</v>
      </c>
      <c r="R87" t="b">
        <v>0</v>
      </c>
      <c r="S87" t="s">
        <v>119</v>
      </c>
      <c r="T87">
        <v>0</v>
      </c>
    </row>
    <row r="88" spans="1:20" x14ac:dyDescent="0.25">
      <c r="A88" t="s">
        <v>55</v>
      </c>
      <c r="B88">
        <v>7</v>
      </c>
      <c r="C88" t="s">
        <v>25</v>
      </c>
      <c r="D88">
        <v>14</v>
      </c>
      <c r="E88">
        <v>112</v>
      </c>
      <c r="F88">
        <v>196</v>
      </c>
      <c r="G88">
        <v>112</v>
      </c>
      <c r="I88">
        <v>0.5</v>
      </c>
      <c r="J88">
        <v>0</v>
      </c>
      <c r="K88">
        <v>0</v>
      </c>
      <c r="L88">
        <v>0</v>
      </c>
      <c r="M88" t="s">
        <v>21</v>
      </c>
      <c r="N88" t="s">
        <v>918</v>
      </c>
      <c r="O88" t="s">
        <v>25</v>
      </c>
      <c r="Q88">
        <v>4</v>
      </c>
      <c r="R88" t="b">
        <v>0</v>
      </c>
      <c r="S88" t="s">
        <v>119</v>
      </c>
      <c r="T88">
        <v>0</v>
      </c>
    </row>
    <row r="89" spans="1:20" x14ac:dyDescent="0.25">
      <c r="A89" t="s">
        <v>920</v>
      </c>
      <c r="B89">
        <v>7</v>
      </c>
      <c r="C89" t="s">
        <v>19</v>
      </c>
      <c r="D89">
        <v>114</v>
      </c>
      <c r="E89">
        <v>200</v>
      </c>
      <c r="F89">
        <v>196</v>
      </c>
      <c r="G89">
        <v>204</v>
      </c>
      <c r="H89" t="s">
        <v>102</v>
      </c>
      <c r="I89">
        <v>10</v>
      </c>
      <c r="J89">
        <v>0</v>
      </c>
      <c r="K89">
        <v>0</v>
      </c>
      <c r="L89">
        <v>0</v>
      </c>
      <c r="N89" t="s">
        <v>21</v>
      </c>
      <c r="O89" t="s">
        <v>22</v>
      </c>
      <c r="Q89">
        <v>2</v>
      </c>
      <c r="R89" t="b">
        <v>0</v>
      </c>
      <c r="S89" t="s">
        <v>119</v>
      </c>
      <c r="T89">
        <v>0</v>
      </c>
    </row>
    <row r="90" spans="1:20" x14ac:dyDescent="0.25">
      <c r="A90" t="s">
        <v>729</v>
      </c>
      <c r="B90">
        <v>7</v>
      </c>
      <c r="C90" t="s">
        <v>19</v>
      </c>
      <c r="D90">
        <v>14</v>
      </c>
      <c r="E90">
        <v>114</v>
      </c>
      <c r="F90">
        <v>112</v>
      </c>
      <c r="G90">
        <v>119</v>
      </c>
      <c r="H90" t="s">
        <v>102</v>
      </c>
      <c r="I90">
        <v>12</v>
      </c>
      <c r="J90">
        <v>0</v>
      </c>
      <c r="K90">
        <v>0</v>
      </c>
      <c r="L90">
        <v>0</v>
      </c>
      <c r="N90" t="s">
        <v>918</v>
      </c>
      <c r="O90" t="s">
        <v>25</v>
      </c>
      <c r="Q90">
        <v>3</v>
      </c>
      <c r="R90" t="b">
        <v>1</v>
      </c>
      <c r="S90" t="s">
        <v>119</v>
      </c>
      <c r="T90">
        <v>0</v>
      </c>
    </row>
    <row r="91" spans="1:20" x14ac:dyDescent="0.25">
      <c r="A91" t="s">
        <v>730</v>
      </c>
      <c r="B91">
        <v>7</v>
      </c>
      <c r="C91" t="s">
        <v>19</v>
      </c>
      <c r="D91">
        <v>113</v>
      </c>
      <c r="E91">
        <v>115</v>
      </c>
      <c r="F91">
        <v>140</v>
      </c>
      <c r="G91">
        <v>118</v>
      </c>
      <c r="H91" t="s">
        <v>20</v>
      </c>
      <c r="I91">
        <v>16</v>
      </c>
      <c r="J91">
        <v>1</v>
      </c>
      <c r="K91">
        <v>0</v>
      </c>
      <c r="L91">
        <v>0</v>
      </c>
      <c r="N91" t="s">
        <v>918</v>
      </c>
      <c r="O91" t="s">
        <v>27</v>
      </c>
      <c r="Q91">
        <v>2</v>
      </c>
      <c r="R91" t="b">
        <v>0</v>
      </c>
      <c r="S91" t="s">
        <v>119</v>
      </c>
      <c r="T91">
        <v>0</v>
      </c>
    </row>
    <row r="92" spans="1:20" x14ac:dyDescent="0.25">
      <c r="A92" t="s">
        <v>731</v>
      </c>
      <c r="B92">
        <v>7</v>
      </c>
      <c r="C92" t="s">
        <v>19</v>
      </c>
      <c r="D92">
        <v>140</v>
      </c>
      <c r="E92">
        <v>115</v>
      </c>
      <c r="F92">
        <v>169</v>
      </c>
      <c r="G92">
        <v>118</v>
      </c>
      <c r="H92" t="s">
        <v>20</v>
      </c>
      <c r="I92">
        <v>16</v>
      </c>
      <c r="J92">
        <v>1</v>
      </c>
      <c r="K92">
        <v>0</v>
      </c>
      <c r="L92">
        <v>0</v>
      </c>
      <c r="N92" t="s">
        <v>918</v>
      </c>
      <c r="O92" t="s">
        <v>27</v>
      </c>
      <c r="Q92">
        <v>2</v>
      </c>
      <c r="R92" t="b">
        <v>0</v>
      </c>
      <c r="S92" t="s">
        <v>119</v>
      </c>
      <c r="T92">
        <v>0</v>
      </c>
    </row>
    <row r="93" spans="1:20" x14ac:dyDescent="0.25">
      <c r="A93" t="s">
        <v>732</v>
      </c>
      <c r="B93">
        <v>7</v>
      </c>
      <c r="C93" t="s">
        <v>19</v>
      </c>
      <c r="D93">
        <v>168</v>
      </c>
      <c r="E93">
        <v>115</v>
      </c>
      <c r="F93">
        <v>194</v>
      </c>
      <c r="G93">
        <v>118</v>
      </c>
      <c r="H93" t="s">
        <v>20</v>
      </c>
      <c r="I93">
        <v>16</v>
      </c>
      <c r="J93">
        <v>1</v>
      </c>
      <c r="K93">
        <v>0</v>
      </c>
      <c r="L93">
        <v>0</v>
      </c>
      <c r="N93" t="s">
        <v>918</v>
      </c>
      <c r="O93" t="s">
        <v>27</v>
      </c>
      <c r="Q93">
        <v>2</v>
      </c>
      <c r="R93" t="b">
        <v>0</v>
      </c>
      <c r="S93" t="s">
        <v>119</v>
      </c>
      <c r="T93">
        <v>0</v>
      </c>
    </row>
    <row r="94" spans="1:20" x14ac:dyDescent="0.25">
      <c r="A94" t="s">
        <v>733</v>
      </c>
      <c r="B94">
        <v>7</v>
      </c>
      <c r="C94" t="s">
        <v>19</v>
      </c>
      <c r="D94">
        <v>14</v>
      </c>
      <c r="E94">
        <v>130</v>
      </c>
      <c r="F94">
        <v>112</v>
      </c>
      <c r="G94">
        <v>135</v>
      </c>
      <c r="H94" t="s">
        <v>102</v>
      </c>
      <c r="I94">
        <v>12</v>
      </c>
      <c r="J94">
        <v>0</v>
      </c>
      <c r="K94">
        <v>0</v>
      </c>
      <c r="L94">
        <v>0</v>
      </c>
      <c r="N94" t="s">
        <v>918</v>
      </c>
      <c r="O94" t="s">
        <v>25</v>
      </c>
      <c r="Q94">
        <v>3</v>
      </c>
      <c r="R94" t="b">
        <v>1</v>
      </c>
      <c r="S94" t="s">
        <v>119</v>
      </c>
      <c r="T94">
        <v>0</v>
      </c>
    </row>
    <row r="95" spans="1:20" x14ac:dyDescent="0.25">
      <c r="A95" t="s">
        <v>734</v>
      </c>
      <c r="B95">
        <v>7</v>
      </c>
      <c r="C95" t="s">
        <v>19</v>
      </c>
      <c r="D95">
        <v>113</v>
      </c>
      <c r="E95">
        <v>131</v>
      </c>
      <c r="F95">
        <v>140</v>
      </c>
      <c r="G95">
        <v>134</v>
      </c>
      <c r="H95" t="s">
        <v>20</v>
      </c>
      <c r="I95">
        <v>16</v>
      </c>
      <c r="J95">
        <v>1</v>
      </c>
      <c r="K95">
        <v>0</v>
      </c>
      <c r="L95">
        <v>0</v>
      </c>
      <c r="N95" t="s">
        <v>918</v>
      </c>
      <c r="O95" t="s">
        <v>27</v>
      </c>
      <c r="Q95">
        <v>2</v>
      </c>
      <c r="R95" t="b">
        <v>0</v>
      </c>
      <c r="S95" t="s">
        <v>119</v>
      </c>
      <c r="T95">
        <v>0</v>
      </c>
    </row>
    <row r="96" spans="1:20" x14ac:dyDescent="0.25">
      <c r="A96" t="s">
        <v>735</v>
      </c>
      <c r="B96">
        <v>7</v>
      </c>
      <c r="C96" t="s">
        <v>19</v>
      </c>
      <c r="D96">
        <v>140</v>
      </c>
      <c r="E96">
        <v>131</v>
      </c>
      <c r="F96">
        <v>169</v>
      </c>
      <c r="G96">
        <v>134</v>
      </c>
      <c r="H96" t="s">
        <v>20</v>
      </c>
      <c r="I96">
        <v>16</v>
      </c>
      <c r="J96">
        <v>1</v>
      </c>
      <c r="K96">
        <v>0</v>
      </c>
      <c r="L96">
        <v>0</v>
      </c>
      <c r="N96" t="s">
        <v>918</v>
      </c>
      <c r="O96" t="s">
        <v>27</v>
      </c>
      <c r="Q96">
        <v>2</v>
      </c>
      <c r="R96" t="b">
        <v>0</v>
      </c>
      <c r="S96" t="s">
        <v>119</v>
      </c>
      <c r="T96">
        <v>0</v>
      </c>
    </row>
    <row r="97" spans="1:20" x14ac:dyDescent="0.25">
      <c r="A97" t="s">
        <v>736</v>
      </c>
      <c r="B97">
        <v>7</v>
      </c>
      <c r="C97" t="s">
        <v>19</v>
      </c>
      <c r="D97">
        <v>168</v>
      </c>
      <c r="E97">
        <v>131</v>
      </c>
      <c r="F97">
        <v>194</v>
      </c>
      <c r="G97">
        <v>134</v>
      </c>
      <c r="H97" t="s">
        <v>20</v>
      </c>
      <c r="I97">
        <v>16</v>
      </c>
      <c r="J97">
        <v>1</v>
      </c>
      <c r="K97">
        <v>0</v>
      </c>
      <c r="L97">
        <v>0</v>
      </c>
      <c r="N97" t="s">
        <v>918</v>
      </c>
      <c r="O97" t="s">
        <v>27</v>
      </c>
      <c r="Q97">
        <v>2</v>
      </c>
      <c r="R97" t="b">
        <v>0</v>
      </c>
      <c r="S97" t="s">
        <v>119</v>
      </c>
      <c r="T97">
        <v>0</v>
      </c>
    </row>
    <row r="98" spans="1:20" x14ac:dyDescent="0.25">
      <c r="A98" t="s">
        <v>737</v>
      </c>
      <c r="B98">
        <v>7</v>
      </c>
      <c r="C98" t="s">
        <v>19</v>
      </c>
      <c r="D98">
        <v>14</v>
      </c>
      <c r="E98">
        <v>146</v>
      </c>
      <c r="F98">
        <v>112</v>
      </c>
      <c r="G98">
        <v>151</v>
      </c>
      <c r="H98" t="s">
        <v>102</v>
      </c>
      <c r="I98">
        <v>12</v>
      </c>
      <c r="J98">
        <v>0</v>
      </c>
      <c r="K98">
        <v>0</v>
      </c>
      <c r="L98">
        <v>0</v>
      </c>
      <c r="N98" t="s">
        <v>918</v>
      </c>
      <c r="O98" t="s">
        <v>25</v>
      </c>
      <c r="Q98">
        <v>3</v>
      </c>
      <c r="R98" t="b">
        <v>1</v>
      </c>
      <c r="S98" t="s">
        <v>119</v>
      </c>
      <c r="T98">
        <v>0</v>
      </c>
    </row>
    <row r="99" spans="1:20" x14ac:dyDescent="0.25">
      <c r="A99" t="s">
        <v>738</v>
      </c>
      <c r="B99">
        <v>7</v>
      </c>
      <c r="C99" t="s">
        <v>19</v>
      </c>
      <c r="D99">
        <v>113</v>
      </c>
      <c r="E99">
        <v>147</v>
      </c>
      <c r="F99">
        <v>140</v>
      </c>
      <c r="G99">
        <v>150</v>
      </c>
      <c r="H99" t="s">
        <v>20</v>
      </c>
      <c r="I99">
        <v>16</v>
      </c>
      <c r="J99">
        <v>1</v>
      </c>
      <c r="K99">
        <v>0</v>
      </c>
      <c r="L99">
        <v>0</v>
      </c>
      <c r="N99" t="s">
        <v>918</v>
      </c>
      <c r="O99" t="s">
        <v>27</v>
      </c>
      <c r="Q99">
        <v>2</v>
      </c>
      <c r="R99" t="b">
        <v>0</v>
      </c>
      <c r="S99" t="s">
        <v>119</v>
      </c>
      <c r="T99">
        <v>0</v>
      </c>
    </row>
    <row r="100" spans="1:20" x14ac:dyDescent="0.25">
      <c r="A100" t="s">
        <v>739</v>
      </c>
      <c r="B100">
        <v>7</v>
      </c>
      <c r="C100" t="s">
        <v>19</v>
      </c>
      <c r="D100">
        <v>140</v>
      </c>
      <c r="E100">
        <v>147</v>
      </c>
      <c r="F100">
        <v>169</v>
      </c>
      <c r="G100">
        <v>150</v>
      </c>
      <c r="H100" t="s">
        <v>20</v>
      </c>
      <c r="I100">
        <v>16</v>
      </c>
      <c r="J100">
        <v>1</v>
      </c>
      <c r="K100">
        <v>0</v>
      </c>
      <c r="L100">
        <v>0</v>
      </c>
      <c r="N100" t="s">
        <v>918</v>
      </c>
      <c r="O100" t="s">
        <v>27</v>
      </c>
      <c r="Q100">
        <v>2</v>
      </c>
      <c r="R100" t="b">
        <v>0</v>
      </c>
      <c r="S100" t="s">
        <v>119</v>
      </c>
      <c r="T100">
        <v>0</v>
      </c>
    </row>
    <row r="101" spans="1:20" x14ac:dyDescent="0.25">
      <c r="A101" t="s">
        <v>740</v>
      </c>
      <c r="B101">
        <v>7</v>
      </c>
      <c r="C101" t="s">
        <v>19</v>
      </c>
      <c r="D101">
        <v>168</v>
      </c>
      <c r="E101">
        <v>147</v>
      </c>
      <c r="F101">
        <v>194</v>
      </c>
      <c r="G101">
        <v>150</v>
      </c>
      <c r="H101" t="s">
        <v>20</v>
      </c>
      <c r="I101">
        <v>16</v>
      </c>
      <c r="J101">
        <v>1</v>
      </c>
      <c r="K101">
        <v>0</v>
      </c>
      <c r="L101">
        <v>0</v>
      </c>
      <c r="N101" t="s">
        <v>918</v>
      </c>
      <c r="O101" t="s">
        <v>27</v>
      </c>
      <c r="Q101">
        <v>2</v>
      </c>
      <c r="R101" t="b">
        <v>0</v>
      </c>
      <c r="S101" t="s">
        <v>119</v>
      </c>
      <c r="T101">
        <v>0</v>
      </c>
    </row>
    <row r="102" spans="1:20" x14ac:dyDescent="0.25">
      <c r="A102" t="s">
        <v>741</v>
      </c>
      <c r="B102">
        <v>7</v>
      </c>
      <c r="C102" t="s">
        <v>19</v>
      </c>
      <c r="D102">
        <v>14</v>
      </c>
      <c r="E102">
        <v>162</v>
      </c>
      <c r="F102">
        <v>112</v>
      </c>
      <c r="G102">
        <v>167</v>
      </c>
      <c r="H102" t="s">
        <v>102</v>
      </c>
      <c r="I102">
        <v>12</v>
      </c>
      <c r="J102">
        <v>0</v>
      </c>
      <c r="K102">
        <v>0</v>
      </c>
      <c r="L102">
        <v>0</v>
      </c>
      <c r="N102" t="s">
        <v>918</v>
      </c>
      <c r="O102" t="s">
        <v>25</v>
      </c>
      <c r="Q102">
        <v>3</v>
      </c>
      <c r="R102" t="b">
        <v>1</v>
      </c>
      <c r="S102" t="s">
        <v>119</v>
      </c>
      <c r="T102">
        <v>0</v>
      </c>
    </row>
    <row r="103" spans="1:20" x14ac:dyDescent="0.25">
      <c r="A103" t="s">
        <v>742</v>
      </c>
      <c r="B103">
        <v>7</v>
      </c>
      <c r="C103" t="s">
        <v>19</v>
      </c>
      <c r="D103">
        <v>113</v>
      </c>
      <c r="E103">
        <v>163</v>
      </c>
      <c r="F103">
        <v>140</v>
      </c>
      <c r="G103">
        <v>166</v>
      </c>
      <c r="H103" t="s">
        <v>20</v>
      </c>
      <c r="I103">
        <v>16</v>
      </c>
      <c r="J103">
        <v>1</v>
      </c>
      <c r="K103">
        <v>0</v>
      </c>
      <c r="L103">
        <v>0</v>
      </c>
      <c r="N103" t="s">
        <v>918</v>
      </c>
      <c r="O103" t="s">
        <v>27</v>
      </c>
      <c r="Q103">
        <v>2</v>
      </c>
      <c r="R103" t="b">
        <v>0</v>
      </c>
      <c r="S103" t="s">
        <v>119</v>
      </c>
      <c r="T103">
        <v>0</v>
      </c>
    </row>
    <row r="104" spans="1:20" x14ac:dyDescent="0.25">
      <c r="A104" t="s">
        <v>743</v>
      </c>
      <c r="B104">
        <v>7</v>
      </c>
      <c r="C104" t="s">
        <v>19</v>
      </c>
      <c r="D104">
        <v>140</v>
      </c>
      <c r="E104">
        <v>163</v>
      </c>
      <c r="F104">
        <v>169</v>
      </c>
      <c r="G104">
        <v>166</v>
      </c>
      <c r="H104" t="s">
        <v>20</v>
      </c>
      <c r="I104">
        <v>16</v>
      </c>
      <c r="J104">
        <v>1</v>
      </c>
      <c r="K104">
        <v>0</v>
      </c>
      <c r="L104">
        <v>0</v>
      </c>
      <c r="N104" t="s">
        <v>918</v>
      </c>
      <c r="O104" t="s">
        <v>27</v>
      </c>
      <c r="Q104">
        <v>2</v>
      </c>
      <c r="R104" t="b">
        <v>0</v>
      </c>
      <c r="S104" t="s">
        <v>119</v>
      </c>
      <c r="T104">
        <v>0</v>
      </c>
    </row>
    <row r="105" spans="1:20" x14ac:dyDescent="0.25">
      <c r="A105" t="s">
        <v>744</v>
      </c>
      <c r="B105">
        <v>7</v>
      </c>
      <c r="C105" t="s">
        <v>19</v>
      </c>
      <c r="D105">
        <v>168</v>
      </c>
      <c r="E105">
        <v>163</v>
      </c>
      <c r="F105">
        <v>194</v>
      </c>
      <c r="G105">
        <v>166</v>
      </c>
      <c r="H105" t="s">
        <v>20</v>
      </c>
      <c r="I105">
        <v>16</v>
      </c>
      <c r="J105">
        <v>1</v>
      </c>
      <c r="K105">
        <v>0</v>
      </c>
      <c r="L105">
        <v>0</v>
      </c>
      <c r="N105" t="s">
        <v>918</v>
      </c>
      <c r="O105" t="s">
        <v>27</v>
      </c>
      <c r="Q105">
        <v>2</v>
      </c>
      <c r="R105" t="b">
        <v>0</v>
      </c>
      <c r="S105" t="s">
        <v>119</v>
      </c>
      <c r="T105">
        <v>0</v>
      </c>
    </row>
    <row r="106" spans="1:20" x14ac:dyDescent="0.25">
      <c r="A106" t="s">
        <v>745</v>
      </c>
      <c r="B106">
        <v>7</v>
      </c>
      <c r="C106" t="s">
        <v>19</v>
      </c>
      <c r="D106">
        <v>14</v>
      </c>
      <c r="E106">
        <v>178</v>
      </c>
      <c r="F106">
        <v>112</v>
      </c>
      <c r="G106">
        <v>183</v>
      </c>
      <c r="H106" t="s">
        <v>102</v>
      </c>
      <c r="I106">
        <v>12</v>
      </c>
      <c r="J106">
        <v>0</v>
      </c>
      <c r="K106">
        <v>0</v>
      </c>
      <c r="L106">
        <v>0</v>
      </c>
      <c r="N106" t="s">
        <v>918</v>
      </c>
      <c r="O106" t="s">
        <v>25</v>
      </c>
      <c r="Q106">
        <v>3</v>
      </c>
      <c r="R106" t="b">
        <v>1</v>
      </c>
      <c r="S106" t="s">
        <v>119</v>
      </c>
      <c r="T106">
        <v>0</v>
      </c>
    </row>
    <row r="107" spans="1:20" x14ac:dyDescent="0.25">
      <c r="A107" t="s">
        <v>746</v>
      </c>
      <c r="B107">
        <v>7</v>
      </c>
      <c r="C107" t="s">
        <v>19</v>
      </c>
      <c r="D107">
        <v>113</v>
      </c>
      <c r="E107">
        <v>179</v>
      </c>
      <c r="F107">
        <v>140</v>
      </c>
      <c r="G107">
        <v>182</v>
      </c>
      <c r="H107" t="s">
        <v>20</v>
      </c>
      <c r="I107">
        <v>16</v>
      </c>
      <c r="J107">
        <v>1</v>
      </c>
      <c r="K107">
        <v>0</v>
      </c>
      <c r="L107">
        <v>0</v>
      </c>
      <c r="N107" t="s">
        <v>918</v>
      </c>
      <c r="O107" t="s">
        <v>27</v>
      </c>
      <c r="Q107">
        <v>2</v>
      </c>
      <c r="R107" t="b">
        <v>0</v>
      </c>
      <c r="S107" t="s">
        <v>119</v>
      </c>
      <c r="T107">
        <v>0</v>
      </c>
    </row>
    <row r="108" spans="1:20" x14ac:dyDescent="0.25">
      <c r="A108" t="s">
        <v>747</v>
      </c>
      <c r="B108">
        <v>7</v>
      </c>
      <c r="C108" t="s">
        <v>19</v>
      </c>
      <c r="D108">
        <v>140</v>
      </c>
      <c r="E108">
        <v>179</v>
      </c>
      <c r="F108">
        <v>169</v>
      </c>
      <c r="G108">
        <v>182</v>
      </c>
      <c r="H108" t="s">
        <v>20</v>
      </c>
      <c r="I108">
        <v>16</v>
      </c>
      <c r="J108">
        <v>1</v>
      </c>
      <c r="K108">
        <v>0</v>
      </c>
      <c r="L108">
        <v>0</v>
      </c>
      <c r="N108" t="s">
        <v>918</v>
      </c>
      <c r="O108" t="s">
        <v>27</v>
      </c>
      <c r="Q108">
        <v>2</v>
      </c>
      <c r="R108" t="b">
        <v>0</v>
      </c>
      <c r="S108" t="s">
        <v>119</v>
      </c>
      <c r="T108">
        <v>0</v>
      </c>
    </row>
    <row r="109" spans="1:20" x14ac:dyDescent="0.25">
      <c r="A109" t="s">
        <v>748</v>
      </c>
      <c r="B109">
        <v>7</v>
      </c>
      <c r="C109" t="s">
        <v>19</v>
      </c>
      <c r="D109">
        <v>168</v>
      </c>
      <c r="E109">
        <v>179</v>
      </c>
      <c r="F109">
        <v>194</v>
      </c>
      <c r="G109">
        <v>182</v>
      </c>
      <c r="H109" t="s">
        <v>20</v>
      </c>
      <c r="I109">
        <v>16</v>
      </c>
      <c r="J109">
        <v>1</v>
      </c>
      <c r="K109">
        <v>0</v>
      </c>
      <c r="L109">
        <v>0</v>
      </c>
      <c r="N109" t="s">
        <v>918</v>
      </c>
      <c r="O109" t="s">
        <v>27</v>
      </c>
      <c r="Q109">
        <v>2</v>
      </c>
      <c r="R109" t="b">
        <v>0</v>
      </c>
      <c r="S109" t="s">
        <v>119</v>
      </c>
      <c r="T109">
        <v>0</v>
      </c>
    </row>
    <row r="110" spans="1:20" x14ac:dyDescent="0.25">
      <c r="A110" t="s">
        <v>827</v>
      </c>
      <c r="B110">
        <v>-999</v>
      </c>
      <c r="C110" t="s">
        <v>19</v>
      </c>
      <c r="D110">
        <v>127</v>
      </c>
      <c r="E110">
        <v>13</v>
      </c>
      <c r="F110">
        <v>205</v>
      </c>
      <c r="G110">
        <v>18</v>
      </c>
      <c r="H110" t="s">
        <v>102</v>
      </c>
      <c r="I110">
        <v>14</v>
      </c>
      <c r="J110">
        <v>1</v>
      </c>
      <c r="K110">
        <v>0</v>
      </c>
      <c r="L110">
        <v>0</v>
      </c>
      <c r="N110" t="s">
        <v>21</v>
      </c>
      <c r="O110" t="s">
        <v>25</v>
      </c>
      <c r="Q110">
        <v>2</v>
      </c>
      <c r="R110" t="b">
        <v>1</v>
      </c>
      <c r="S110" t="s">
        <v>119</v>
      </c>
      <c r="T110">
        <v>0</v>
      </c>
    </row>
    <row r="111" spans="1:20" x14ac:dyDescent="0.25">
      <c r="A111" t="s">
        <v>32</v>
      </c>
      <c r="B111">
        <v>7</v>
      </c>
      <c r="C111" t="s">
        <v>19</v>
      </c>
      <c r="D111">
        <v>14</v>
      </c>
      <c r="E111">
        <v>215</v>
      </c>
      <c r="F111">
        <v>196</v>
      </c>
      <c r="G111">
        <v>220</v>
      </c>
      <c r="H111" t="s">
        <v>102</v>
      </c>
      <c r="I111">
        <v>14</v>
      </c>
      <c r="J111">
        <v>1</v>
      </c>
      <c r="K111">
        <v>0</v>
      </c>
      <c r="L111">
        <v>0</v>
      </c>
      <c r="N111" t="s">
        <v>21</v>
      </c>
      <c r="O111" t="s">
        <v>25</v>
      </c>
      <c r="Q111">
        <v>3</v>
      </c>
      <c r="R111" t="b">
        <v>1</v>
      </c>
      <c r="S111" t="s">
        <v>119</v>
      </c>
      <c r="T111">
        <v>0</v>
      </c>
    </row>
    <row r="112" spans="1:20" x14ac:dyDescent="0.25">
      <c r="A112" t="s">
        <v>42</v>
      </c>
      <c r="B112">
        <v>7</v>
      </c>
      <c r="C112" t="s">
        <v>19</v>
      </c>
      <c r="D112">
        <v>14</v>
      </c>
      <c r="E112">
        <v>228</v>
      </c>
      <c r="F112">
        <v>196</v>
      </c>
      <c r="G112">
        <v>233</v>
      </c>
      <c r="H112" t="s">
        <v>102</v>
      </c>
      <c r="I112">
        <v>12</v>
      </c>
      <c r="J112">
        <v>0</v>
      </c>
      <c r="K112">
        <v>0</v>
      </c>
      <c r="L112">
        <v>0</v>
      </c>
      <c r="N112" t="s">
        <v>21</v>
      </c>
      <c r="O112" t="s">
        <v>25</v>
      </c>
      <c r="P112" s="1"/>
      <c r="Q112">
        <v>1</v>
      </c>
      <c r="R112" t="b">
        <v>1</v>
      </c>
      <c r="S112" t="s">
        <v>119</v>
      </c>
      <c r="T112">
        <v>0</v>
      </c>
    </row>
    <row r="113" spans="1:20" x14ac:dyDescent="0.25">
      <c r="A113" t="s">
        <v>820</v>
      </c>
      <c r="B113">
        <v>8</v>
      </c>
      <c r="C113" t="s">
        <v>26</v>
      </c>
      <c r="D113">
        <v>0</v>
      </c>
      <c r="E113">
        <v>30</v>
      </c>
      <c r="F113">
        <v>210</v>
      </c>
      <c r="G113">
        <v>267</v>
      </c>
      <c r="I113">
        <v>0</v>
      </c>
      <c r="J113">
        <v>1</v>
      </c>
      <c r="K113">
        <v>0</v>
      </c>
      <c r="L113">
        <v>0</v>
      </c>
      <c r="M113" t="s">
        <v>665</v>
      </c>
      <c r="N113" t="s">
        <v>918</v>
      </c>
      <c r="O113" t="s">
        <v>25</v>
      </c>
      <c r="Q113">
        <v>2</v>
      </c>
      <c r="R113" t="b">
        <v>0</v>
      </c>
      <c r="S113" t="s">
        <v>119</v>
      </c>
      <c r="T113">
        <v>0</v>
      </c>
    </row>
    <row r="114" spans="1:20" x14ac:dyDescent="0.25">
      <c r="A114" t="s">
        <v>771</v>
      </c>
      <c r="B114">
        <v>8</v>
      </c>
      <c r="C114" t="s">
        <v>19</v>
      </c>
      <c r="D114">
        <v>14</v>
      </c>
      <c r="E114">
        <v>20</v>
      </c>
      <c r="F114">
        <v>196</v>
      </c>
      <c r="G114">
        <v>25</v>
      </c>
      <c r="H114" t="s">
        <v>102</v>
      </c>
      <c r="I114">
        <v>12</v>
      </c>
      <c r="J114">
        <v>1</v>
      </c>
      <c r="K114">
        <v>0</v>
      </c>
      <c r="L114">
        <v>0</v>
      </c>
      <c r="N114" t="s">
        <v>21</v>
      </c>
      <c r="O114" t="s">
        <v>25</v>
      </c>
      <c r="Q114">
        <v>3</v>
      </c>
      <c r="R114" t="b">
        <v>1</v>
      </c>
      <c r="S114" t="s">
        <v>119</v>
      </c>
      <c r="T114">
        <v>0</v>
      </c>
    </row>
    <row r="115" spans="1:20" x14ac:dyDescent="0.25">
      <c r="A115" t="s">
        <v>774</v>
      </c>
      <c r="B115">
        <v>8</v>
      </c>
      <c r="C115" t="s">
        <v>19</v>
      </c>
      <c r="D115">
        <v>113</v>
      </c>
      <c r="E115">
        <v>32</v>
      </c>
      <c r="F115">
        <v>140</v>
      </c>
      <c r="G115">
        <v>37</v>
      </c>
      <c r="H115" t="s">
        <v>102</v>
      </c>
      <c r="I115">
        <v>10</v>
      </c>
      <c r="J115">
        <v>1</v>
      </c>
      <c r="K115">
        <v>0</v>
      </c>
      <c r="L115">
        <v>0</v>
      </c>
      <c r="N115" t="s">
        <v>918</v>
      </c>
      <c r="O115" t="s">
        <v>27</v>
      </c>
      <c r="Q115">
        <v>3</v>
      </c>
      <c r="R115" t="b">
        <v>1</v>
      </c>
      <c r="S115" t="s">
        <v>119</v>
      </c>
      <c r="T115">
        <v>0</v>
      </c>
    </row>
    <row r="116" spans="1:20" x14ac:dyDescent="0.25">
      <c r="A116" t="s">
        <v>775</v>
      </c>
      <c r="B116">
        <v>8</v>
      </c>
      <c r="C116" t="s">
        <v>19</v>
      </c>
      <c r="D116">
        <v>140</v>
      </c>
      <c r="E116">
        <v>32</v>
      </c>
      <c r="F116">
        <v>169</v>
      </c>
      <c r="G116">
        <v>37</v>
      </c>
      <c r="H116" t="s">
        <v>102</v>
      </c>
      <c r="I116">
        <v>10</v>
      </c>
      <c r="J116">
        <v>1</v>
      </c>
      <c r="K116">
        <v>0</v>
      </c>
      <c r="L116">
        <v>0</v>
      </c>
      <c r="N116" t="s">
        <v>918</v>
      </c>
      <c r="O116" t="s">
        <v>27</v>
      </c>
      <c r="Q116">
        <v>3</v>
      </c>
      <c r="R116" t="b">
        <v>1</v>
      </c>
      <c r="S116" t="s">
        <v>119</v>
      </c>
      <c r="T116">
        <v>0</v>
      </c>
    </row>
    <row r="117" spans="1:20" x14ac:dyDescent="0.25">
      <c r="A117" t="s">
        <v>776</v>
      </c>
      <c r="B117">
        <v>8</v>
      </c>
      <c r="C117" t="s">
        <v>19</v>
      </c>
      <c r="D117">
        <v>168</v>
      </c>
      <c r="E117">
        <v>32</v>
      </c>
      <c r="F117">
        <v>194</v>
      </c>
      <c r="G117">
        <v>37</v>
      </c>
      <c r="H117" t="s">
        <v>102</v>
      </c>
      <c r="I117">
        <v>10</v>
      </c>
      <c r="J117">
        <v>1</v>
      </c>
      <c r="K117">
        <v>0</v>
      </c>
      <c r="L117">
        <v>0</v>
      </c>
      <c r="N117" t="s">
        <v>918</v>
      </c>
      <c r="O117" t="s">
        <v>27</v>
      </c>
      <c r="Q117">
        <v>3</v>
      </c>
      <c r="R117" t="b">
        <v>1</v>
      </c>
      <c r="S117" t="s">
        <v>119</v>
      </c>
      <c r="T117">
        <v>0</v>
      </c>
    </row>
    <row r="118" spans="1:20" x14ac:dyDescent="0.25">
      <c r="A118" t="s">
        <v>44</v>
      </c>
      <c r="B118">
        <v>8</v>
      </c>
      <c r="C118" t="s">
        <v>25</v>
      </c>
      <c r="D118">
        <v>114</v>
      </c>
      <c r="E118">
        <v>30</v>
      </c>
      <c r="F118">
        <v>114</v>
      </c>
      <c r="G118">
        <v>267</v>
      </c>
      <c r="I118">
        <v>0.5</v>
      </c>
      <c r="J118">
        <v>0</v>
      </c>
      <c r="K118">
        <v>0</v>
      </c>
      <c r="L118">
        <v>0</v>
      </c>
      <c r="M118" t="s">
        <v>21</v>
      </c>
      <c r="N118" t="s">
        <v>918</v>
      </c>
      <c r="O118" t="s">
        <v>25</v>
      </c>
      <c r="Q118">
        <v>4</v>
      </c>
      <c r="R118" t="b">
        <v>0</v>
      </c>
      <c r="S118" t="s">
        <v>119</v>
      </c>
      <c r="T118">
        <v>0</v>
      </c>
    </row>
    <row r="119" spans="1:20" x14ac:dyDescent="0.25">
      <c r="A119" t="s">
        <v>45</v>
      </c>
      <c r="B119">
        <v>8</v>
      </c>
      <c r="C119" t="s">
        <v>25</v>
      </c>
      <c r="D119">
        <v>141</v>
      </c>
      <c r="E119">
        <v>30</v>
      </c>
      <c r="F119">
        <v>141</v>
      </c>
      <c r="G119">
        <v>267</v>
      </c>
      <c r="I119">
        <v>0.5</v>
      </c>
      <c r="J119">
        <v>0</v>
      </c>
      <c r="K119">
        <v>0</v>
      </c>
      <c r="L119">
        <v>0</v>
      </c>
      <c r="M119" t="s">
        <v>21</v>
      </c>
      <c r="N119" t="s">
        <v>918</v>
      </c>
      <c r="O119" t="s">
        <v>25</v>
      </c>
      <c r="Q119">
        <v>4</v>
      </c>
      <c r="R119" t="b">
        <v>0</v>
      </c>
      <c r="S119" t="s">
        <v>119</v>
      </c>
      <c r="T119">
        <v>0</v>
      </c>
    </row>
    <row r="120" spans="1:20" x14ac:dyDescent="0.25">
      <c r="A120" t="s">
        <v>46</v>
      </c>
      <c r="B120">
        <v>8</v>
      </c>
      <c r="C120" t="s">
        <v>25</v>
      </c>
      <c r="D120">
        <v>168</v>
      </c>
      <c r="E120">
        <v>30</v>
      </c>
      <c r="F120">
        <v>168</v>
      </c>
      <c r="G120">
        <v>267</v>
      </c>
      <c r="I120">
        <v>0.5</v>
      </c>
      <c r="J120">
        <v>0</v>
      </c>
      <c r="K120">
        <v>0</v>
      </c>
      <c r="L120">
        <v>0</v>
      </c>
      <c r="M120" t="s">
        <v>21</v>
      </c>
      <c r="N120" t="s">
        <v>918</v>
      </c>
      <c r="O120" t="s">
        <v>25</v>
      </c>
      <c r="Q120">
        <v>4</v>
      </c>
      <c r="R120" t="b">
        <v>0</v>
      </c>
      <c r="S120" t="s">
        <v>119</v>
      </c>
      <c r="T120">
        <v>0</v>
      </c>
    </row>
    <row r="121" spans="1:20" x14ac:dyDescent="0.25">
      <c r="A121" t="s">
        <v>55</v>
      </c>
      <c r="B121">
        <v>8</v>
      </c>
      <c r="C121" t="s">
        <v>25</v>
      </c>
      <c r="D121">
        <v>14</v>
      </c>
      <c r="E121">
        <v>57</v>
      </c>
      <c r="F121">
        <v>196</v>
      </c>
      <c r="G121">
        <v>57</v>
      </c>
      <c r="I121">
        <v>0.5</v>
      </c>
      <c r="J121">
        <v>0</v>
      </c>
      <c r="K121">
        <v>0</v>
      </c>
      <c r="L121">
        <v>0</v>
      </c>
      <c r="M121" t="s">
        <v>21</v>
      </c>
      <c r="N121" t="s">
        <v>918</v>
      </c>
      <c r="O121" t="s">
        <v>25</v>
      </c>
      <c r="Q121">
        <v>4</v>
      </c>
      <c r="R121" t="b">
        <v>0</v>
      </c>
      <c r="S121" t="s">
        <v>119</v>
      </c>
      <c r="T121">
        <v>0</v>
      </c>
    </row>
    <row r="122" spans="1:20" x14ac:dyDescent="0.25">
      <c r="A122" t="s">
        <v>920</v>
      </c>
      <c r="B122">
        <v>8</v>
      </c>
      <c r="C122" t="s">
        <v>19</v>
      </c>
      <c r="D122">
        <v>114</v>
      </c>
      <c r="E122">
        <v>269</v>
      </c>
      <c r="F122">
        <v>196</v>
      </c>
      <c r="G122">
        <v>273</v>
      </c>
      <c r="H122" t="s">
        <v>102</v>
      </c>
      <c r="I122">
        <v>10</v>
      </c>
      <c r="J122">
        <v>0</v>
      </c>
      <c r="K122">
        <v>0</v>
      </c>
      <c r="L122">
        <v>0</v>
      </c>
      <c r="N122" t="s">
        <v>21</v>
      </c>
      <c r="O122" t="s">
        <v>22</v>
      </c>
      <c r="Q122">
        <v>2</v>
      </c>
      <c r="R122" t="b">
        <v>0</v>
      </c>
      <c r="S122" t="s">
        <v>119</v>
      </c>
      <c r="T122">
        <v>0</v>
      </c>
    </row>
    <row r="123" spans="1:20" x14ac:dyDescent="0.25">
      <c r="A123" t="s">
        <v>749</v>
      </c>
      <c r="B123">
        <v>8</v>
      </c>
      <c r="C123" t="s">
        <v>19</v>
      </c>
      <c r="D123">
        <v>14</v>
      </c>
      <c r="E123">
        <v>59</v>
      </c>
      <c r="F123">
        <v>112</v>
      </c>
      <c r="G123">
        <v>64</v>
      </c>
      <c r="H123" t="s">
        <v>102</v>
      </c>
      <c r="I123">
        <v>12</v>
      </c>
      <c r="J123">
        <v>0</v>
      </c>
      <c r="K123">
        <v>0</v>
      </c>
      <c r="L123">
        <v>0</v>
      </c>
      <c r="N123" t="s">
        <v>918</v>
      </c>
      <c r="O123" t="s">
        <v>25</v>
      </c>
      <c r="Q123">
        <v>3</v>
      </c>
      <c r="R123" t="b">
        <v>1</v>
      </c>
      <c r="S123" t="s">
        <v>119</v>
      </c>
      <c r="T123">
        <v>0</v>
      </c>
    </row>
    <row r="124" spans="1:20" x14ac:dyDescent="0.25">
      <c r="A124" t="s">
        <v>750</v>
      </c>
      <c r="B124">
        <v>8</v>
      </c>
      <c r="C124" t="s">
        <v>19</v>
      </c>
      <c r="D124">
        <v>113</v>
      </c>
      <c r="E124">
        <v>60</v>
      </c>
      <c r="F124">
        <v>140</v>
      </c>
      <c r="G124">
        <v>63</v>
      </c>
      <c r="H124" t="s">
        <v>20</v>
      </c>
      <c r="I124">
        <v>16</v>
      </c>
      <c r="J124">
        <v>1</v>
      </c>
      <c r="K124">
        <v>0</v>
      </c>
      <c r="L124">
        <v>0</v>
      </c>
      <c r="N124" t="s">
        <v>918</v>
      </c>
      <c r="O124" t="s">
        <v>27</v>
      </c>
      <c r="Q124">
        <v>2</v>
      </c>
      <c r="R124" t="b">
        <v>0</v>
      </c>
      <c r="S124" t="s">
        <v>119</v>
      </c>
      <c r="T124">
        <v>0</v>
      </c>
    </row>
    <row r="125" spans="1:20" x14ac:dyDescent="0.25">
      <c r="A125" t="s">
        <v>751</v>
      </c>
      <c r="B125">
        <v>8</v>
      </c>
      <c r="C125" t="s">
        <v>19</v>
      </c>
      <c r="D125">
        <v>140</v>
      </c>
      <c r="E125">
        <v>60</v>
      </c>
      <c r="F125">
        <v>169</v>
      </c>
      <c r="G125">
        <v>63</v>
      </c>
      <c r="H125" t="s">
        <v>20</v>
      </c>
      <c r="I125">
        <v>16</v>
      </c>
      <c r="J125">
        <v>1</v>
      </c>
      <c r="K125">
        <v>0</v>
      </c>
      <c r="L125">
        <v>0</v>
      </c>
      <c r="N125" t="s">
        <v>918</v>
      </c>
      <c r="O125" t="s">
        <v>27</v>
      </c>
      <c r="Q125">
        <v>2</v>
      </c>
      <c r="R125" t="b">
        <v>0</v>
      </c>
      <c r="S125" t="s">
        <v>119</v>
      </c>
      <c r="T125">
        <v>0</v>
      </c>
    </row>
    <row r="126" spans="1:20" x14ac:dyDescent="0.25">
      <c r="A126" t="s">
        <v>752</v>
      </c>
      <c r="B126">
        <v>8</v>
      </c>
      <c r="C126" t="s">
        <v>19</v>
      </c>
      <c r="D126">
        <v>168</v>
      </c>
      <c r="E126">
        <v>60</v>
      </c>
      <c r="F126">
        <v>194</v>
      </c>
      <c r="G126">
        <v>63</v>
      </c>
      <c r="H126" t="s">
        <v>20</v>
      </c>
      <c r="I126">
        <v>16</v>
      </c>
      <c r="J126">
        <v>1</v>
      </c>
      <c r="K126">
        <v>0</v>
      </c>
      <c r="L126">
        <v>0</v>
      </c>
      <c r="N126" t="s">
        <v>918</v>
      </c>
      <c r="O126" t="s">
        <v>27</v>
      </c>
      <c r="Q126">
        <v>2</v>
      </c>
      <c r="R126" t="b">
        <v>0</v>
      </c>
      <c r="S126" t="s">
        <v>119</v>
      </c>
      <c r="T126">
        <v>0</v>
      </c>
    </row>
    <row r="127" spans="1:20" x14ac:dyDescent="0.25">
      <c r="A127" t="s">
        <v>753</v>
      </c>
      <c r="B127">
        <v>8</v>
      </c>
      <c r="C127" t="s">
        <v>19</v>
      </c>
      <c r="D127">
        <v>14</v>
      </c>
      <c r="E127">
        <v>71</v>
      </c>
      <c r="F127">
        <v>112</v>
      </c>
      <c r="G127">
        <v>76</v>
      </c>
      <c r="H127" t="s">
        <v>102</v>
      </c>
      <c r="I127">
        <v>12</v>
      </c>
      <c r="J127">
        <v>0</v>
      </c>
      <c r="K127">
        <v>0</v>
      </c>
      <c r="L127">
        <v>0</v>
      </c>
      <c r="N127" t="s">
        <v>918</v>
      </c>
      <c r="O127" t="s">
        <v>25</v>
      </c>
      <c r="Q127">
        <v>3</v>
      </c>
      <c r="R127" t="b">
        <v>1</v>
      </c>
      <c r="S127" t="s">
        <v>119</v>
      </c>
      <c r="T127">
        <v>0</v>
      </c>
    </row>
    <row r="128" spans="1:20" x14ac:dyDescent="0.25">
      <c r="A128" t="s">
        <v>754</v>
      </c>
      <c r="B128">
        <v>8</v>
      </c>
      <c r="C128" t="s">
        <v>19</v>
      </c>
      <c r="D128">
        <v>113</v>
      </c>
      <c r="E128">
        <v>72</v>
      </c>
      <c r="F128">
        <v>140</v>
      </c>
      <c r="G128">
        <v>75</v>
      </c>
      <c r="H128" t="s">
        <v>20</v>
      </c>
      <c r="I128">
        <v>16</v>
      </c>
      <c r="J128">
        <v>1</v>
      </c>
      <c r="K128">
        <v>0</v>
      </c>
      <c r="L128">
        <v>0</v>
      </c>
      <c r="N128" t="s">
        <v>918</v>
      </c>
      <c r="O128" t="s">
        <v>27</v>
      </c>
      <c r="Q128">
        <v>2</v>
      </c>
      <c r="R128" t="b">
        <v>0</v>
      </c>
      <c r="S128" t="s">
        <v>119</v>
      </c>
      <c r="T128">
        <v>0</v>
      </c>
    </row>
    <row r="129" spans="1:20" x14ac:dyDescent="0.25">
      <c r="A129" t="s">
        <v>755</v>
      </c>
      <c r="B129">
        <v>8</v>
      </c>
      <c r="C129" t="s">
        <v>19</v>
      </c>
      <c r="D129">
        <v>140</v>
      </c>
      <c r="E129">
        <v>72</v>
      </c>
      <c r="F129">
        <v>169</v>
      </c>
      <c r="G129">
        <v>75</v>
      </c>
      <c r="H129" t="s">
        <v>20</v>
      </c>
      <c r="I129">
        <v>16</v>
      </c>
      <c r="J129">
        <v>1</v>
      </c>
      <c r="K129">
        <v>0</v>
      </c>
      <c r="L129">
        <v>0</v>
      </c>
      <c r="N129" t="s">
        <v>918</v>
      </c>
      <c r="O129" t="s">
        <v>27</v>
      </c>
      <c r="Q129">
        <v>2</v>
      </c>
      <c r="R129" t="b">
        <v>0</v>
      </c>
      <c r="S129" t="s">
        <v>119</v>
      </c>
      <c r="T129">
        <v>0</v>
      </c>
    </row>
    <row r="130" spans="1:20" x14ac:dyDescent="0.25">
      <c r="A130" t="s">
        <v>756</v>
      </c>
      <c r="B130">
        <v>8</v>
      </c>
      <c r="C130" t="s">
        <v>19</v>
      </c>
      <c r="D130">
        <v>168</v>
      </c>
      <c r="E130">
        <v>72</v>
      </c>
      <c r="F130">
        <v>194</v>
      </c>
      <c r="G130">
        <v>75</v>
      </c>
      <c r="H130" t="s">
        <v>20</v>
      </c>
      <c r="I130">
        <v>16</v>
      </c>
      <c r="J130">
        <v>1</v>
      </c>
      <c r="K130">
        <v>0</v>
      </c>
      <c r="L130">
        <v>0</v>
      </c>
      <c r="N130" t="s">
        <v>918</v>
      </c>
      <c r="O130" t="s">
        <v>27</v>
      </c>
      <c r="Q130">
        <v>2</v>
      </c>
      <c r="R130" t="b">
        <v>0</v>
      </c>
      <c r="S130" t="s">
        <v>119</v>
      </c>
      <c r="T130">
        <v>0</v>
      </c>
    </row>
    <row r="131" spans="1:20" x14ac:dyDescent="0.25">
      <c r="A131" t="s">
        <v>757</v>
      </c>
      <c r="B131">
        <v>8</v>
      </c>
      <c r="C131" t="s">
        <v>19</v>
      </c>
      <c r="D131">
        <v>14</v>
      </c>
      <c r="E131">
        <v>83</v>
      </c>
      <c r="F131">
        <v>112</v>
      </c>
      <c r="G131">
        <v>88</v>
      </c>
      <c r="H131" t="s">
        <v>102</v>
      </c>
      <c r="I131">
        <v>12</v>
      </c>
      <c r="J131">
        <v>0</v>
      </c>
      <c r="K131">
        <v>0</v>
      </c>
      <c r="L131">
        <v>0</v>
      </c>
      <c r="N131" t="s">
        <v>918</v>
      </c>
      <c r="O131" t="s">
        <v>25</v>
      </c>
      <c r="Q131">
        <v>3</v>
      </c>
      <c r="R131" t="b">
        <v>1</v>
      </c>
      <c r="S131" t="s">
        <v>119</v>
      </c>
      <c r="T131">
        <v>0</v>
      </c>
    </row>
    <row r="132" spans="1:20" x14ac:dyDescent="0.25">
      <c r="A132" t="s">
        <v>758</v>
      </c>
      <c r="B132">
        <v>8</v>
      </c>
      <c r="C132" t="s">
        <v>19</v>
      </c>
      <c r="D132">
        <v>113</v>
      </c>
      <c r="E132">
        <v>84</v>
      </c>
      <c r="F132">
        <v>140</v>
      </c>
      <c r="G132">
        <v>87</v>
      </c>
      <c r="H132" t="s">
        <v>20</v>
      </c>
      <c r="I132">
        <v>16</v>
      </c>
      <c r="J132">
        <v>1</v>
      </c>
      <c r="K132">
        <v>0</v>
      </c>
      <c r="L132">
        <v>0</v>
      </c>
      <c r="N132" t="s">
        <v>918</v>
      </c>
      <c r="O132" t="s">
        <v>27</v>
      </c>
      <c r="Q132">
        <v>2</v>
      </c>
      <c r="R132" t="b">
        <v>0</v>
      </c>
      <c r="S132" t="s">
        <v>119</v>
      </c>
      <c r="T132">
        <v>0</v>
      </c>
    </row>
    <row r="133" spans="1:20" x14ac:dyDescent="0.25">
      <c r="A133" t="s">
        <v>759</v>
      </c>
      <c r="B133">
        <v>8</v>
      </c>
      <c r="C133" t="s">
        <v>19</v>
      </c>
      <c r="D133">
        <v>140</v>
      </c>
      <c r="E133">
        <v>84</v>
      </c>
      <c r="F133">
        <v>169</v>
      </c>
      <c r="G133">
        <v>87</v>
      </c>
      <c r="H133" t="s">
        <v>20</v>
      </c>
      <c r="I133">
        <v>16</v>
      </c>
      <c r="J133">
        <v>1</v>
      </c>
      <c r="K133">
        <v>0</v>
      </c>
      <c r="L133">
        <v>0</v>
      </c>
      <c r="N133" t="s">
        <v>918</v>
      </c>
      <c r="O133" t="s">
        <v>27</v>
      </c>
      <c r="Q133">
        <v>2</v>
      </c>
      <c r="R133" t="b">
        <v>0</v>
      </c>
      <c r="S133" t="s">
        <v>119</v>
      </c>
      <c r="T133">
        <v>0</v>
      </c>
    </row>
    <row r="134" spans="1:20" x14ac:dyDescent="0.25">
      <c r="A134" t="s">
        <v>760</v>
      </c>
      <c r="B134">
        <v>8</v>
      </c>
      <c r="C134" t="s">
        <v>19</v>
      </c>
      <c r="D134">
        <v>168</v>
      </c>
      <c r="E134">
        <v>84</v>
      </c>
      <c r="F134">
        <v>194</v>
      </c>
      <c r="G134">
        <v>87</v>
      </c>
      <c r="H134" t="s">
        <v>20</v>
      </c>
      <c r="I134">
        <v>16</v>
      </c>
      <c r="J134">
        <v>1</v>
      </c>
      <c r="K134">
        <v>0</v>
      </c>
      <c r="L134">
        <v>0</v>
      </c>
      <c r="N134" t="s">
        <v>918</v>
      </c>
      <c r="O134" t="s">
        <v>27</v>
      </c>
      <c r="Q134">
        <v>2</v>
      </c>
      <c r="R134" t="b">
        <v>0</v>
      </c>
      <c r="S134" t="s">
        <v>119</v>
      </c>
      <c r="T134">
        <v>0</v>
      </c>
    </row>
    <row r="135" spans="1:20" x14ac:dyDescent="0.25">
      <c r="A135" t="s">
        <v>761</v>
      </c>
      <c r="B135">
        <v>8</v>
      </c>
      <c r="C135" t="s">
        <v>19</v>
      </c>
      <c r="D135">
        <v>14</v>
      </c>
      <c r="E135">
        <v>95</v>
      </c>
      <c r="F135">
        <v>112</v>
      </c>
      <c r="G135">
        <v>100</v>
      </c>
      <c r="H135" t="s">
        <v>102</v>
      </c>
      <c r="I135">
        <v>12</v>
      </c>
      <c r="J135">
        <v>0</v>
      </c>
      <c r="K135">
        <v>0</v>
      </c>
      <c r="L135">
        <v>0</v>
      </c>
      <c r="N135" t="s">
        <v>918</v>
      </c>
      <c r="O135" t="s">
        <v>25</v>
      </c>
      <c r="Q135">
        <v>3</v>
      </c>
      <c r="R135" t="b">
        <v>1</v>
      </c>
      <c r="S135" t="s">
        <v>119</v>
      </c>
      <c r="T135">
        <v>0</v>
      </c>
    </row>
    <row r="136" spans="1:20" x14ac:dyDescent="0.25">
      <c r="A136" t="s">
        <v>762</v>
      </c>
      <c r="B136">
        <v>8</v>
      </c>
      <c r="C136" t="s">
        <v>19</v>
      </c>
      <c r="D136">
        <v>113</v>
      </c>
      <c r="E136">
        <v>96</v>
      </c>
      <c r="F136">
        <v>140</v>
      </c>
      <c r="G136">
        <v>99</v>
      </c>
      <c r="H136" t="s">
        <v>20</v>
      </c>
      <c r="I136">
        <v>16</v>
      </c>
      <c r="J136">
        <v>1</v>
      </c>
      <c r="K136">
        <v>0</v>
      </c>
      <c r="L136">
        <v>0</v>
      </c>
      <c r="N136" t="s">
        <v>918</v>
      </c>
      <c r="O136" t="s">
        <v>27</v>
      </c>
      <c r="Q136">
        <v>2</v>
      </c>
      <c r="R136" t="b">
        <v>0</v>
      </c>
      <c r="S136" t="s">
        <v>119</v>
      </c>
      <c r="T136">
        <v>0</v>
      </c>
    </row>
    <row r="137" spans="1:20" x14ac:dyDescent="0.25">
      <c r="A137" t="s">
        <v>763</v>
      </c>
      <c r="B137">
        <v>8</v>
      </c>
      <c r="C137" t="s">
        <v>19</v>
      </c>
      <c r="D137">
        <v>140</v>
      </c>
      <c r="E137">
        <v>96</v>
      </c>
      <c r="F137">
        <v>169</v>
      </c>
      <c r="G137">
        <v>99</v>
      </c>
      <c r="H137" t="s">
        <v>20</v>
      </c>
      <c r="I137">
        <v>16</v>
      </c>
      <c r="J137">
        <v>1</v>
      </c>
      <c r="K137">
        <v>0</v>
      </c>
      <c r="L137">
        <v>0</v>
      </c>
      <c r="N137" t="s">
        <v>918</v>
      </c>
      <c r="O137" t="s">
        <v>27</v>
      </c>
      <c r="Q137">
        <v>2</v>
      </c>
      <c r="R137" t="b">
        <v>0</v>
      </c>
      <c r="S137" t="s">
        <v>119</v>
      </c>
      <c r="T137">
        <v>0</v>
      </c>
    </row>
    <row r="138" spans="1:20" x14ac:dyDescent="0.25">
      <c r="A138" t="s">
        <v>764</v>
      </c>
      <c r="B138">
        <v>8</v>
      </c>
      <c r="C138" t="s">
        <v>19</v>
      </c>
      <c r="D138">
        <v>168</v>
      </c>
      <c r="E138">
        <v>96</v>
      </c>
      <c r="F138">
        <v>194</v>
      </c>
      <c r="G138">
        <v>99</v>
      </c>
      <c r="H138" t="s">
        <v>20</v>
      </c>
      <c r="I138">
        <v>16</v>
      </c>
      <c r="J138">
        <v>1</v>
      </c>
      <c r="K138">
        <v>0</v>
      </c>
      <c r="L138">
        <v>0</v>
      </c>
      <c r="N138" t="s">
        <v>918</v>
      </c>
      <c r="O138" t="s">
        <v>27</v>
      </c>
      <c r="Q138">
        <v>2</v>
      </c>
      <c r="R138" t="b">
        <v>0</v>
      </c>
      <c r="S138" t="s">
        <v>119</v>
      </c>
      <c r="T138">
        <v>0</v>
      </c>
    </row>
    <row r="139" spans="1:20" x14ac:dyDescent="0.25">
      <c r="A139" t="s">
        <v>808</v>
      </c>
      <c r="B139">
        <v>8</v>
      </c>
      <c r="C139" t="s">
        <v>19</v>
      </c>
      <c r="D139">
        <v>14</v>
      </c>
      <c r="E139">
        <v>107</v>
      </c>
      <c r="F139">
        <v>112</v>
      </c>
      <c r="G139">
        <v>112</v>
      </c>
      <c r="H139" t="s">
        <v>102</v>
      </c>
      <c r="I139">
        <v>12</v>
      </c>
      <c r="J139">
        <v>0</v>
      </c>
      <c r="K139">
        <v>0</v>
      </c>
      <c r="L139">
        <v>0</v>
      </c>
      <c r="N139" t="s">
        <v>918</v>
      </c>
      <c r="O139" t="s">
        <v>25</v>
      </c>
      <c r="Q139">
        <v>3</v>
      </c>
      <c r="R139" t="b">
        <v>1</v>
      </c>
      <c r="S139" t="s">
        <v>119</v>
      </c>
      <c r="T139">
        <v>0</v>
      </c>
    </row>
    <row r="140" spans="1:20" x14ac:dyDescent="0.25">
      <c r="A140" t="s">
        <v>809</v>
      </c>
      <c r="B140">
        <v>8</v>
      </c>
      <c r="C140" t="s">
        <v>19</v>
      </c>
      <c r="D140">
        <v>113</v>
      </c>
      <c r="E140">
        <v>108</v>
      </c>
      <c r="F140">
        <v>140</v>
      </c>
      <c r="G140">
        <v>111</v>
      </c>
      <c r="H140" t="s">
        <v>20</v>
      </c>
      <c r="I140">
        <v>16</v>
      </c>
      <c r="J140">
        <v>1</v>
      </c>
      <c r="K140">
        <v>0</v>
      </c>
      <c r="L140">
        <v>0</v>
      </c>
      <c r="N140" t="s">
        <v>918</v>
      </c>
      <c r="O140" t="s">
        <v>27</v>
      </c>
      <c r="Q140">
        <v>2</v>
      </c>
      <c r="R140" t="b">
        <v>0</v>
      </c>
      <c r="S140" t="s">
        <v>119</v>
      </c>
      <c r="T140">
        <v>0</v>
      </c>
    </row>
    <row r="141" spans="1:20" x14ac:dyDescent="0.25">
      <c r="A141" t="s">
        <v>810</v>
      </c>
      <c r="B141">
        <v>8</v>
      </c>
      <c r="C141" t="s">
        <v>19</v>
      </c>
      <c r="D141">
        <v>140</v>
      </c>
      <c r="E141">
        <v>108</v>
      </c>
      <c r="F141">
        <v>169</v>
      </c>
      <c r="G141">
        <v>111</v>
      </c>
      <c r="H141" t="s">
        <v>20</v>
      </c>
      <c r="I141">
        <v>16</v>
      </c>
      <c r="J141">
        <v>1</v>
      </c>
      <c r="K141">
        <v>0</v>
      </c>
      <c r="L141">
        <v>0</v>
      </c>
      <c r="N141" t="s">
        <v>918</v>
      </c>
      <c r="O141" t="s">
        <v>27</v>
      </c>
      <c r="Q141">
        <v>2</v>
      </c>
      <c r="R141" t="b">
        <v>0</v>
      </c>
      <c r="S141" t="s">
        <v>119</v>
      </c>
      <c r="T141">
        <v>0</v>
      </c>
    </row>
    <row r="142" spans="1:20" x14ac:dyDescent="0.25">
      <c r="A142" t="s">
        <v>811</v>
      </c>
      <c r="B142">
        <v>8</v>
      </c>
      <c r="C142" t="s">
        <v>19</v>
      </c>
      <c r="D142">
        <v>168</v>
      </c>
      <c r="E142">
        <v>108</v>
      </c>
      <c r="F142">
        <v>194</v>
      </c>
      <c r="G142">
        <v>111</v>
      </c>
      <c r="H142" t="s">
        <v>20</v>
      </c>
      <c r="I142">
        <v>16</v>
      </c>
      <c r="J142">
        <v>1</v>
      </c>
      <c r="K142">
        <v>0</v>
      </c>
      <c r="L142">
        <v>0</v>
      </c>
      <c r="N142" t="s">
        <v>918</v>
      </c>
      <c r="O142" t="s">
        <v>27</v>
      </c>
      <c r="Q142">
        <v>2</v>
      </c>
      <c r="R142" t="b">
        <v>0</v>
      </c>
      <c r="S142" t="s">
        <v>119</v>
      </c>
      <c r="T142">
        <v>0</v>
      </c>
    </row>
    <row r="143" spans="1:20" x14ac:dyDescent="0.25">
      <c r="A143" t="s">
        <v>812</v>
      </c>
      <c r="B143">
        <v>8</v>
      </c>
      <c r="C143" t="s">
        <v>19</v>
      </c>
      <c r="D143">
        <v>14</v>
      </c>
      <c r="E143">
        <v>119</v>
      </c>
      <c r="F143">
        <v>112</v>
      </c>
      <c r="G143">
        <v>124</v>
      </c>
      <c r="H143" t="s">
        <v>102</v>
      </c>
      <c r="I143">
        <v>12</v>
      </c>
      <c r="J143">
        <v>0</v>
      </c>
      <c r="K143">
        <v>0</v>
      </c>
      <c r="L143">
        <v>0</v>
      </c>
      <c r="N143" t="s">
        <v>918</v>
      </c>
      <c r="O143" t="s">
        <v>25</v>
      </c>
      <c r="Q143">
        <v>3</v>
      </c>
      <c r="R143" t="b">
        <v>1</v>
      </c>
      <c r="S143" t="s">
        <v>119</v>
      </c>
      <c r="T143">
        <v>0</v>
      </c>
    </row>
    <row r="144" spans="1:20" x14ac:dyDescent="0.25">
      <c r="A144" t="s">
        <v>813</v>
      </c>
      <c r="B144">
        <v>8</v>
      </c>
      <c r="C144" t="s">
        <v>19</v>
      </c>
      <c r="D144">
        <v>113</v>
      </c>
      <c r="E144">
        <v>120</v>
      </c>
      <c r="F144">
        <v>140</v>
      </c>
      <c r="G144">
        <v>123</v>
      </c>
      <c r="H144" t="s">
        <v>20</v>
      </c>
      <c r="I144">
        <v>16</v>
      </c>
      <c r="J144">
        <v>1</v>
      </c>
      <c r="K144">
        <v>0</v>
      </c>
      <c r="L144">
        <v>0</v>
      </c>
      <c r="N144" t="s">
        <v>918</v>
      </c>
      <c r="O144" t="s">
        <v>27</v>
      </c>
      <c r="Q144">
        <v>2</v>
      </c>
      <c r="R144" t="b">
        <v>0</v>
      </c>
      <c r="S144" t="s">
        <v>119</v>
      </c>
      <c r="T144">
        <v>0</v>
      </c>
    </row>
    <row r="145" spans="1:20" x14ac:dyDescent="0.25">
      <c r="A145" t="s">
        <v>814</v>
      </c>
      <c r="B145">
        <v>8</v>
      </c>
      <c r="C145" t="s">
        <v>19</v>
      </c>
      <c r="D145">
        <v>140</v>
      </c>
      <c r="E145">
        <v>120</v>
      </c>
      <c r="F145">
        <v>169</v>
      </c>
      <c r="G145">
        <v>123</v>
      </c>
      <c r="H145" t="s">
        <v>20</v>
      </c>
      <c r="I145">
        <v>16</v>
      </c>
      <c r="J145">
        <v>1</v>
      </c>
      <c r="K145">
        <v>0</v>
      </c>
      <c r="L145">
        <v>0</v>
      </c>
      <c r="N145" t="s">
        <v>918</v>
      </c>
      <c r="O145" t="s">
        <v>27</v>
      </c>
      <c r="Q145">
        <v>2</v>
      </c>
      <c r="R145" t="b">
        <v>0</v>
      </c>
      <c r="S145" t="s">
        <v>119</v>
      </c>
      <c r="T145">
        <v>0</v>
      </c>
    </row>
    <row r="146" spans="1:20" x14ac:dyDescent="0.25">
      <c r="A146" t="s">
        <v>815</v>
      </c>
      <c r="B146">
        <v>8</v>
      </c>
      <c r="C146" t="s">
        <v>19</v>
      </c>
      <c r="D146">
        <v>168</v>
      </c>
      <c r="E146">
        <v>120</v>
      </c>
      <c r="F146">
        <v>194</v>
      </c>
      <c r="G146">
        <v>123</v>
      </c>
      <c r="H146" t="s">
        <v>20</v>
      </c>
      <c r="I146">
        <v>16</v>
      </c>
      <c r="J146">
        <v>1</v>
      </c>
      <c r="K146">
        <v>0</v>
      </c>
      <c r="L146">
        <v>0</v>
      </c>
      <c r="N146" t="s">
        <v>918</v>
      </c>
      <c r="O146" t="s">
        <v>27</v>
      </c>
      <c r="Q146">
        <v>2</v>
      </c>
      <c r="R146" t="b">
        <v>0</v>
      </c>
      <c r="S146" t="s">
        <v>119</v>
      </c>
      <c r="T146">
        <v>0</v>
      </c>
    </row>
    <row r="147" spans="1:20" x14ac:dyDescent="0.25">
      <c r="A147" t="s">
        <v>816</v>
      </c>
      <c r="B147">
        <v>8</v>
      </c>
      <c r="C147" t="s">
        <v>19</v>
      </c>
      <c r="D147">
        <v>14</v>
      </c>
      <c r="E147">
        <v>131</v>
      </c>
      <c r="F147">
        <v>112</v>
      </c>
      <c r="G147">
        <v>136</v>
      </c>
      <c r="H147" t="s">
        <v>102</v>
      </c>
      <c r="I147">
        <v>12</v>
      </c>
      <c r="J147">
        <v>0</v>
      </c>
      <c r="K147">
        <v>0</v>
      </c>
      <c r="L147">
        <v>0</v>
      </c>
      <c r="N147" t="s">
        <v>918</v>
      </c>
      <c r="O147" t="s">
        <v>25</v>
      </c>
      <c r="Q147">
        <v>3</v>
      </c>
      <c r="R147" t="b">
        <v>1</v>
      </c>
      <c r="S147" t="s">
        <v>119</v>
      </c>
      <c r="T147">
        <v>0</v>
      </c>
    </row>
    <row r="148" spans="1:20" x14ac:dyDescent="0.25">
      <c r="A148" t="s">
        <v>817</v>
      </c>
      <c r="B148">
        <v>8</v>
      </c>
      <c r="C148" t="s">
        <v>19</v>
      </c>
      <c r="D148">
        <v>113</v>
      </c>
      <c r="E148">
        <v>132</v>
      </c>
      <c r="F148">
        <v>140</v>
      </c>
      <c r="G148">
        <v>135</v>
      </c>
      <c r="H148" t="s">
        <v>20</v>
      </c>
      <c r="I148">
        <v>16</v>
      </c>
      <c r="J148">
        <v>1</v>
      </c>
      <c r="K148">
        <v>0</v>
      </c>
      <c r="L148">
        <v>0</v>
      </c>
      <c r="N148" t="s">
        <v>918</v>
      </c>
      <c r="O148" t="s">
        <v>27</v>
      </c>
      <c r="Q148">
        <v>2</v>
      </c>
      <c r="R148" t="b">
        <v>0</v>
      </c>
      <c r="S148" t="s">
        <v>119</v>
      </c>
      <c r="T148">
        <v>0</v>
      </c>
    </row>
    <row r="149" spans="1:20" x14ac:dyDescent="0.25">
      <c r="A149" t="s">
        <v>818</v>
      </c>
      <c r="B149">
        <v>8</v>
      </c>
      <c r="C149" t="s">
        <v>19</v>
      </c>
      <c r="D149">
        <v>140</v>
      </c>
      <c r="E149">
        <v>132</v>
      </c>
      <c r="F149">
        <v>169</v>
      </c>
      <c r="G149">
        <v>135</v>
      </c>
      <c r="H149" t="s">
        <v>20</v>
      </c>
      <c r="I149">
        <v>16</v>
      </c>
      <c r="J149">
        <v>1</v>
      </c>
      <c r="K149">
        <v>0</v>
      </c>
      <c r="L149">
        <v>0</v>
      </c>
      <c r="N149" t="s">
        <v>918</v>
      </c>
      <c r="O149" t="s">
        <v>27</v>
      </c>
      <c r="Q149">
        <v>2</v>
      </c>
      <c r="R149" t="b">
        <v>0</v>
      </c>
      <c r="S149" t="s">
        <v>119</v>
      </c>
      <c r="T149">
        <v>0</v>
      </c>
    </row>
    <row r="150" spans="1:20" x14ac:dyDescent="0.25">
      <c r="A150" t="s">
        <v>819</v>
      </c>
      <c r="B150">
        <v>8</v>
      </c>
      <c r="C150" t="s">
        <v>19</v>
      </c>
      <c r="D150">
        <v>168</v>
      </c>
      <c r="E150">
        <v>132</v>
      </c>
      <c r="F150">
        <v>194</v>
      </c>
      <c r="G150">
        <v>135</v>
      </c>
      <c r="H150" t="s">
        <v>20</v>
      </c>
      <c r="I150">
        <v>16</v>
      </c>
      <c r="J150">
        <v>1</v>
      </c>
      <c r="K150">
        <v>0</v>
      </c>
      <c r="L150">
        <v>0</v>
      </c>
      <c r="N150" t="s">
        <v>918</v>
      </c>
      <c r="O150" t="s">
        <v>27</v>
      </c>
      <c r="Q150">
        <v>2</v>
      </c>
      <c r="R150" t="b">
        <v>0</v>
      </c>
      <c r="S150" t="s">
        <v>119</v>
      </c>
      <c r="T150">
        <v>0</v>
      </c>
    </row>
    <row r="151" spans="1:20" x14ac:dyDescent="0.25">
      <c r="A151" t="s">
        <v>5234</v>
      </c>
      <c r="B151">
        <v>8</v>
      </c>
      <c r="C151" t="s">
        <v>19</v>
      </c>
      <c r="D151">
        <v>14</v>
      </c>
      <c r="E151">
        <v>143</v>
      </c>
      <c r="F151">
        <v>112</v>
      </c>
      <c r="G151">
        <v>148</v>
      </c>
      <c r="H151" t="s">
        <v>102</v>
      </c>
      <c r="I151">
        <v>12</v>
      </c>
      <c r="J151">
        <v>0</v>
      </c>
      <c r="K151">
        <v>0</v>
      </c>
      <c r="L151">
        <v>0</v>
      </c>
      <c r="N151" t="s">
        <v>918</v>
      </c>
      <c r="O151" t="s">
        <v>25</v>
      </c>
      <c r="Q151">
        <v>3</v>
      </c>
      <c r="R151" t="b">
        <v>1</v>
      </c>
      <c r="S151" t="s">
        <v>119</v>
      </c>
      <c r="T151">
        <v>0</v>
      </c>
    </row>
    <row r="152" spans="1:20" x14ac:dyDescent="0.25">
      <c r="A152" t="s">
        <v>5235</v>
      </c>
      <c r="B152">
        <v>8</v>
      </c>
      <c r="C152" t="s">
        <v>19</v>
      </c>
      <c r="D152">
        <v>113</v>
      </c>
      <c r="E152">
        <v>144</v>
      </c>
      <c r="F152">
        <v>140</v>
      </c>
      <c r="G152">
        <v>147</v>
      </c>
      <c r="H152" t="s">
        <v>20</v>
      </c>
      <c r="I152">
        <v>16</v>
      </c>
      <c r="J152">
        <v>1</v>
      </c>
      <c r="K152">
        <v>0</v>
      </c>
      <c r="L152">
        <v>0</v>
      </c>
      <c r="N152" t="s">
        <v>918</v>
      </c>
      <c r="O152" t="s">
        <v>27</v>
      </c>
      <c r="Q152">
        <v>2</v>
      </c>
      <c r="R152" t="b">
        <v>0</v>
      </c>
      <c r="S152" t="s">
        <v>119</v>
      </c>
      <c r="T152">
        <v>0</v>
      </c>
    </row>
    <row r="153" spans="1:20" x14ac:dyDescent="0.25">
      <c r="A153" t="s">
        <v>5236</v>
      </c>
      <c r="B153">
        <v>8</v>
      </c>
      <c r="C153" t="s">
        <v>19</v>
      </c>
      <c r="D153">
        <v>140</v>
      </c>
      <c r="E153">
        <v>144</v>
      </c>
      <c r="F153">
        <v>169</v>
      </c>
      <c r="G153">
        <v>147</v>
      </c>
      <c r="H153" t="s">
        <v>20</v>
      </c>
      <c r="I153">
        <v>16</v>
      </c>
      <c r="J153">
        <v>1</v>
      </c>
      <c r="K153">
        <v>0</v>
      </c>
      <c r="L153">
        <v>0</v>
      </c>
      <c r="N153" t="s">
        <v>918</v>
      </c>
      <c r="O153" t="s">
        <v>27</v>
      </c>
      <c r="Q153">
        <v>2</v>
      </c>
      <c r="R153" t="b">
        <v>0</v>
      </c>
      <c r="S153" t="s">
        <v>119</v>
      </c>
      <c r="T153">
        <v>0</v>
      </c>
    </row>
    <row r="154" spans="1:20" x14ac:dyDescent="0.25">
      <c r="A154" t="s">
        <v>5237</v>
      </c>
      <c r="B154">
        <v>8</v>
      </c>
      <c r="C154" t="s">
        <v>19</v>
      </c>
      <c r="D154">
        <v>168</v>
      </c>
      <c r="E154">
        <v>144</v>
      </c>
      <c r="F154">
        <v>194</v>
      </c>
      <c r="G154">
        <v>147</v>
      </c>
      <c r="H154" t="s">
        <v>20</v>
      </c>
      <c r="I154">
        <v>16</v>
      </c>
      <c r="J154">
        <v>1</v>
      </c>
      <c r="K154">
        <v>0</v>
      </c>
      <c r="L154">
        <v>0</v>
      </c>
      <c r="N154" t="s">
        <v>918</v>
      </c>
      <c r="O154" t="s">
        <v>27</v>
      </c>
      <c r="Q154">
        <v>2</v>
      </c>
      <c r="R154" t="b">
        <v>0</v>
      </c>
      <c r="S154" t="s">
        <v>119</v>
      </c>
      <c r="T154">
        <v>0</v>
      </c>
    </row>
    <row r="155" spans="1:20" x14ac:dyDescent="0.25">
      <c r="A155" t="s">
        <v>5238</v>
      </c>
      <c r="B155">
        <v>8</v>
      </c>
      <c r="C155" t="s">
        <v>19</v>
      </c>
      <c r="D155">
        <v>14</v>
      </c>
      <c r="E155">
        <v>155</v>
      </c>
      <c r="F155">
        <v>112</v>
      </c>
      <c r="G155">
        <v>160</v>
      </c>
      <c r="H155" t="s">
        <v>102</v>
      </c>
      <c r="I155">
        <v>12</v>
      </c>
      <c r="J155">
        <v>0</v>
      </c>
      <c r="K155">
        <v>0</v>
      </c>
      <c r="L155">
        <v>0</v>
      </c>
      <c r="N155" t="s">
        <v>918</v>
      </c>
      <c r="O155" t="s">
        <v>25</v>
      </c>
      <c r="Q155">
        <v>3</v>
      </c>
      <c r="R155" t="b">
        <v>1</v>
      </c>
      <c r="S155" t="s">
        <v>119</v>
      </c>
      <c r="T155">
        <v>0</v>
      </c>
    </row>
    <row r="156" spans="1:20" x14ac:dyDescent="0.25">
      <c r="A156" t="s">
        <v>5239</v>
      </c>
      <c r="B156">
        <v>8</v>
      </c>
      <c r="C156" t="s">
        <v>19</v>
      </c>
      <c r="D156">
        <v>113</v>
      </c>
      <c r="E156">
        <v>156</v>
      </c>
      <c r="F156">
        <v>140</v>
      </c>
      <c r="G156">
        <v>159</v>
      </c>
      <c r="H156" t="s">
        <v>20</v>
      </c>
      <c r="I156">
        <v>16</v>
      </c>
      <c r="J156">
        <v>1</v>
      </c>
      <c r="K156">
        <v>0</v>
      </c>
      <c r="L156">
        <v>0</v>
      </c>
      <c r="N156" t="s">
        <v>918</v>
      </c>
      <c r="O156" t="s">
        <v>27</v>
      </c>
      <c r="Q156">
        <v>2</v>
      </c>
      <c r="R156" t="b">
        <v>0</v>
      </c>
      <c r="S156" t="s">
        <v>119</v>
      </c>
      <c r="T156">
        <v>0</v>
      </c>
    </row>
    <row r="157" spans="1:20" x14ac:dyDescent="0.25">
      <c r="A157" t="s">
        <v>5240</v>
      </c>
      <c r="B157">
        <v>8</v>
      </c>
      <c r="C157" t="s">
        <v>19</v>
      </c>
      <c r="D157">
        <v>140</v>
      </c>
      <c r="E157">
        <v>156</v>
      </c>
      <c r="F157">
        <v>169</v>
      </c>
      <c r="G157">
        <v>159</v>
      </c>
      <c r="H157" t="s">
        <v>20</v>
      </c>
      <c r="I157">
        <v>16</v>
      </c>
      <c r="J157">
        <v>1</v>
      </c>
      <c r="K157">
        <v>0</v>
      </c>
      <c r="L157">
        <v>0</v>
      </c>
      <c r="N157" t="s">
        <v>918</v>
      </c>
      <c r="O157" t="s">
        <v>27</v>
      </c>
      <c r="Q157">
        <v>2</v>
      </c>
      <c r="R157" t="b">
        <v>0</v>
      </c>
      <c r="S157" t="s">
        <v>119</v>
      </c>
      <c r="T157">
        <v>0</v>
      </c>
    </row>
    <row r="158" spans="1:20" x14ac:dyDescent="0.25">
      <c r="A158" t="s">
        <v>5241</v>
      </c>
      <c r="B158">
        <v>8</v>
      </c>
      <c r="C158" t="s">
        <v>19</v>
      </c>
      <c r="D158">
        <v>168</v>
      </c>
      <c r="E158">
        <v>156</v>
      </c>
      <c r="F158">
        <v>194</v>
      </c>
      <c r="G158">
        <v>159</v>
      </c>
      <c r="H158" t="s">
        <v>20</v>
      </c>
      <c r="I158">
        <v>16</v>
      </c>
      <c r="J158">
        <v>1</v>
      </c>
      <c r="K158">
        <v>0</v>
      </c>
      <c r="L158">
        <v>0</v>
      </c>
      <c r="N158" t="s">
        <v>918</v>
      </c>
      <c r="O158" t="s">
        <v>27</v>
      </c>
      <c r="Q158">
        <v>2</v>
      </c>
      <c r="R158" t="b">
        <v>0</v>
      </c>
      <c r="S158" t="s">
        <v>119</v>
      </c>
      <c r="T158">
        <v>0</v>
      </c>
    </row>
    <row r="159" spans="1:20" x14ac:dyDescent="0.25">
      <c r="A159" t="s">
        <v>5242</v>
      </c>
      <c r="B159">
        <v>8</v>
      </c>
      <c r="C159" t="s">
        <v>19</v>
      </c>
      <c r="D159">
        <v>14</v>
      </c>
      <c r="E159">
        <v>167</v>
      </c>
      <c r="F159">
        <v>112</v>
      </c>
      <c r="G159">
        <v>172</v>
      </c>
      <c r="H159" t="s">
        <v>102</v>
      </c>
      <c r="I159">
        <v>12</v>
      </c>
      <c r="J159">
        <v>0</v>
      </c>
      <c r="K159">
        <v>0</v>
      </c>
      <c r="L159">
        <v>0</v>
      </c>
      <c r="N159" t="s">
        <v>918</v>
      </c>
      <c r="O159" t="s">
        <v>25</v>
      </c>
      <c r="Q159">
        <v>3</v>
      </c>
      <c r="R159" t="b">
        <v>1</v>
      </c>
      <c r="S159" t="s">
        <v>119</v>
      </c>
      <c r="T159">
        <v>0</v>
      </c>
    </row>
    <row r="160" spans="1:20" x14ac:dyDescent="0.25">
      <c r="A160" t="s">
        <v>5243</v>
      </c>
      <c r="B160">
        <v>8</v>
      </c>
      <c r="C160" t="s">
        <v>19</v>
      </c>
      <c r="D160">
        <v>113</v>
      </c>
      <c r="E160">
        <v>168</v>
      </c>
      <c r="F160">
        <v>140</v>
      </c>
      <c r="G160">
        <v>171</v>
      </c>
      <c r="H160" t="s">
        <v>20</v>
      </c>
      <c r="I160">
        <v>16</v>
      </c>
      <c r="J160">
        <v>1</v>
      </c>
      <c r="K160">
        <v>0</v>
      </c>
      <c r="L160">
        <v>0</v>
      </c>
      <c r="N160" t="s">
        <v>918</v>
      </c>
      <c r="O160" t="s">
        <v>27</v>
      </c>
      <c r="Q160">
        <v>2</v>
      </c>
      <c r="R160" t="b">
        <v>0</v>
      </c>
      <c r="S160" t="s">
        <v>119</v>
      </c>
      <c r="T160">
        <v>0</v>
      </c>
    </row>
    <row r="161" spans="1:20" x14ac:dyDescent="0.25">
      <c r="A161" t="s">
        <v>5244</v>
      </c>
      <c r="B161">
        <v>8</v>
      </c>
      <c r="C161" t="s">
        <v>19</v>
      </c>
      <c r="D161">
        <v>140</v>
      </c>
      <c r="E161">
        <v>168</v>
      </c>
      <c r="F161">
        <v>169</v>
      </c>
      <c r="G161">
        <v>171</v>
      </c>
      <c r="H161" t="s">
        <v>20</v>
      </c>
      <c r="I161">
        <v>16</v>
      </c>
      <c r="J161">
        <v>1</v>
      </c>
      <c r="K161">
        <v>0</v>
      </c>
      <c r="L161">
        <v>0</v>
      </c>
      <c r="N161" t="s">
        <v>918</v>
      </c>
      <c r="O161" t="s">
        <v>27</v>
      </c>
      <c r="Q161">
        <v>2</v>
      </c>
      <c r="R161" t="b">
        <v>0</v>
      </c>
      <c r="S161" t="s">
        <v>119</v>
      </c>
      <c r="T161">
        <v>0</v>
      </c>
    </row>
    <row r="162" spans="1:20" x14ac:dyDescent="0.25">
      <c r="A162" t="s">
        <v>5245</v>
      </c>
      <c r="B162">
        <v>8</v>
      </c>
      <c r="C162" t="s">
        <v>19</v>
      </c>
      <c r="D162">
        <v>168</v>
      </c>
      <c r="E162">
        <v>168</v>
      </c>
      <c r="F162">
        <v>194</v>
      </c>
      <c r="G162">
        <v>171</v>
      </c>
      <c r="H162" t="s">
        <v>20</v>
      </c>
      <c r="I162">
        <v>16</v>
      </c>
      <c r="J162">
        <v>1</v>
      </c>
      <c r="K162">
        <v>0</v>
      </c>
      <c r="L162">
        <v>0</v>
      </c>
      <c r="N162" t="s">
        <v>918</v>
      </c>
      <c r="O162" t="s">
        <v>27</v>
      </c>
      <c r="Q162">
        <v>2</v>
      </c>
      <c r="R162" t="b">
        <v>0</v>
      </c>
      <c r="S162" t="s">
        <v>119</v>
      </c>
      <c r="T162">
        <v>0</v>
      </c>
    </row>
    <row r="163" spans="1:20" x14ac:dyDescent="0.25">
      <c r="A163" t="s">
        <v>5246</v>
      </c>
      <c r="B163">
        <v>8</v>
      </c>
      <c r="C163" t="s">
        <v>19</v>
      </c>
      <c r="D163">
        <v>14</v>
      </c>
      <c r="E163">
        <v>179</v>
      </c>
      <c r="F163">
        <v>112</v>
      </c>
      <c r="G163">
        <v>184</v>
      </c>
      <c r="H163" t="s">
        <v>102</v>
      </c>
      <c r="I163">
        <v>12</v>
      </c>
      <c r="J163">
        <v>0</v>
      </c>
      <c r="K163">
        <v>0</v>
      </c>
      <c r="L163">
        <v>0</v>
      </c>
      <c r="N163" t="s">
        <v>918</v>
      </c>
      <c r="O163" t="s">
        <v>25</v>
      </c>
      <c r="Q163">
        <v>3</v>
      </c>
      <c r="R163" t="b">
        <v>1</v>
      </c>
      <c r="S163" t="s">
        <v>119</v>
      </c>
      <c r="T163">
        <v>0</v>
      </c>
    </row>
    <row r="164" spans="1:20" x14ac:dyDescent="0.25">
      <c r="A164" t="s">
        <v>5247</v>
      </c>
      <c r="B164">
        <v>8</v>
      </c>
      <c r="C164" t="s">
        <v>19</v>
      </c>
      <c r="D164">
        <v>113</v>
      </c>
      <c r="E164">
        <v>180</v>
      </c>
      <c r="F164">
        <v>140</v>
      </c>
      <c r="G164">
        <v>183</v>
      </c>
      <c r="H164" t="s">
        <v>20</v>
      </c>
      <c r="I164">
        <v>16</v>
      </c>
      <c r="J164">
        <v>1</v>
      </c>
      <c r="K164">
        <v>0</v>
      </c>
      <c r="L164">
        <v>0</v>
      </c>
      <c r="N164" t="s">
        <v>918</v>
      </c>
      <c r="O164" t="s">
        <v>27</v>
      </c>
      <c r="Q164">
        <v>2</v>
      </c>
      <c r="R164" t="b">
        <v>0</v>
      </c>
      <c r="S164" t="s">
        <v>119</v>
      </c>
      <c r="T164">
        <v>0</v>
      </c>
    </row>
    <row r="165" spans="1:20" x14ac:dyDescent="0.25">
      <c r="A165" t="s">
        <v>5248</v>
      </c>
      <c r="B165">
        <v>8</v>
      </c>
      <c r="C165" t="s">
        <v>19</v>
      </c>
      <c r="D165">
        <v>140</v>
      </c>
      <c r="E165">
        <v>180</v>
      </c>
      <c r="F165">
        <v>169</v>
      </c>
      <c r="G165">
        <v>183</v>
      </c>
      <c r="H165" t="s">
        <v>20</v>
      </c>
      <c r="I165">
        <v>16</v>
      </c>
      <c r="J165">
        <v>1</v>
      </c>
      <c r="K165">
        <v>0</v>
      </c>
      <c r="L165">
        <v>0</v>
      </c>
      <c r="N165" t="s">
        <v>918</v>
      </c>
      <c r="O165" t="s">
        <v>27</v>
      </c>
      <c r="Q165">
        <v>2</v>
      </c>
      <c r="R165" t="b">
        <v>0</v>
      </c>
      <c r="S165" t="s">
        <v>119</v>
      </c>
      <c r="T165">
        <v>0</v>
      </c>
    </row>
    <row r="166" spans="1:20" x14ac:dyDescent="0.25">
      <c r="A166" t="s">
        <v>5249</v>
      </c>
      <c r="B166">
        <v>8</v>
      </c>
      <c r="C166" t="s">
        <v>19</v>
      </c>
      <c r="D166">
        <v>168</v>
      </c>
      <c r="E166">
        <v>180</v>
      </c>
      <c r="F166">
        <v>194</v>
      </c>
      <c r="G166">
        <v>183</v>
      </c>
      <c r="H166" t="s">
        <v>20</v>
      </c>
      <c r="I166">
        <v>16</v>
      </c>
      <c r="J166">
        <v>1</v>
      </c>
      <c r="K166">
        <v>0</v>
      </c>
      <c r="L166">
        <v>0</v>
      </c>
      <c r="N166" t="s">
        <v>918</v>
      </c>
      <c r="O166" t="s">
        <v>27</v>
      </c>
      <c r="Q166">
        <v>2</v>
      </c>
      <c r="R166" t="b">
        <v>0</v>
      </c>
      <c r="S166" t="s">
        <v>119</v>
      </c>
      <c r="T166">
        <v>0</v>
      </c>
    </row>
    <row r="167" spans="1:20" x14ac:dyDescent="0.25">
      <c r="A167" t="s">
        <v>5250</v>
      </c>
      <c r="B167">
        <v>8</v>
      </c>
      <c r="C167" t="s">
        <v>19</v>
      </c>
      <c r="D167">
        <v>14</v>
      </c>
      <c r="E167">
        <v>191</v>
      </c>
      <c r="F167">
        <v>112</v>
      </c>
      <c r="G167">
        <v>196</v>
      </c>
      <c r="H167" t="s">
        <v>102</v>
      </c>
      <c r="I167">
        <v>12</v>
      </c>
      <c r="J167">
        <v>0</v>
      </c>
      <c r="K167">
        <v>0</v>
      </c>
      <c r="L167">
        <v>0</v>
      </c>
      <c r="N167" t="s">
        <v>918</v>
      </c>
      <c r="O167" t="s">
        <v>25</v>
      </c>
      <c r="Q167">
        <v>3</v>
      </c>
      <c r="R167" t="b">
        <v>1</v>
      </c>
      <c r="S167" t="s">
        <v>119</v>
      </c>
      <c r="T167">
        <v>0</v>
      </c>
    </row>
    <row r="168" spans="1:20" x14ac:dyDescent="0.25">
      <c r="A168" t="s">
        <v>5251</v>
      </c>
      <c r="B168">
        <v>8</v>
      </c>
      <c r="C168" t="s">
        <v>19</v>
      </c>
      <c r="D168">
        <v>113</v>
      </c>
      <c r="E168">
        <v>192</v>
      </c>
      <c r="F168">
        <v>140</v>
      </c>
      <c r="G168">
        <v>195</v>
      </c>
      <c r="H168" t="s">
        <v>20</v>
      </c>
      <c r="I168">
        <v>16</v>
      </c>
      <c r="J168">
        <v>1</v>
      </c>
      <c r="K168">
        <v>0</v>
      </c>
      <c r="L168">
        <v>0</v>
      </c>
      <c r="N168" t="s">
        <v>918</v>
      </c>
      <c r="O168" t="s">
        <v>27</v>
      </c>
      <c r="Q168">
        <v>2</v>
      </c>
      <c r="R168" t="b">
        <v>0</v>
      </c>
      <c r="S168" t="s">
        <v>119</v>
      </c>
      <c r="T168">
        <v>0</v>
      </c>
    </row>
    <row r="169" spans="1:20" x14ac:dyDescent="0.25">
      <c r="A169" t="s">
        <v>5252</v>
      </c>
      <c r="B169">
        <v>8</v>
      </c>
      <c r="C169" t="s">
        <v>19</v>
      </c>
      <c r="D169">
        <v>140</v>
      </c>
      <c r="E169">
        <v>192</v>
      </c>
      <c r="F169">
        <v>169</v>
      </c>
      <c r="G169">
        <v>195</v>
      </c>
      <c r="H169" t="s">
        <v>20</v>
      </c>
      <c r="I169">
        <v>16</v>
      </c>
      <c r="J169">
        <v>1</v>
      </c>
      <c r="K169">
        <v>0</v>
      </c>
      <c r="L169">
        <v>0</v>
      </c>
      <c r="N169" t="s">
        <v>918</v>
      </c>
      <c r="O169" t="s">
        <v>27</v>
      </c>
      <c r="Q169">
        <v>2</v>
      </c>
      <c r="R169" t="b">
        <v>0</v>
      </c>
      <c r="S169" t="s">
        <v>119</v>
      </c>
      <c r="T169">
        <v>0</v>
      </c>
    </row>
    <row r="170" spans="1:20" x14ac:dyDescent="0.25">
      <c r="A170" t="s">
        <v>5253</v>
      </c>
      <c r="B170">
        <v>8</v>
      </c>
      <c r="C170" t="s">
        <v>19</v>
      </c>
      <c r="D170">
        <v>168</v>
      </c>
      <c r="E170">
        <v>192</v>
      </c>
      <c r="F170">
        <v>194</v>
      </c>
      <c r="G170">
        <v>195</v>
      </c>
      <c r="H170" t="s">
        <v>20</v>
      </c>
      <c r="I170">
        <v>16</v>
      </c>
      <c r="J170">
        <v>1</v>
      </c>
      <c r="K170">
        <v>0</v>
      </c>
      <c r="L170">
        <v>0</v>
      </c>
      <c r="N170" t="s">
        <v>918</v>
      </c>
      <c r="O170" t="s">
        <v>27</v>
      </c>
      <c r="Q170">
        <v>2</v>
      </c>
      <c r="R170" t="b">
        <v>0</v>
      </c>
      <c r="S170" t="s">
        <v>119</v>
      </c>
      <c r="T170">
        <v>0</v>
      </c>
    </row>
    <row r="171" spans="1:20" x14ac:dyDescent="0.25">
      <c r="A171" t="s">
        <v>5254</v>
      </c>
      <c r="B171">
        <v>8</v>
      </c>
      <c r="C171" t="s">
        <v>19</v>
      </c>
      <c r="D171">
        <v>14</v>
      </c>
      <c r="E171">
        <v>203</v>
      </c>
      <c r="F171">
        <v>112</v>
      </c>
      <c r="G171">
        <v>208</v>
      </c>
      <c r="H171" t="s">
        <v>102</v>
      </c>
      <c r="I171">
        <v>12</v>
      </c>
      <c r="J171">
        <v>0</v>
      </c>
      <c r="K171">
        <v>0</v>
      </c>
      <c r="L171">
        <v>0</v>
      </c>
      <c r="N171" t="s">
        <v>918</v>
      </c>
      <c r="O171" t="s">
        <v>25</v>
      </c>
      <c r="Q171">
        <v>3</v>
      </c>
      <c r="R171" t="b">
        <v>1</v>
      </c>
      <c r="S171" t="s">
        <v>119</v>
      </c>
      <c r="T171">
        <v>0</v>
      </c>
    </row>
    <row r="172" spans="1:20" x14ac:dyDescent="0.25">
      <c r="A172" t="s">
        <v>5255</v>
      </c>
      <c r="B172">
        <v>8</v>
      </c>
      <c r="C172" t="s">
        <v>19</v>
      </c>
      <c r="D172">
        <v>113</v>
      </c>
      <c r="E172">
        <v>204</v>
      </c>
      <c r="F172">
        <v>140</v>
      </c>
      <c r="G172">
        <v>207</v>
      </c>
      <c r="H172" t="s">
        <v>20</v>
      </c>
      <c r="I172">
        <v>16</v>
      </c>
      <c r="J172">
        <v>1</v>
      </c>
      <c r="K172">
        <v>0</v>
      </c>
      <c r="L172">
        <v>0</v>
      </c>
      <c r="N172" t="s">
        <v>918</v>
      </c>
      <c r="O172" t="s">
        <v>27</v>
      </c>
      <c r="Q172">
        <v>2</v>
      </c>
      <c r="R172" t="b">
        <v>0</v>
      </c>
      <c r="S172" t="s">
        <v>119</v>
      </c>
      <c r="T172">
        <v>0</v>
      </c>
    </row>
    <row r="173" spans="1:20" x14ac:dyDescent="0.25">
      <c r="A173" t="s">
        <v>5256</v>
      </c>
      <c r="B173">
        <v>8</v>
      </c>
      <c r="C173" t="s">
        <v>19</v>
      </c>
      <c r="D173">
        <v>140</v>
      </c>
      <c r="E173">
        <v>204</v>
      </c>
      <c r="F173">
        <v>169</v>
      </c>
      <c r="G173">
        <v>207</v>
      </c>
      <c r="H173" t="s">
        <v>20</v>
      </c>
      <c r="I173">
        <v>16</v>
      </c>
      <c r="J173">
        <v>1</v>
      </c>
      <c r="K173">
        <v>0</v>
      </c>
      <c r="L173">
        <v>0</v>
      </c>
      <c r="N173" t="s">
        <v>918</v>
      </c>
      <c r="O173" t="s">
        <v>27</v>
      </c>
      <c r="Q173">
        <v>2</v>
      </c>
      <c r="R173" t="b">
        <v>0</v>
      </c>
      <c r="S173" t="s">
        <v>119</v>
      </c>
      <c r="T173">
        <v>0</v>
      </c>
    </row>
    <row r="174" spans="1:20" x14ac:dyDescent="0.25">
      <c r="A174" t="s">
        <v>5257</v>
      </c>
      <c r="B174">
        <v>8</v>
      </c>
      <c r="C174" t="s">
        <v>19</v>
      </c>
      <c r="D174">
        <v>168</v>
      </c>
      <c r="E174">
        <v>204</v>
      </c>
      <c r="F174">
        <v>194</v>
      </c>
      <c r="G174">
        <v>207</v>
      </c>
      <c r="H174" t="s">
        <v>20</v>
      </c>
      <c r="I174">
        <v>16</v>
      </c>
      <c r="J174">
        <v>1</v>
      </c>
      <c r="K174">
        <v>0</v>
      </c>
      <c r="L174">
        <v>0</v>
      </c>
      <c r="N174" t="s">
        <v>918</v>
      </c>
      <c r="O174" t="s">
        <v>27</v>
      </c>
      <c r="Q174">
        <v>2</v>
      </c>
      <c r="R174" t="b">
        <v>0</v>
      </c>
      <c r="S174" t="s">
        <v>119</v>
      </c>
      <c r="T174">
        <v>0</v>
      </c>
    </row>
    <row r="175" spans="1:20" x14ac:dyDescent="0.25">
      <c r="A175" t="s">
        <v>5258</v>
      </c>
      <c r="B175">
        <v>8</v>
      </c>
      <c r="C175" t="s">
        <v>19</v>
      </c>
      <c r="D175">
        <v>14</v>
      </c>
      <c r="E175">
        <v>215</v>
      </c>
      <c r="F175">
        <v>112</v>
      </c>
      <c r="G175">
        <v>220</v>
      </c>
      <c r="H175" t="s">
        <v>102</v>
      </c>
      <c r="I175">
        <v>12</v>
      </c>
      <c r="J175">
        <v>0</v>
      </c>
      <c r="K175">
        <v>0</v>
      </c>
      <c r="L175">
        <v>0</v>
      </c>
      <c r="N175" t="s">
        <v>918</v>
      </c>
      <c r="O175" t="s">
        <v>25</v>
      </c>
      <c r="Q175">
        <v>3</v>
      </c>
      <c r="R175" t="b">
        <v>1</v>
      </c>
      <c r="S175" t="s">
        <v>119</v>
      </c>
      <c r="T175">
        <v>0</v>
      </c>
    </row>
    <row r="176" spans="1:20" x14ac:dyDescent="0.25">
      <c r="A176" t="s">
        <v>5259</v>
      </c>
      <c r="B176">
        <v>8</v>
      </c>
      <c r="C176" t="s">
        <v>19</v>
      </c>
      <c r="D176">
        <v>113</v>
      </c>
      <c r="E176">
        <v>216</v>
      </c>
      <c r="F176">
        <v>140</v>
      </c>
      <c r="G176">
        <v>219</v>
      </c>
      <c r="H176" t="s">
        <v>20</v>
      </c>
      <c r="I176">
        <v>16</v>
      </c>
      <c r="J176">
        <v>1</v>
      </c>
      <c r="K176">
        <v>0</v>
      </c>
      <c r="L176">
        <v>0</v>
      </c>
      <c r="N176" t="s">
        <v>918</v>
      </c>
      <c r="O176" t="s">
        <v>27</v>
      </c>
      <c r="Q176">
        <v>2</v>
      </c>
      <c r="R176" t="b">
        <v>0</v>
      </c>
      <c r="S176" t="s">
        <v>119</v>
      </c>
      <c r="T176">
        <v>0</v>
      </c>
    </row>
    <row r="177" spans="1:20" x14ac:dyDescent="0.25">
      <c r="A177" t="s">
        <v>5260</v>
      </c>
      <c r="B177">
        <v>8</v>
      </c>
      <c r="C177" t="s">
        <v>19</v>
      </c>
      <c r="D177">
        <v>140</v>
      </c>
      <c r="E177">
        <v>216</v>
      </c>
      <c r="F177">
        <v>169</v>
      </c>
      <c r="G177">
        <v>219</v>
      </c>
      <c r="H177" t="s">
        <v>20</v>
      </c>
      <c r="I177">
        <v>16</v>
      </c>
      <c r="J177">
        <v>1</v>
      </c>
      <c r="K177">
        <v>0</v>
      </c>
      <c r="L177">
        <v>0</v>
      </c>
      <c r="N177" t="s">
        <v>918</v>
      </c>
      <c r="O177" t="s">
        <v>27</v>
      </c>
      <c r="Q177">
        <v>2</v>
      </c>
      <c r="R177" t="b">
        <v>0</v>
      </c>
      <c r="S177" t="s">
        <v>119</v>
      </c>
      <c r="T177">
        <v>0</v>
      </c>
    </row>
    <row r="178" spans="1:20" x14ac:dyDescent="0.25">
      <c r="A178" t="s">
        <v>5261</v>
      </c>
      <c r="B178">
        <v>8</v>
      </c>
      <c r="C178" t="s">
        <v>19</v>
      </c>
      <c r="D178">
        <v>168</v>
      </c>
      <c r="E178">
        <v>216</v>
      </c>
      <c r="F178">
        <v>194</v>
      </c>
      <c r="G178">
        <v>219</v>
      </c>
      <c r="H178" t="s">
        <v>20</v>
      </c>
      <c r="I178">
        <v>16</v>
      </c>
      <c r="J178">
        <v>1</v>
      </c>
      <c r="K178">
        <v>0</v>
      </c>
      <c r="L178">
        <v>0</v>
      </c>
      <c r="N178" t="s">
        <v>918</v>
      </c>
      <c r="O178" t="s">
        <v>27</v>
      </c>
      <c r="Q178">
        <v>2</v>
      </c>
      <c r="R178" t="b">
        <v>0</v>
      </c>
      <c r="S178" t="s">
        <v>119</v>
      </c>
      <c r="T178">
        <v>0</v>
      </c>
    </row>
    <row r="179" spans="1:20" x14ac:dyDescent="0.25">
      <c r="A179" t="s">
        <v>5262</v>
      </c>
      <c r="B179">
        <v>8</v>
      </c>
      <c r="C179" t="s">
        <v>19</v>
      </c>
      <c r="D179">
        <v>14</v>
      </c>
      <c r="E179">
        <v>227</v>
      </c>
      <c r="F179">
        <v>112</v>
      </c>
      <c r="G179">
        <v>232</v>
      </c>
      <c r="H179" t="s">
        <v>102</v>
      </c>
      <c r="I179">
        <v>12</v>
      </c>
      <c r="J179">
        <v>0</v>
      </c>
      <c r="K179">
        <v>0</v>
      </c>
      <c r="L179">
        <v>0</v>
      </c>
      <c r="N179" t="s">
        <v>918</v>
      </c>
      <c r="O179" t="s">
        <v>25</v>
      </c>
      <c r="Q179">
        <v>3</v>
      </c>
      <c r="R179" t="b">
        <v>1</v>
      </c>
      <c r="S179" t="s">
        <v>119</v>
      </c>
      <c r="T179">
        <v>0</v>
      </c>
    </row>
    <row r="180" spans="1:20" x14ac:dyDescent="0.25">
      <c r="A180" t="s">
        <v>5263</v>
      </c>
      <c r="B180">
        <v>8</v>
      </c>
      <c r="C180" t="s">
        <v>19</v>
      </c>
      <c r="D180">
        <v>113</v>
      </c>
      <c r="E180">
        <v>228</v>
      </c>
      <c r="F180">
        <v>140</v>
      </c>
      <c r="G180">
        <v>231</v>
      </c>
      <c r="H180" t="s">
        <v>20</v>
      </c>
      <c r="I180">
        <v>16</v>
      </c>
      <c r="J180">
        <v>1</v>
      </c>
      <c r="K180">
        <v>0</v>
      </c>
      <c r="L180">
        <v>0</v>
      </c>
      <c r="N180" t="s">
        <v>918</v>
      </c>
      <c r="O180" t="s">
        <v>27</v>
      </c>
      <c r="Q180">
        <v>2</v>
      </c>
      <c r="R180" t="b">
        <v>0</v>
      </c>
      <c r="S180" t="s">
        <v>119</v>
      </c>
      <c r="T180">
        <v>0</v>
      </c>
    </row>
    <row r="181" spans="1:20" x14ac:dyDescent="0.25">
      <c r="A181" t="s">
        <v>5264</v>
      </c>
      <c r="B181">
        <v>8</v>
      </c>
      <c r="C181" t="s">
        <v>19</v>
      </c>
      <c r="D181">
        <v>140</v>
      </c>
      <c r="E181">
        <v>228</v>
      </c>
      <c r="F181">
        <v>169</v>
      </c>
      <c r="G181">
        <v>231</v>
      </c>
      <c r="H181" t="s">
        <v>20</v>
      </c>
      <c r="I181">
        <v>16</v>
      </c>
      <c r="J181">
        <v>1</v>
      </c>
      <c r="K181">
        <v>0</v>
      </c>
      <c r="L181">
        <v>0</v>
      </c>
      <c r="N181" t="s">
        <v>918</v>
      </c>
      <c r="O181" t="s">
        <v>27</v>
      </c>
      <c r="Q181">
        <v>2</v>
      </c>
      <c r="R181" t="b">
        <v>0</v>
      </c>
      <c r="S181" t="s">
        <v>119</v>
      </c>
      <c r="T181">
        <v>0</v>
      </c>
    </row>
    <row r="182" spans="1:20" x14ac:dyDescent="0.25">
      <c r="A182" t="s">
        <v>5265</v>
      </c>
      <c r="B182">
        <v>8</v>
      </c>
      <c r="C182" t="s">
        <v>19</v>
      </c>
      <c r="D182">
        <v>168</v>
      </c>
      <c r="E182">
        <v>228</v>
      </c>
      <c r="F182">
        <v>194</v>
      </c>
      <c r="G182">
        <v>231</v>
      </c>
      <c r="H182" t="s">
        <v>20</v>
      </c>
      <c r="I182">
        <v>16</v>
      </c>
      <c r="J182">
        <v>1</v>
      </c>
      <c r="K182">
        <v>0</v>
      </c>
      <c r="L182">
        <v>0</v>
      </c>
      <c r="N182" t="s">
        <v>918</v>
      </c>
      <c r="O182" t="s">
        <v>27</v>
      </c>
      <c r="Q182">
        <v>2</v>
      </c>
      <c r="R182" t="b">
        <v>0</v>
      </c>
      <c r="S182" t="s">
        <v>119</v>
      </c>
      <c r="T182">
        <v>0</v>
      </c>
    </row>
    <row r="183" spans="1:20" x14ac:dyDescent="0.25">
      <c r="A183" t="s">
        <v>5266</v>
      </c>
      <c r="B183">
        <v>8</v>
      </c>
      <c r="C183" t="s">
        <v>19</v>
      </c>
      <c r="D183">
        <v>14</v>
      </c>
      <c r="E183">
        <v>239</v>
      </c>
      <c r="F183">
        <v>112</v>
      </c>
      <c r="G183">
        <v>244</v>
      </c>
      <c r="H183" t="s">
        <v>102</v>
      </c>
      <c r="I183">
        <v>12</v>
      </c>
      <c r="J183">
        <v>0</v>
      </c>
      <c r="K183">
        <v>0</v>
      </c>
      <c r="L183">
        <v>0</v>
      </c>
      <c r="N183" t="s">
        <v>918</v>
      </c>
      <c r="O183" t="s">
        <v>25</v>
      </c>
      <c r="Q183">
        <v>3</v>
      </c>
      <c r="R183" t="b">
        <v>1</v>
      </c>
      <c r="S183" t="s">
        <v>119</v>
      </c>
      <c r="T183">
        <v>0</v>
      </c>
    </row>
    <row r="184" spans="1:20" x14ac:dyDescent="0.25">
      <c r="A184" t="s">
        <v>5267</v>
      </c>
      <c r="B184">
        <v>8</v>
      </c>
      <c r="C184" t="s">
        <v>19</v>
      </c>
      <c r="D184">
        <v>113</v>
      </c>
      <c r="E184">
        <v>240</v>
      </c>
      <c r="F184">
        <v>140</v>
      </c>
      <c r="G184">
        <v>243</v>
      </c>
      <c r="H184" t="s">
        <v>20</v>
      </c>
      <c r="I184">
        <v>16</v>
      </c>
      <c r="J184">
        <v>1</v>
      </c>
      <c r="K184">
        <v>0</v>
      </c>
      <c r="L184">
        <v>0</v>
      </c>
      <c r="N184" t="s">
        <v>918</v>
      </c>
      <c r="O184" t="s">
        <v>27</v>
      </c>
      <c r="Q184">
        <v>2</v>
      </c>
      <c r="R184" t="b">
        <v>0</v>
      </c>
      <c r="S184" t="s">
        <v>119</v>
      </c>
      <c r="T184">
        <v>0</v>
      </c>
    </row>
    <row r="185" spans="1:20" x14ac:dyDescent="0.25">
      <c r="A185" t="s">
        <v>5268</v>
      </c>
      <c r="B185">
        <v>8</v>
      </c>
      <c r="C185" t="s">
        <v>19</v>
      </c>
      <c r="D185">
        <v>140</v>
      </c>
      <c r="E185">
        <v>240</v>
      </c>
      <c r="F185">
        <v>169</v>
      </c>
      <c r="G185">
        <v>243</v>
      </c>
      <c r="H185" t="s">
        <v>20</v>
      </c>
      <c r="I185">
        <v>16</v>
      </c>
      <c r="J185">
        <v>1</v>
      </c>
      <c r="K185">
        <v>0</v>
      </c>
      <c r="L185">
        <v>0</v>
      </c>
      <c r="N185" t="s">
        <v>918</v>
      </c>
      <c r="O185" t="s">
        <v>27</v>
      </c>
      <c r="Q185">
        <v>2</v>
      </c>
      <c r="R185" t="b">
        <v>0</v>
      </c>
      <c r="S185" t="s">
        <v>119</v>
      </c>
      <c r="T185">
        <v>0</v>
      </c>
    </row>
    <row r="186" spans="1:20" x14ac:dyDescent="0.25">
      <c r="A186" t="s">
        <v>5269</v>
      </c>
      <c r="B186">
        <v>8</v>
      </c>
      <c r="C186" t="s">
        <v>19</v>
      </c>
      <c r="D186">
        <v>168</v>
      </c>
      <c r="E186">
        <v>240</v>
      </c>
      <c r="F186">
        <v>194</v>
      </c>
      <c r="G186">
        <v>243</v>
      </c>
      <c r="H186" t="s">
        <v>20</v>
      </c>
      <c r="I186">
        <v>16</v>
      </c>
      <c r="J186">
        <v>1</v>
      </c>
      <c r="K186">
        <v>0</v>
      </c>
      <c r="L186">
        <v>0</v>
      </c>
      <c r="N186" t="s">
        <v>918</v>
      </c>
      <c r="O186" t="s">
        <v>27</v>
      </c>
      <c r="Q186">
        <v>2</v>
      </c>
      <c r="R186" t="b">
        <v>0</v>
      </c>
      <c r="S186" t="s">
        <v>119</v>
      </c>
      <c r="T186">
        <v>0</v>
      </c>
    </row>
    <row r="187" spans="1:20" x14ac:dyDescent="0.25">
      <c r="A187" t="s">
        <v>5270</v>
      </c>
      <c r="B187">
        <v>8</v>
      </c>
      <c r="C187" t="s">
        <v>19</v>
      </c>
      <c r="D187">
        <v>14</v>
      </c>
      <c r="E187">
        <v>251</v>
      </c>
      <c r="F187">
        <v>112</v>
      </c>
      <c r="G187">
        <v>256</v>
      </c>
      <c r="H187" t="s">
        <v>102</v>
      </c>
      <c r="I187">
        <v>12</v>
      </c>
      <c r="J187">
        <v>0</v>
      </c>
      <c r="K187">
        <v>0</v>
      </c>
      <c r="L187">
        <v>0</v>
      </c>
      <c r="N187" t="s">
        <v>918</v>
      </c>
      <c r="O187" t="s">
        <v>25</v>
      </c>
      <c r="Q187">
        <v>3</v>
      </c>
      <c r="R187" t="b">
        <v>1</v>
      </c>
      <c r="S187" t="s">
        <v>119</v>
      </c>
      <c r="T187">
        <v>0</v>
      </c>
    </row>
    <row r="188" spans="1:20" x14ac:dyDescent="0.25">
      <c r="A188" t="s">
        <v>5271</v>
      </c>
      <c r="B188">
        <v>8</v>
      </c>
      <c r="C188" t="s">
        <v>19</v>
      </c>
      <c r="D188">
        <v>113</v>
      </c>
      <c r="E188">
        <v>252</v>
      </c>
      <c r="F188">
        <v>140</v>
      </c>
      <c r="G188">
        <v>255</v>
      </c>
      <c r="H188" t="s">
        <v>20</v>
      </c>
      <c r="I188">
        <v>16</v>
      </c>
      <c r="J188">
        <v>1</v>
      </c>
      <c r="K188">
        <v>0</v>
      </c>
      <c r="L188">
        <v>0</v>
      </c>
      <c r="N188" t="s">
        <v>918</v>
      </c>
      <c r="O188" t="s">
        <v>27</v>
      </c>
      <c r="Q188">
        <v>2</v>
      </c>
      <c r="R188" t="b">
        <v>0</v>
      </c>
      <c r="S188" t="s">
        <v>119</v>
      </c>
      <c r="T188">
        <v>0</v>
      </c>
    </row>
    <row r="189" spans="1:20" x14ac:dyDescent="0.25">
      <c r="A189" t="s">
        <v>5272</v>
      </c>
      <c r="B189">
        <v>8</v>
      </c>
      <c r="C189" t="s">
        <v>19</v>
      </c>
      <c r="D189">
        <v>140</v>
      </c>
      <c r="E189">
        <v>252</v>
      </c>
      <c r="F189">
        <v>169</v>
      </c>
      <c r="G189">
        <v>255</v>
      </c>
      <c r="H189" t="s">
        <v>20</v>
      </c>
      <c r="I189">
        <v>16</v>
      </c>
      <c r="J189">
        <v>1</v>
      </c>
      <c r="K189">
        <v>0</v>
      </c>
      <c r="L189">
        <v>0</v>
      </c>
      <c r="N189" t="s">
        <v>918</v>
      </c>
      <c r="O189" t="s">
        <v>27</v>
      </c>
      <c r="Q189">
        <v>2</v>
      </c>
      <c r="R189" t="b">
        <v>0</v>
      </c>
      <c r="S189" t="s">
        <v>119</v>
      </c>
      <c r="T189">
        <v>0</v>
      </c>
    </row>
    <row r="190" spans="1:20" x14ac:dyDescent="0.25">
      <c r="A190" t="s">
        <v>5273</v>
      </c>
      <c r="B190">
        <v>8</v>
      </c>
      <c r="C190" t="s">
        <v>19</v>
      </c>
      <c r="D190">
        <v>168</v>
      </c>
      <c r="E190">
        <v>252</v>
      </c>
      <c r="F190">
        <v>194</v>
      </c>
      <c r="G190">
        <v>255</v>
      </c>
      <c r="H190" t="s">
        <v>20</v>
      </c>
      <c r="I190">
        <v>16</v>
      </c>
      <c r="J190">
        <v>1</v>
      </c>
      <c r="K190">
        <v>0</v>
      </c>
      <c r="L190">
        <v>0</v>
      </c>
      <c r="N190" t="s">
        <v>918</v>
      </c>
      <c r="O190" t="s">
        <v>27</v>
      </c>
      <c r="Q190">
        <v>2</v>
      </c>
      <c r="R190" t="b">
        <v>0</v>
      </c>
      <c r="S190" t="s">
        <v>119</v>
      </c>
      <c r="T190">
        <v>0</v>
      </c>
    </row>
    <row r="191" spans="1:20" x14ac:dyDescent="0.25">
      <c r="A191" t="s">
        <v>614</v>
      </c>
      <c r="B191">
        <v>9</v>
      </c>
      <c r="C191" t="s">
        <v>19</v>
      </c>
      <c r="D191">
        <v>14</v>
      </c>
      <c r="E191">
        <v>20</v>
      </c>
      <c r="F191">
        <v>196</v>
      </c>
      <c r="G191">
        <v>25</v>
      </c>
      <c r="H191" t="s">
        <v>102</v>
      </c>
      <c r="I191">
        <v>12</v>
      </c>
      <c r="J191">
        <v>1</v>
      </c>
      <c r="K191">
        <v>0</v>
      </c>
      <c r="L191">
        <v>0</v>
      </c>
      <c r="N191" t="s">
        <v>21</v>
      </c>
      <c r="O191" t="s">
        <v>25</v>
      </c>
      <c r="Q191">
        <v>3</v>
      </c>
      <c r="R191" t="b">
        <v>1</v>
      </c>
      <c r="S191" t="s">
        <v>119</v>
      </c>
      <c r="T191">
        <v>0</v>
      </c>
    </row>
    <row r="192" spans="1:20" x14ac:dyDescent="0.25">
      <c r="A192" t="s">
        <v>33</v>
      </c>
      <c r="B192">
        <v>9</v>
      </c>
      <c r="C192" t="s">
        <v>24</v>
      </c>
      <c r="D192">
        <v>20</v>
      </c>
      <c r="E192">
        <v>60</v>
      </c>
      <c r="F192">
        <v>190</v>
      </c>
      <c r="G192">
        <v>214</v>
      </c>
      <c r="I192">
        <v>0</v>
      </c>
      <c r="J192">
        <v>0</v>
      </c>
      <c r="K192">
        <v>0</v>
      </c>
      <c r="L192">
        <v>0</v>
      </c>
      <c r="N192" t="s">
        <v>21</v>
      </c>
      <c r="O192" t="s">
        <v>25</v>
      </c>
      <c r="Q192">
        <v>2</v>
      </c>
      <c r="R192" t="b">
        <v>0</v>
      </c>
      <c r="S192" t="s">
        <v>119</v>
      </c>
      <c r="T192">
        <v>0</v>
      </c>
    </row>
    <row r="193" spans="1:20" x14ac:dyDescent="0.25">
      <c r="A193" t="s">
        <v>5109</v>
      </c>
      <c r="B193">
        <v>9</v>
      </c>
      <c r="C193" t="s">
        <v>19</v>
      </c>
      <c r="D193">
        <v>14</v>
      </c>
      <c r="E193">
        <v>218</v>
      </c>
      <c r="F193">
        <v>196</v>
      </c>
      <c r="G193">
        <v>226</v>
      </c>
      <c r="H193" t="s">
        <v>102</v>
      </c>
      <c r="I193">
        <v>14</v>
      </c>
      <c r="J193">
        <v>0</v>
      </c>
      <c r="K193">
        <v>0</v>
      </c>
      <c r="L193">
        <v>0</v>
      </c>
      <c r="M193" t="s">
        <v>884</v>
      </c>
      <c r="N193" t="s">
        <v>21</v>
      </c>
      <c r="O193" t="s">
        <v>27</v>
      </c>
      <c r="Q193">
        <v>3</v>
      </c>
      <c r="R193" t="b">
        <v>1</v>
      </c>
      <c r="S193" t="s">
        <v>119</v>
      </c>
      <c r="T193">
        <v>0</v>
      </c>
    </row>
    <row r="194" spans="1:20" x14ac:dyDescent="0.25">
      <c r="A194" t="s">
        <v>930</v>
      </c>
      <c r="B194">
        <v>9</v>
      </c>
      <c r="C194" t="s">
        <v>19</v>
      </c>
      <c r="D194">
        <v>14</v>
      </c>
      <c r="E194">
        <v>275</v>
      </c>
      <c r="F194">
        <v>197</v>
      </c>
      <c r="G194">
        <v>280</v>
      </c>
      <c r="H194" t="s">
        <v>102</v>
      </c>
      <c r="I194">
        <v>8</v>
      </c>
      <c r="J194">
        <v>0</v>
      </c>
      <c r="K194">
        <v>0</v>
      </c>
      <c r="L194">
        <v>0</v>
      </c>
      <c r="M194" t="s">
        <v>884</v>
      </c>
      <c r="N194" t="s">
        <v>21</v>
      </c>
      <c r="O194" t="s">
        <v>25</v>
      </c>
      <c r="Q194">
        <v>3</v>
      </c>
      <c r="R194" t="b">
        <v>1</v>
      </c>
      <c r="T194">
        <v>0</v>
      </c>
    </row>
    <row r="195" spans="1:20" ht="15" customHeight="1" x14ac:dyDescent="0.25">
      <c r="A195" t="s">
        <v>826</v>
      </c>
      <c r="B195">
        <v>-999</v>
      </c>
      <c r="C195" t="s">
        <v>19</v>
      </c>
      <c r="D195">
        <v>14</v>
      </c>
      <c r="E195">
        <v>265</v>
      </c>
      <c r="F195">
        <v>208</v>
      </c>
      <c r="G195">
        <v>273</v>
      </c>
      <c r="H195" t="s">
        <v>102</v>
      </c>
      <c r="I195">
        <v>12</v>
      </c>
      <c r="J195">
        <v>0</v>
      </c>
      <c r="K195">
        <v>0</v>
      </c>
      <c r="L195">
        <v>0</v>
      </c>
      <c r="N195" t="s">
        <v>21</v>
      </c>
      <c r="O195" t="s">
        <v>22</v>
      </c>
      <c r="Q195">
        <v>2</v>
      </c>
      <c r="R195" t="b">
        <v>1</v>
      </c>
      <c r="S195" t="s">
        <v>119</v>
      </c>
      <c r="T195">
        <v>0</v>
      </c>
    </row>
    <row r="196" spans="1:20" ht="15" customHeight="1" x14ac:dyDescent="0.25">
      <c r="A196" t="s">
        <v>31</v>
      </c>
      <c r="B196">
        <v>10</v>
      </c>
      <c r="C196" t="s">
        <v>19</v>
      </c>
      <c r="D196">
        <v>14</v>
      </c>
      <c r="E196">
        <v>20</v>
      </c>
      <c r="F196">
        <v>205</v>
      </c>
      <c r="G196">
        <v>25</v>
      </c>
      <c r="H196" t="s">
        <v>102</v>
      </c>
      <c r="I196">
        <v>12</v>
      </c>
      <c r="J196">
        <v>1</v>
      </c>
      <c r="K196">
        <v>0</v>
      </c>
      <c r="L196">
        <v>0</v>
      </c>
      <c r="N196" t="s">
        <v>21</v>
      </c>
      <c r="O196" t="s">
        <v>25</v>
      </c>
      <c r="Q196">
        <v>3</v>
      </c>
      <c r="R196" t="b">
        <v>1</v>
      </c>
      <c r="S196" t="s">
        <v>119</v>
      </c>
      <c r="T196">
        <v>0</v>
      </c>
    </row>
    <row r="197" spans="1:20" ht="15" customHeight="1" x14ac:dyDescent="0.25">
      <c r="A197" t="s">
        <v>30</v>
      </c>
      <c r="B197">
        <v>10</v>
      </c>
      <c r="C197" t="s">
        <v>24</v>
      </c>
      <c r="D197">
        <v>14</v>
      </c>
      <c r="E197">
        <v>30</v>
      </c>
      <c r="F197">
        <v>196</v>
      </c>
      <c r="G197">
        <v>257</v>
      </c>
      <c r="H197" t="s">
        <v>102</v>
      </c>
      <c r="I197">
        <v>12</v>
      </c>
      <c r="J197">
        <v>0</v>
      </c>
      <c r="K197">
        <v>0</v>
      </c>
      <c r="L197">
        <v>0</v>
      </c>
      <c r="N197" t="s">
        <v>21</v>
      </c>
      <c r="O197" t="s">
        <v>22</v>
      </c>
      <c r="Q197">
        <v>2</v>
      </c>
      <c r="R197" t="b">
        <v>1</v>
      </c>
      <c r="S197" t="s">
        <v>119</v>
      </c>
      <c r="T197">
        <v>0</v>
      </c>
    </row>
    <row r="198" spans="1:20" x14ac:dyDescent="0.25">
      <c r="A198" t="s">
        <v>823</v>
      </c>
      <c r="B198">
        <v>-999</v>
      </c>
      <c r="C198" t="s">
        <v>26</v>
      </c>
      <c r="D198">
        <v>10</v>
      </c>
      <c r="E198">
        <v>10</v>
      </c>
      <c r="F198">
        <v>101</v>
      </c>
      <c r="G198">
        <v>80</v>
      </c>
      <c r="I198">
        <v>0</v>
      </c>
      <c r="J198">
        <v>0</v>
      </c>
      <c r="K198">
        <v>0</v>
      </c>
      <c r="L198">
        <v>0</v>
      </c>
      <c r="N198" t="s">
        <v>21</v>
      </c>
      <c r="O198" t="s">
        <v>25</v>
      </c>
      <c r="Q198">
        <v>1</v>
      </c>
      <c r="R198" t="b">
        <v>0</v>
      </c>
      <c r="S198" t="s">
        <v>119</v>
      </c>
      <c r="T198">
        <v>0</v>
      </c>
    </row>
    <row r="199" spans="1:20" x14ac:dyDescent="0.25">
      <c r="A199" t="s">
        <v>383</v>
      </c>
      <c r="B199">
        <v>-999</v>
      </c>
      <c r="C199" t="s">
        <v>26</v>
      </c>
      <c r="D199">
        <v>0</v>
      </c>
      <c r="E199">
        <v>0</v>
      </c>
      <c r="F199">
        <v>211</v>
      </c>
      <c r="G199">
        <v>16</v>
      </c>
      <c r="I199">
        <v>0</v>
      </c>
      <c r="J199">
        <v>0</v>
      </c>
      <c r="K199">
        <v>0</v>
      </c>
      <c r="L199">
        <v>0</v>
      </c>
      <c r="M199" t="s">
        <v>803</v>
      </c>
      <c r="N199" t="s">
        <v>803</v>
      </c>
      <c r="O199" t="s">
        <v>25</v>
      </c>
      <c r="Q199">
        <v>0</v>
      </c>
      <c r="R199" t="b">
        <v>0</v>
      </c>
      <c r="S199" t="s">
        <v>119</v>
      </c>
      <c r="T199">
        <v>0</v>
      </c>
    </row>
    <row r="200" spans="1:20" x14ac:dyDescent="0.25">
      <c r="A200" t="s">
        <v>824</v>
      </c>
      <c r="B200">
        <v>11</v>
      </c>
      <c r="C200" t="s">
        <v>19</v>
      </c>
      <c r="D200">
        <v>14</v>
      </c>
      <c r="E200">
        <v>20</v>
      </c>
      <c r="F200">
        <v>196</v>
      </c>
      <c r="G200">
        <v>25</v>
      </c>
      <c r="H200" t="s">
        <v>102</v>
      </c>
      <c r="I200">
        <v>14</v>
      </c>
      <c r="J200">
        <v>1</v>
      </c>
      <c r="K200">
        <v>0</v>
      </c>
      <c r="L200">
        <v>0</v>
      </c>
      <c r="N200" t="s">
        <v>21</v>
      </c>
      <c r="O200" t="s">
        <v>25</v>
      </c>
      <c r="Q200">
        <v>2</v>
      </c>
      <c r="R200" t="b">
        <v>1</v>
      </c>
      <c r="S200" t="s">
        <v>119</v>
      </c>
      <c r="T200">
        <v>0</v>
      </c>
    </row>
    <row r="201" spans="1:20" x14ac:dyDescent="0.25">
      <c r="A201" t="s">
        <v>825</v>
      </c>
      <c r="B201">
        <v>11</v>
      </c>
      <c r="C201" t="s">
        <v>19</v>
      </c>
      <c r="D201">
        <v>14</v>
      </c>
      <c r="E201">
        <v>33</v>
      </c>
      <c r="F201">
        <v>196</v>
      </c>
      <c r="G201">
        <v>38</v>
      </c>
      <c r="H201" t="s">
        <v>102</v>
      </c>
      <c r="I201">
        <v>12</v>
      </c>
      <c r="J201">
        <v>0</v>
      </c>
      <c r="K201">
        <v>0</v>
      </c>
      <c r="L201">
        <v>0</v>
      </c>
      <c r="N201" t="s">
        <v>21</v>
      </c>
      <c r="O201" t="s">
        <v>25</v>
      </c>
      <c r="P201" s="1"/>
      <c r="Q201">
        <v>1</v>
      </c>
      <c r="R201" t="b">
        <v>1</v>
      </c>
      <c r="S201" t="s">
        <v>119</v>
      </c>
      <c r="T201">
        <v>0</v>
      </c>
    </row>
    <row r="202" spans="1:20" x14ac:dyDescent="0.25">
      <c r="A202" t="s">
        <v>890</v>
      </c>
      <c r="B202">
        <v>11</v>
      </c>
      <c r="C202" t="s">
        <v>24</v>
      </c>
      <c r="D202">
        <v>30</v>
      </c>
      <c r="E202">
        <v>115</v>
      </c>
      <c r="F202">
        <v>180</v>
      </c>
      <c r="G202">
        <v>265</v>
      </c>
      <c r="I202">
        <v>0</v>
      </c>
      <c r="J202">
        <v>0</v>
      </c>
      <c r="K202">
        <v>0</v>
      </c>
      <c r="L202">
        <v>0</v>
      </c>
      <c r="N202" t="s">
        <v>21</v>
      </c>
      <c r="O202" t="s">
        <v>25</v>
      </c>
      <c r="Q202">
        <v>0</v>
      </c>
      <c r="R202" t="b">
        <v>0</v>
      </c>
      <c r="S202" t="s">
        <v>119</v>
      </c>
      <c r="T202">
        <v>0</v>
      </c>
    </row>
    <row r="203" spans="1:20" x14ac:dyDescent="0.25">
      <c r="A203" t="s">
        <v>891</v>
      </c>
      <c r="B203">
        <v>11</v>
      </c>
      <c r="C203" t="s">
        <v>19</v>
      </c>
      <c r="D203">
        <v>30</v>
      </c>
      <c r="E203">
        <v>115</v>
      </c>
      <c r="F203">
        <v>130</v>
      </c>
      <c r="G203">
        <v>265</v>
      </c>
      <c r="H203" t="s">
        <v>102</v>
      </c>
      <c r="I203">
        <v>12</v>
      </c>
      <c r="J203">
        <v>0</v>
      </c>
      <c r="K203">
        <v>1</v>
      </c>
      <c r="L203">
        <v>0</v>
      </c>
      <c r="N203" t="s">
        <v>21</v>
      </c>
      <c r="O203" t="s">
        <v>25</v>
      </c>
      <c r="Q203">
        <v>0</v>
      </c>
      <c r="R203" t="b">
        <v>1</v>
      </c>
      <c r="S203" t="s">
        <v>119</v>
      </c>
      <c r="T203">
        <v>0</v>
      </c>
    </row>
    <row r="204" spans="1:20" x14ac:dyDescent="0.25">
      <c r="A204" t="s">
        <v>892</v>
      </c>
      <c r="B204">
        <v>11</v>
      </c>
      <c r="C204" t="s">
        <v>19</v>
      </c>
      <c r="D204">
        <v>30</v>
      </c>
      <c r="E204">
        <v>265</v>
      </c>
      <c r="F204">
        <v>180</v>
      </c>
      <c r="G204">
        <v>268</v>
      </c>
      <c r="H204" t="s">
        <v>102</v>
      </c>
      <c r="I204">
        <v>8</v>
      </c>
      <c r="J204">
        <v>0</v>
      </c>
      <c r="K204">
        <v>1</v>
      </c>
      <c r="L204">
        <v>0</v>
      </c>
      <c r="M204" t="s">
        <v>884</v>
      </c>
      <c r="N204" t="s">
        <v>21</v>
      </c>
      <c r="O204" t="s">
        <v>22</v>
      </c>
      <c r="Q204">
        <v>0</v>
      </c>
      <c r="R204" t="b">
        <v>1</v>
      </c>
      <c r="S204" t="s">
        <v>119</v>
      </c>
      <c r="T204">
        <v>0</v>
      </c>
    </row>
    <row r="205" spans="1:20" x14ac:dyDescent="0.25">
      <c r="A205" t="s">
        <v>88</v>
      </c>
      <c r="B205">
        <v>12</v>
      </c>
      <c r="C205" t="s">
        <v>19</v>
      </c>
      <c r="D205">
        <v>14</v>
      </c>
      <c r="E205">
        <v>20</v>
      </c>
      <c r="F205">
        <v>180</v>
      </c>
      <c r="G205">
        <v>25</v>
      </c>
      <c r="H205" t="s">
        <v>102</v>
      </c>
      <c r="I205">
        <v>12</v>
      </c>
      <c r="J205">
        <v>1</v>
      </c>
      <c r="K205">
        <v>0</v>
      </c>
      <c r="L205">
        <v>0</v>
      </c>
      <c r="N205" t="s">
        <v>21</v>
      </c>
      <c r="O205" t="s">
        <v>25</v>
      </c>
      <c r="Q205">
        <v>3</v>
      </c>
      <c r="R205" t="b">
        <v>0</v>
      </c>
      <c r="S205" t="s">
        <v>119</v>
      </c>
      <c r="T205">
        <v>0</v>
      </c>
    </row>
    <row r="206" spans="1:20" x14ac:dyDescent="0.25">
      <c r="A206" t="s">
        <v>949</v>
      </c>
      <c r="B206">
        <v>12</v>
      </c>
      <c r="C206" t="s">
        <v>19</v>
      </c>
      <c r="D206">
        <v>29</v>
      </c>
      <c r="E206">
        <v>33</v>
      </c>
      <c r="F206">
        <v>196</v>
      </c>
      <c r="G206">
        <v>38</v>
      </c>
      <c r="H206" t="s">
        <v>102</v>
      </c>
      <c r="I206">
        <v>10</v>
      </c>
      <c r="J206">
        <v>1</v>
      </c>
      <c r="K206">
        <v>0</v>
      </c>
      <c r="L206">
        <v>0</v>
      </c>
      <c r="N206" t="s">
        <v>21</v>
      </c>
      <c r="O206" t="s">
        <v>25</v>
      </c>
      <c r="P206" s="1"/>
      <c r="Q206">
        <v>1</v>
      </c>
      <c r="R206" t="b">
        <v>0</v>
      </c>
      <c r="S206" t="s">
        <v>119</v>
      </c>
      <c r="T206">
        <v>0</v>
      </c>
    </row>
    <row r="207" spans="1:20" x14ac:dyDescent="0.25">
      <c r="A207" t="s">
        <v>830</v>
      </c>
      <c r="B207">
        <v>12</v>
      </c>
      <c r="C207" t="s">
        <v>24</v>
      </c>
      <c r="D207">
        <v>40</v>
      </c>
      <c r="E207">
        <v>40</v>
      </c>
      <c r="F207">
        <v>104</v>
      </c>
      <c r="G207">
        <v>81</v>
      </c>
      <c r="I207">
        <v>1</v>
      </c>
      <c r="J207">
        <v>0</v>
      </c>
      <c r="K207">
        <v>0</v>
      </c>
      <c r="L207">
        <v>0</v>
      </c>
      <c r="M207" t="s">
        <v>935</v>
      </c>
      <c r="N207" t="s">
        <v>21</v>
      </c>
      <c r="O207" t="s">
        <v>25</v>
      </c>
      <c r="P207" t="s">
        <v>948</v>
      </c>
      <c r="Q207">
        <v>2</v>
      </c>
      <c r="R207" t="b">
        <v>0</v>
      </c>
      <c r="S207" t="s">
        <v>119</v>
      </c>
      <c r="T207">
        <v>0</v>
      </c>
    </row>
    <row r="208" spans="1:20" x14ac:dyDescent="0.25">
      <c r="A208" s="25" t="s">
        <v>954</v>
      </c>
      <c r="B208">
        <v>12</v>
      </c>
      <c r="C208" t="s">
        <v>19</v>
      </c>
      <c r="D208">
        <v>14</v>
      </c>
      <c r="E208">
        <v>38</v>
      </c>
      <c r="F208">
        <v>40</v>
      </c>
      <c r="G208">
        <v>43</v>
      </c>
      <c r="H208" t="s">
        <v>102</v>
      </c>
      <c r="I208">
        <v>10</v>
      </c>
      <c r="J208">
        <v>0</v>
      </c>
      <c r="K208">
        <v>0</v>
      </c>
      <c r="L208">
        <v>0</v>
      </c>
      <c r="N208" t="s">
        <v>21</v>
      </c>
      <c r="O208" t="s">
        <v>22</v>
      </c>
      <c r="P208" s="26"/>
      <c r="Q208">
        <v>3</v>
      </c>
      <c r="R208" t="b">
        <v>0</v>
      </c>
      <c r="S208" t="s">
        <v>119</v>
      </c>
      <c r="T208">
        <v>0</v>
      </c>
    </row>
    <row r="209" spans="1:20" x14ac:dyDescent="0.25">
      <c r="A209" t="s">
        <v>955</v>
      </c>
      <c r="B209">
        <v>12</v>
      </c>
      <c r="C209" t="s">
        <v>19</v>
      </c>
      <c r="D209">
        <v>14</v>
      </c>
      <c r="E209">
        <v>46</v>
      </c>
      <c r="F209">
        <v>40</v>
      </c>
      <c r="G209">
        <v>51</v>
      </c>
      <c r="H209" t="s">
        <v>102</v>
      </c>
      <c r="I209">
        <v>10</v>
      </c>
      <c r="J209">
        <v>0</v>
      </c>
      <c r="K209">
        <v>0</v>
      </c>
      <c r="L209">
        <v>0</v>
      </c>
      <c r="N209" t="s">
        <v>21</v>
      </c>
      <c r="O209" t="s">
        <v>22</v>
      </c>
      <c r="P209" s="26"/>
      <c r="Q209">
        <v>3</v>
      </c>
      <c r="R209" t="b">
        <v>0</v>
      </c>
      <c r="S209" t="s">
        <v>119</v>
      </c>
      <c r="T209">
        <v>0</v>
      </c>
    </row>
    <row r="210" spans="1:20" x14ac:dyDescent="0.25">
      <c r="A210" t="s">
        <v>956</v>
      </c>
      <c r="B210">
        <v>12</v>
      </c>
      <c r="C210" t="s">
        <v>19</v>
      </c>
      <c r="D210">
        <v>14</v>
      </c>
      <c r="E210">
        <v>54</v>
      </c>
      <c r="F210">
        <v>40</v>
      </c>
      <c r="G210">
        <v>59</v>
      </c>
      <c r="H210" t="s">
        <v>102</v>
      </c>
      <c r="I210">
        <v>10</v>
      </c>
      <c r="J210">
        <v>0</v>
      </c>
      <c r="K210">
        <v>0</v>
      </c>
      <c r="L210">
        <v>0</v>
      </c>
      <c r="N210" t="s">
        <v>21</v>
      </c>
      <c r="O210" t="s">
        <v>22</v>
      </c>
      <c r="P210" s="26"/>
      <c r="Q210">
        <v>3</v>
      </c>
      <c r="R210" t="b">
        <v>0</v>
      </c>
      <c r="S210" t="s">
        <v>119</v>
      </c>
      <c r="T210">
        <v>0</v>
      </c>
    </row>
    <row r="211" spans="1:20" x14ac:dyDescent="0.25">
      <c r="A211" t="s">
        <v>957</v>
      </c>
      <c r="B211">
        <v>12</v>
      </c>
      <c r="C211" t="s">
        <v>19</v>
      </c>
      <c r="D211">
        <v>14</v>
      </c>
      <c r="E211">
        <v>62</v>
      </c>
      <c r="F211">
        <v>40</v>
      </c>
      <c r="G211">
        <v>67</v>
      </c>
      <c r="H211" t="s">
        <v>102</v>
      </c>
      <c r="I211">
        <v>10</v>
      </c>
      <c r="J211">
        <v>0</v>
      </c>
      <c r="K211">
        <v>0</v>
      </c>
      <c r="L211">
        <v>0</v>
      </c>
      <c r="N211" t="s">
        <v>21</v>
      </c>
      <c r="O211" t="s">
        <v>22</v>
      </c>
      <c r="P211" s="26"/>
      <c r="Q211">
        <v>3</v>
      </c>
      <c r="R211" t="b">
        <v>0</v>
      </c>
      <c r="S211" t="s">
        <v>119</v>
      </c>
      <c r="T211">
        <v>0</v>
      </c>
    </row>
    <row r="212" spans="1:20" x14ac:dyDescent="0.25">
      <c r="A212" t="s">
        <v>958</v>
      </c>
      <c r="B212">
        <v>12</v>
      </c>
      <c r="C212" t="s">
        <v>19</v>
      </c>
      <c r="D212">
        <v>14</v>
      </c>
      <c r="E212">
        <v>70</v>
      </c>
      <c r="F212">
        <v>40</v>
      </c>
      <c r="G212">
        <v>75</v>
      </c>
      <c r="H212" t="s">
        <v>102</v>
      </c>
      <c r="I212">
        <v>10</v>
      </c>
      <c r="J212">
        <v>0</v>
      </c>
      <c r="K212">
        <v>0</v>
      </c>
      <c r="L212">
        <v>0</v>
      </c>
      <c r="N212" t="s">
        <v>21</v>
      </c>
      <c r="O212" t="s">
        <v>22</v>
      </c>
      <c r="P212" s="26"/>
      <c r="Q212">
        <v>3</v>
      </c>
      <c r="R212" t="b">
        <v>0</v>
      </c>
      <c r="S212" t="s">
        <v>119</v>
      </c>
      <c r="T212">
        <v>0</v>
      </c>
    </row>
    <row r="213" spans="1:20" x14ac:dyDescent="0.25">
      <c r="A213" t="s">
        <v>959</v>
      </c>
      <c r="B213">
        <v>12</v>
      </c>
      <c r="C213" t="s">
        <v>19</v>
      </c>
      <c r="D213">
        <v>14</v>
      </c>
      <c r="E213">
        <v>78</v>
      </c>
      <c r="F213">
        <v>40</v>
      </c>
      <c r="G213">
        <v>83</v>
      </c>
      <c r="H213" t="s">
        <v>102</v>
      </c>
      <c r="I213">
        <v>10</v>
      </c>
      <c r="J213">
        <v>0</v>
      </c>
      <c r="K213">
        <v>0</v>
      </c>
      <c r="L213">
        <v>0</v>
      </c>
      <c r="N213" t="s">
        <v>21</v>
      </c>
      <c r="O213" t="s">
        <v>22</v>
      </c>
      <c r="P213" s="26"/>
      <c r="Q213">
        <v>3</v>
      </c>
      <c r="R213" t="b">
        <v>0</v>
      </c>
      <c r="S213" t="s">
        <v>119</v>
      </c>
      <c r="T213">
        <v>0</v>
      </c>
    </row>
    <row r="214" spans="1:20" x14ac:dyDescent="0.25">
      <c r="A214" t="s">
        <v>926</v>
      </c>
      <c r="B214">
        <v>12</v>
      </c>
      <c r="C214" t="s">
        <v>19</v>
      </c>
      <c r="D214">
        <v>109</v>
      </c>
      <c r="E214">
        <v>45</v>
      </c>
      <c r="F214">
        <v>196</v>
      </c>
      <c r="G214">
        <v>48</v>
      </c>
      <c r="H214" t="s">
        <v>102</v>
      </c>
      <c r="I214">
        <v>8</v>
      </c>
      <c r="J214">
        <v>0</v>
      </c>
      <c r="K214">
        <v>0</v>
      </c>
      <c r="L214">
        <v>0</v>
      </c>
      <c r="M214" t="s">
        <v>884</v>
      </c>
      <c r="O214" t="s">
        <v>25</v>
      </c>
      <c r="P214" t="s">
        <v>927</v>
      </c>
      <c r="Q214">
        <v>3</v>
      </c>
      <c r="R214" t="b">
        <v>1</v>
      </c>
      <c r="S214" t="s">
        <v>119</v>
      </c>
      <c r="T214">
        <v>0</v>
      </c>
    </row>
    <row r="215" spans="1:20" x14ac:dyDescent="0.25">
      <c r="A215" t="s">
        <v>951</v>
      </c>
      <c r="B215">
        <v>12</v>
      </c>
      <c r="C215" t="s">
        <v>19</v>
      </c>
      <c r="D215">
        <v>56</v>
      </c>
      <c r="E215">
        <v>82</v>
      </c>
      <c r="F215">
        <v>196</v>
      </c>
      <c r="G215">
        <v>90</v>
      </c>
      <c r="H215" t="s">
        <v>102</v>
      </c>
      <c r="I215">
        <v>12</v>
      </c>
      <c r="J215">
        <v>0</v>
      </c>
      <c r="K215">
        <v>0</v>
      </c>
      <c r="L215">
        <v>0</v>
      </c>
      <c r="M215" t="s">
        <v>884</v>
      </c>
      <c r="N215" t="s">
        <v>21</v>
      </c>
      <c r="O215" t="s">
        <v>25</v>
      </c>
      <c r="Q215">
        <v>3</v>
      </c>
      <c r="R215" t="b">
        <v>1</v>
      </c>
      <c r="S215" t="s">
        <v>119</v>
      </c>
      <c r="T215">
        <v>0</v>
      </c>
    </row>
    <row r="216" spans="1:20" x14ac:dyDescent="0.25">
      <c r="A216" t="s">
        <v>29</v>
      </c>
      <c r="B216">
        <v>12</v>
      </c>
      <c r="C216" t="s">
        <v>25</v>
      </c>
      <c r="D216">
        <v>30</v>
      </c>
      <c r="E216">
        <v>100</v>
      </c>
      <c r="F216">
        <v>170</v>
      </c>
      <c r="G216">
        <v>100</v>
      </c>
      <c r="I216">
        <v>0</v>
      </c>
      <c r="J216">
        <v>0</v>
      </c>
      <c r="K216">
        <v>0</v>
      </c>
      <c r="L216">
        <v>0</v>
      </c>
      <c r="N216" t="s">
        <v>21</v>
      </c>
      <c r="O216" t="s">
        <v>25</v>
      </c>
      <c r="Q216">
        <v>2</v>
      </c>
      <c r="R216" t="b">
        <v>0</v>
      </c>
      <c r="S216" t="s">
        <v>119</v>
      </c>
      <c r="T216">
        <v>0</v>
      </c>
    </row>
    <row r="217" spans="1:20" x14ac:dyDescent="0.25">
      <c r="A217" t="s">
        <v>34</v>
      </c>
      <c r="B217">
        <v>12</v>
      </c>
      <c r="C217" t="s">
        <v>24</v>
      </c>
      <c r="D217">
        <v>20</v>
      </c>
      <c r="E217">
        <v>140</v>
      </c>
      <c r="F217">
        <v>180</v>
      </c>
      <c r="G217">
        <v>285</v>
      </c>
      <c r="I217">
        <v>0</v>
      </c>
      <c r="J217">
        <v>0</v>
      </c>
      <c r="K217">
        <v>0</v>
      </c>
      <c r="L217">
        <v>0</v>
      </c>
      <c r="N217" t="s">
        <v>21</v>
      </c>
      <c r="O217" t="s">
        <v>25</v>
      </c>
      <c r="Q217">
        <v>2</v>
      </c>
      <c r="R217" t="b">
        <v>0</v>
      </c>
      <c r="S217" t="s">
        <v>119</v>
      </c>
      <c r="T217">
        <v>0</v>
      </c>
    </row>
    <row r="218" spans="1:20" x14ac:dyDescent="0.25">
      <c r="A218" t="s">
        <v>271</v>
      </c>
      <c r="B218">
        <v>12</v>
      </c>
      <c r="C218" t="s">
        <v>19</v>
      </c>
      <c r="D218">
        <v>14</v>
      </c>
      <c r="E218">
        <v>110</v>
      </c>
      <c r="F218">
        <v>196</v>
      </c>
      <c r="G218">
        <v>118</v>
      </c>
      <c r="H218" t="s">
        <v>102</v>
      </c>
      <c r="I218">
        <v>14</v>
      </c>
      <c r="J218">
        <v>0</v>
      </c>
      <c r="K218">
        <v>0</v>
      </c>
      <c r="L218">
        <v>0</v>
      </c>
      <c r="M218" t="s">
        <v>884</v>
      </c>
      <c r="N218" t="s">
        <v>21</v>
      </c>
      <c r="O218" t="s">
        <v>27</v>
      </c>
      <c r="Q218">
        <v>3</v>
      </c>
      <c r="R218" t="b">
        <v>1</v>
      </c>
      <c r="S218" t="s">
        <v>119</v>
      </c>
      <c r="T218">
        <v>0</v>
      </c>
    </row>
    <row r="219" spans="1:20" x14ac:dyDescent="0.25">
      <c r="A219" t="s">
        <v>89</v>
      </c>
      <c r="B219">
        <v>13</v>
      </c>
      <c r="C219" t="s">
        <v>19</v>
      </c>
      <c r="D219">
        <v>14</v>
      </c>
      <c r="E219">
        <v>20</v>
      </c>
      <c r="F219">
        <v>180</v>
      </c>
      <c r="G219">
        <v>25</v>
      </c>
      <c r="H219" t="s">
        <v>102</v>
      </c>
      <c r="I219">
        <v>12</v>
      </c>
      <c r="J219">
        <v>1</v>
      </c>
      <c r="K219">
        <v>0</v>
      </c>
      <c r="L219">
        <v>0</v>
      </c>
      <c r="N219" t="s">
        <v>21</v>
      </c>
      <c r="O219" t="s">
        <v>25</v>
      </c>
      <c r="Q219">
        <v>3</v>
      </c>
      <c r="R219" t="b">
        <v>0</v>
      </c>
      <c r="S219" t="s">
        <v>119</v>
      </c>
      <c r="T219">
        <v>0</v>
      </c>
    </row>
    <row r="220" spans="1:20" x14ac:dyDescent="0.25">
      <c r="A220" t="s">
        <v>949</v>
      </c>
      <c r="B220">
        <v>13</v>
      </c>
      <c r="C220" t="s">
        <v>19</v>
      </c>
      <c r="D220">
        <v>29</v>
      </c>
      <c r="E220">
        <v>33</v>
      </c>
      <c r="F220">
        <v>196</v>
      </c>
      <c r="G220">
        <v>38</v>
      </c>
      <c r="H220" t="s">
        <v>102</v>
      </c>
      <c r="I220">
        <v>10</v>
      </c>
      <c r="J220">
        <v>1</v>
      </c>
      <c r="K220">
        <v>0</v>
      </c>
      <c r="L220">
        <v>0</v>
      </c>
      <c r="N220" t="s">
        <v>21</v>
      </c>
      <c r="O220" t="s">
        <v>25</v>
      </c>
      <c r="P220" s="1"/>
      <c r="Q220">
        <v>1</v>
      </c>
      <c r="R220" t="b">
        <v>0</v>
      </c>
      <c r="S220" t="s">
        <v>119</v>
      </c>
      <c r="T220">
        <v>0</v>
      </c>
    </row>
    <row r="221" spans="1:20" x14ac:dyDescent="0.25">
      <c r="A221" t="s">
        <v>830</v>
      </c>
      <c r="B221">
        <v>13</v>
      </c>
      <c r="C221" t="s">
        <v>24</v>
      </c>
      <c r="D221">
        <v>40</v>
      </c>
      <c r="E221">
        <v>40</v>
      </c>
      <c r="F221">
        <v>104</v>
      </c>
      <c r="G221">
        <v>81</v>
      </c>
      <c r="I221">
        <v>1</v>
      </c>
      <c r="J221">
        <v>0</v>
      </c>
      <c r="K221">
        <v>0</v>
      </c>
      <c r="L221">
        <v>0</v>
      </c>
      <c r="M221" t="s">
        <v>935</v>
      </c>
      <c r="N221" t="s">
        <v>21</v>
      </c>
      <c r="O221" t="s">
        <v>25</v>
      </c>
      <c r="P221" t="s">
        <v>960</v>
      </c>
      <c r="Q221">
        <v>2</v>
      </c>
      <c r="R221" t="b">
        <v>0</v>
      </c>
      <c r="S221" t="s">
        <v>119</v>
      </c>
      <c r="T221">
        <v>0</v>
      </c>
    </row>
    <row r="222" spans="1:20" x14ac:dyDescent="0.25">
      <c r="A222" s="25" t="s">
        <v>954</v>
      </c>
      <c r="B222">
        <v>13</v>
      </c>
      <c r="C222" t="s">
        <v>19</v>
      </c>
      <c r="D222">
        <v>14</v>
      </c>
      <c r="E222">
        <v>38</v>
      </c>
      <c r="F222">
        <v>40</v>
      </c>
      <c r="G222">
        <v>43</v>
      </c>
      <c r="H222" t="s">
        <v>102</v>
      </c>
      <c r="I222">
        <v>10</v>
      </c>
      <c r="J222">
        <v>0</v>
      </c>
      <c r="K222">
        <v>0</v>
      </c>
      <c r="L222">
        <v>0</v>
      </c>
      <c r="N222" t="s">
        <v>21</v>
      </c>
      <c r="O222" t="s">
        <v>22</v>
      </c>
      <c r="P222" s="26"/>
      <c r="Q222">
        <v>3</v>
      </c>
      <c r="R222" t="b">
        <v>0</v>
      </c>
      <c r="S222" t="s">
        <v>119</v>
      </c>
      <c r="T222">
        <v>0</v>
      </c>
    </row>
    <row r="223" spans="1:20" x14ac:dyDescent="0.25">
      <c r="A223" t="s">
        <v>955</v>
      </c>
      <c r="B223">
        <v>13</v>
      </c>
      <c r="C223" t="s">
        <v>19</v>
      </c>
      <c r="D223">
        <v>14</v>
      </c>
      <c r="E223">
        <v>46</v>
      </c>
      <c r="F223">
        <v>40</v>
      </c>
      <c r="G223">
        <v>51</v>
      </c>
      <c r="H223" t="s">
        <v>102</v>
      </c>
      <c r="I223">
        <v>10</v>
      </c>
      <c r="J223">
        <v>0</v>
      </c>
      <c r="K223">
        <v>0</v>
      </c>
      <c r="L223">
        <v>0</v>
      </c>
      <c r="N223" t="s">
        <v>21</v>
      </c>
      <c r="O223" t="s">
        <v>22</v>
      </c>
      <c r="P223" s="26"/>
      <c r="Q223">
        <v>3</v>
      </c>
      <c r="R223" t="b">
        <v>0</v>
      </c>
      <c r="S223" t="s">
        <v>119</v>
      </c>
      <c r="T223">
        <v>0</v>
      </c>
    </row>
    <row r="224" spans="1:20" x14ac:dyDescent="0.25">
      <c r="A224" t="s">
        <v>956</v>
      </c>
      <c r="B224">
        <v>13</v>
      </c>
      <c r="C224" t="s">
        <v>19</v>
      </c>
      <c r="D224">
        <v>14</v>
      </c>
      <c r="E224">
        <v>54</v>
      </c>
      <c r="F224">
        <v>40</v>
      </c>
      <c r="G224">
        <v>59</v>
      </c>
      <c r="H224" t="s">
        <v>102</v>
      </c>
      <c r="I224">
        <v>10</v>
      </c>
      <c r="J224">
        <v>0</v>
      </c>
      <c r="K224">
        <v>0</v>
      </c>
      <c r="L224">
        <v>0</v>
      </c>
      <c r="N224" t="s">
        <v>21</v>
      </c>
      <c r="O224" t="s">
        <v>22</v>
      </c>
      <c r="P224" s="26"/>
      <c r="Q224">
        <v>3</v>
      </c>
      <c r="R224" t="b">
        <v>0</v>
      </c>
      <c r="S224" t="s">
        <v>119</v>
      </c>
      <c r="T224">
        <v>0</v>
      </c>
    </row>
    <row r="225" spans="1:20" x14ac:dyDescent="0.25">
      <c r="A225" t="s">
        <v>957</v>
      </c>
      <c r="B225">
        <v>13</v>
      </c>
      <c r="C225" t="s">
        <v>19</v>
      </c>
      <c r="D225">
        <v>14</v>
      </c>
      <c r="E225">
        <v>62</v>
      </c>
      <c r="F225">
        <v>40</v>
      </c>
      <c r="G225">
        <v>67</v>
      </c>
      <c r="H225" t="s">
        <v>102</v>
      </c>
      <c r="I225">
        <v>10</v>
      </c>
      <c r="J225">
        <v>0</v>
      </c>
      <c r="K225">
        <v>0</v>
      </c>
      <c r="L225">
        <v>0</v>
      </c>
      <c r="N225" t="s">
        <v>21</v>
      </c>
      <c r="O225" t="s">
        <v>22</v>
      </c>
      <c r="P225" s="26"/>
      <c r="Q225">
        <v>3</v>
      </c>
      <c r="R225" t="b">
        <v>0</v>
      </c>
      <c r="S225" t="s">
        <v>119</v>
      </c>
      <c r="T225">
        <v>0</v>
      </c>
    </row>
    <row r="226" spans="1:20" x14ac:dyDescent="0.25">
      <c r="A226" t="s">
        <v>958</v>
      </c>
      <c r="B226">
        <v>13</v>
      </c>
      <c r="C226" t="s">
        <v>19</v>
      </c>
      <c r="D226">
        <v>14</v>
      </c>
      <c r="E226">
        <v>70</v>
      </c>
      <c r="F226">
        <v>40</v>
      </c>
      <c r="G226">
        <v>75</v>
      </c>
      <c r="H226" t="s">
        <v>102</v>
      </c>
      <c r="I226">
        <v>10</v>
      </c>
      <c r="J226">
        <v>0</v>
      </c>
      <c r="K226">
        <v>0</v>
      </c>
      <c r="L226">
        <v>0</v>
      </c>
      <c r="N226" t="s">
        <v>21</v>
      </c>
      <c r="O226" t="s">
        <v>22</v>
      </c>
      <c r="P226" s="26"/>
      <c r="Q226">
        <v>3</v>
      </c>
      <c r="R226" t="b">
        <v>0</v>
      </c>
      <c r="S226" t="s">
        <v>119</v>
      </c>
      <c r="T226">
        <v>0</v>
      </c>
    </row>
    <row r="227" spans="1:20" x14ac:dyDescent="0.25">
      <c r="A227" t="s">
        <v>959</v>
      </c>
      <c r="B227">
        <v>13</v>
      </c>
      <c r="C227" t="s">
        <v>19</v>
      </c>
      <c r="D227">
        <v>14</v>
      </c>
      <c r="E227">
        <v>78</v>
      </c>
      <c r="F227">
        <v>40</v>
      </c>
      <c r="G227">
        <v>83</v>
      </c>
      <c r="H227" t="s">
        <v>102</v>
      </c>
      <c r="I227">
        <v>10</v>
      </c>
      <c r="J227">
        <v>0</v>
      </c>
      <c r="K227">
        <v>0</v>
      </c>
      <c r="L227">
        <v>0</v>
      </c>
      <c r="N227" t="s">
        <v>21</v>
      </c>
      <c r="O227" t="s">
        <v>22</v>
      </c>
      <c r="P227" s="26"/>
      <c r="Q227">
        <v>3</v>
      </c>
      <c r="R227" t="b">
        <v>0</v>
      </c>
      <c r="S227" t="s">
        <v>119</v>
      </c>
      <c r="T227">
        <v>0</v>
      </c>
    </row>
    <row r="228" spans="1:20" x14ac:dyDescent="0.25">
      <c r="A228" t="s">
        <v>926</v>
      </c>
      <c r="B228">
        <v>13</v>
      </c>
      <c r="C228" t="s">
        <v>19</v>
      </c>
      <c r="D228">
        <v>109</v>
      </c>
      <c r="E228">
        <v>45</v>
      </c>
      <c r="F228">
        <v>196</v>
      </c>
      <c r="G228">
        <v>48</v>
      </c>
      <c r="H228" t="s">
        <v>102</v>
      </c>
      <c r="I228">
        <v>8</v>
      </c>
      <c r="J228">
        <v>0</v>
      </c>
      <c r="K228">
        <v>0</v>
      </c>
      <c r="L228">
        <v>0</v>
      </c>
      <c r="M228" t="s">
        <v>884</v>
      </c>
      <c r="O228" t="s">
        <v>25</v>
      </c>
      <c r="P228" t="s">
        <v>927</v>
      </c>
      <c r="Q228">
        <v>3</v>
      </c>
      <c r="R228" t="b">
        <v>1</v>
      </c>
      <c r="S228" t="s">
        <v>119</v>
      </c>
      <c r="T228">
        <v>0</v>
      </c>
    </row>
    <row r="229" spans="1:20" x14ac:dyDescent="0.25">
      <c r="A229" t="s">
        <v>953</v>
      </c>
      <c r="B229">
        <v>13</v>
      </c>
      <c r="C229" t="s">
        <v>19</v>
      </c>
      <c r="D229">
        <v>56</v>
      </c>
      <c r="E229">
        <v>82</v>
      </c>
      <c r="F229">
        <v>196</v>
      </c>
      <c r="G229">
        <v>90</v>
      </c>
      <c r="H229" t="s">
        <v>102</v>
      </c>
      <c r="I229">
        <v>12</v>
      </c>
      <c r="J229">
        <v>0</v>
      </c>
      <c r="K229">
        <v>0</v>
      </c>
      <c r="L229">
        <v>0</v>
      </c>
      <c r="M229" t="s">
        <v>1025</v>
      </c>
      <c r="N229" t="s">
        <v>21</v>
      </c>
      <c r="O229" t="s">
        <v>25</v>
      </c>
      <c r="Q229">
        <v>3</v>
      </c>
      <c r="R229" t="b">
        <v>1</v>
      </c>
      <c r="S229" t="s">
        <v>119</v>
      </c>
      <c r="T229">
        <v>0</v>
      </c>
    </row>
    <row r="230" spans="1:20" x14ac:dyDescent="0.25">
      <c r="A230" t="s">
        <v>29</v>
      </c>
      <c r="B230">
        <v>13</v>
      </c>
      <c r="C230" t="s">
        <v>25</v>
      </c>
      <c r="D230">
        <v>30</v>
      </c>
      <c r="E230">
        <v>100</v>
      </c>
      <c r="F230">
        <v>170</v>
      </c>
      <c r="G230">
        <v>100</v>
      </c>
      <c r="I230">
        <v>0</v>
      </c>
      <c r="J230">
        <v>0</v>
      </c>
      <c r="K230">
        <v>0</v>
      </c>
      <c r="L230">
        <v>0</v>
      </c>
      <c r="N230" t="s">
        <v>21</v>
      </c>
      <c r="O230" t="s">
        <v>25</v>
      </c>
      <c r="Q230">
        <v>2</v>
      </c>
      <c r="R230" t="b">
        <v>0</v>
      </c>
      <c r="S230" t="s">
        <v>119</v>
      </c>
      <c r="T230">
        <v>0</v>
      </c>
    </row>
    <row r="231" spans="1:20" x14ac:dyDescent="0.25">
      <c r="A231" t="s">
        <v>37</v>
      </c>
      <c r="B231">
        <v>13</v>
      </c>
      <c r="C231" t="s">
        <v>24</v>
      </c>
      <c r="D231">
        <v>20</v>
      </c>
      <c r="E231">
        <v>140</v>
      </c>
      <c r="F231">
        <v>180</v>
      </c>
      <c r="G231">
        <v>285</v>
      </c>
      <c r="I231">
        <v>0</v>
      </c>
      <c r="J231">
        <v>0</v>
      </c>
      <c r="K231">
        <v>0</v>
      </c>
      <c r="L231">
        <v>0</v>
      </c>
      <c r="N231" t="s">
        <v>21</v>
      </c>
      <c r="O231" t="s">
        <v>25</v>
      </c>
      <c r="Q231">
        <v>2</v>
      </c>
      <c r="R231" t="b">
        <v>0</v>
      </c>
      <c r="S231" t="s">
        <v>119</v>
      </c>
      <c r="T231">
        <v>0</v>
      </c>
    </row>
    <row r="232" spans="1:20" x14ac:dyDescent="0.25">
      <c r="A232" t="s">
        <v>272</v>
      </c>
      <c r="B232">
        <v>13</v>
      </c>
      <c r="C232" t="s">
        <v>19</v>
      </c>
      <c r="D232">
        <v>14</v>
      </c>
      <c r="E232">
        <v>110</v>
      </c>
      <c r="F232">
        <v>196</v>
      </c>
      <c r="G232">
        <v>118</v>
      </c>
      <c r="H232" t="s">
        <v>102</v>
      </c>
      <c r="I232">
        <v>14</v>
      </c>
      <c r="J232">
        <v>0</v>
      </c>
      <c r="K232">
        <v>0</v>
      </c>
      <c r="L232">
        <v>0</v>
      </c>
      <c r="M232" t="s">
        <v>884</v>
      </c>
      <c r="N232" t="s">
        <v>21</v>
      </c>
      <c r="O232" t="s">
        <v>27</v>
      </c>
      <c r="Q232">
        <v>3</v>
      </c>
      <c r="R232" t="b">
        <v>1</v>
      </c>
      <c r="S232" t="s">
        <v>119</v>
      </c>
      <c r="T232">
        <v>0</v>
      </c>
    </row>
    <row r="233" spans="1:20" x14ac:dyDescent="0.25">
      <c r="A233" t="s">
        <v>38</v>
      </c>
      <c r="B233">
        <v>14</v>
      </c>
      <c r="C233" t="s">
        <v>19</v>
      </c>
      <c r="D233">
        <v>14</v>
      </c>
      <c r="E233">
        <v>20</v>
      </c>
      <c r="F233">
        <v>196</v>
      </c>
      <c r="G233">
        <v>25</v>
      </c>
      <c r="H233" t="s">
        <v>102</v>
      </c>
      <c r="I233">
        <v>14</v>
      </c>
      <c r="J233">
        <v>1</v>
      </c>
      <c r="K233">
        <v>0</v>
      </c>
      <c r="L233">
        <v>0</v>
      </c>
      <c r="N233" t="s">
        <v>21</v>
      </c>
      <c r="O233" t="s">
        <v>25</v>
      </c>
      <c r="Q233">
        <v>2</v>
      </c>
      <c r="R233" t="b">
        <v>0</v>
      </c>
      <c r="S233" t="s">
        <v>119</v>
      </c>
      <c r="T233">
        <v>0</v>
      </c>
    </row>
    <row r="234" spans="1:20" x14ac:dyDescent="0.25">
      <c r="A234" t="s">
        <v>59</v>
      </c>
      <c r="B234">
        <v>14</v>
      </c>
      <c r="C234" t="s">
        <v>19</v>
      </c>
      <c r="D234">
        <v>14</v>
      </c>
      <c r="E234">
        <v>33</v>
      </c>
      <c r="F234">
        <v>196</v>
      </c>
      <c r="G234">
        <v>38</v>
      </c>
      <c r="H234" t="s">
        <v>102</v>
      </c>
      <c r="I234">
        <v>12</v>
      </c>
      <c r="J234">
        <v>0</v>
      </c>
      <c r="K234">
        <v>0</v>
      </c>
      <c r="L234">
        <v>0</v>
      </c>
      <c r="M234" s="23"/>
      <c r="N234" t="s">
        <v>21</v>
      </c>
      <c r="O234" t="s">
        <v>25</v>
      </c>
      <c r="P234" s="1"/>
      <c r="Q234">
        <v>2</v>
      </c>
      <c r="R234" t="b">
        <v>1</v>
      </c>
      <c r="S234" t="s">
        <v>119</v>
      </c>
      <c r="T234">
        <v>0</v>
      </c>
    </row>
    <row r="235" spans="1:20" x14ac:dyDescent="0.25">
      <c r="A235" t="s">
        <v>772</v>
      </c>
      <c r="B235">
        <v>14</v>
      </c>
      <c r="C235" t="s">
        <v>26</v>
      </c>
      <c r="D235">
        <v>0</v>
      </c>
      <c r="E235">
        <v>120</v>
      </c>
      <c r="F235">
        <v>210</v>
      </c>
      <c r="G235">
        <v>204</v>
      </c>
      <c r="I235">
        <v>0</v>
      </c>
      <c r="J235">
        <v>1</v>
      </c>
      <c r="K235">
        <v>0</v>
      </c>
      <c r="L235">
        <v>0</v>
      </c>
      <c r="M235" t="s">
        <v>918</v>
      </c>
      <c r="N235" t="s">
        <v>918</v>
      </c>
      <c r="O235" t="s">
        <v>25</v>
      </c>
      <c r="Q235">
        <v>1</v>
      </c>
      <c r="R235" t="b">
        <v>0</v>
      </c>
      <c r="S235" t="s">
        <v>119</v>
      </c>
      <c r="T235">
        <v>0</v>
      </c>
    </row>
    <row r="236" spans="1:20" x14ac:dyDescent="0.25">
      <c r="A236" t="s">
        <v>773</v>
      </c>
      <c r="B236">
        <v>-999</v>
      </c>
      <c r="C236" t="s">
        <v>19</v>
      </c>
      <c r="D236">
        <v>14</v>
      </c>
      <c r="E236">
        <v>125</v>
      </c>
      <c r="F236">
        <v>196</v>
      </c>
      <c r="G236">
        <v>128</v>
      </c>
      <c r="H236" t="s">
        <v>102</v>
      </c>
      <c r="I236">
        <v>12</v>
      </c>
      <c r="J236">
        <v>1</v>
      </c>
      <c r="K236">
        <v>0</v>
      </c>
      <c r="L236">
        <v>0</v>
      </c>
      <c r="N236" t="s">
        <v>918</v>
      </c>
      <c r="O236" t="s">
        <v>25</v>
      </c>
      <c r="Q236">
        <v>3</v>
      </c>
      <c r="R236" t="b">
        <v>0</v>
      </c>
      <c r="S236" t="s">
        <v>119</v>
      </c>
      <c r="T236">
        <v>0</v>
      </c>
    </row>
    <row r="237" spans="1:20" x14ac:dyDescent="0.25">
      <c r="A237" t="s">
        <v>774</v>
      </c>
      <c r="B237">
        <v>14</v>
      </c>
      <c r="C237" t="s">
        <v>19</v>
      </c>
      <c r="D237">
        <v>113</v>
      </c>
      <c r="E237">
        <v>122</v>
      </c>
      <c r="F237">
        <v>140</v>
      </c>
      <c r="G237">
        <v>127</v>
      </c>
      <c r="H237" t="s">
        <v>102</v>
      </c>
      <c r="I237">
        <v>10</v>
      </c>
      <c r="J237">
        <v>1</v>
      </c>
      <c r="K237">
        <v>0</v>
      </c>
      <c r="L237">
        <v>0</v>
      </c>
      <c r="N237" t="s">
        <v>918</v>
      </c>
      <c r="O237" t="s">
        <v>27</v>
      </c>
      <c r="Q237">
        <v>3</v>
      </c>
      <c r="R237" t="b">
        <v>1</v>
      </c>
      <c r="S237" t="s">
        <v>119</v>
      </c>
      <c r="T237">
        <v>0</v>
      </c>
    </row>
    <row r="238" spans="1:20" x14ac:dyDescent="0.25">
      <c r="A238" t="s">
        <v>775</v>
      </c>
      <c r="B238">
        <v>14</v>
      </c>
      <c r="C238" t="s">
        <v>19</v>
      </c>
      <c r="D238">
        <v>140</v>
      </c>
      <c r="E238">
        <v>122</v>
      </c>
      <c r="F238">
        <v>169</v>
      </c>
      <c r="G238">
        <v>127</v>
      </c>
      <c r="H238" t="s">
        <v>102</v>
      </c>
      <c r="I238">
        <v>10</v>
      </c>
      <c r="J238">
        <v>1</v>
      </c>
      <c r="K238">
        <v>0</v>
      </c>
      <c r="L238">
        <v>0</v>
      </c>
      <c r="N238" t="s">
        <v>918</v>
      </c>
      <c r="O238" t="s">
        <v>27</v>
      </c>
      <c r="Q238">
        <v>3</v>
      </c>
      <c r="R238" t="b">
        <v>1</v>
      </c>
      <c r="S238" t="s">
        <v>119</v>
      </c>
      <c r="T238">
        <v>0</v>
      </c>
    </row>
    <row r="239" spans="1:20" x14ac:dyDescent="0.25">
      <c r="A239" t="s">
        <v>776</v>
      </c>
      <c r="B239">
        <v>14</v>
      </c>
      <c r="C239" t="s">
        <v>19</v>
      </c>
      <c r="D239">
        <v>168</v>
      </c>
      <c r="E239">
        <v>122</v>
      </c>
      <c r="F239">
        <v>194</v>
      </c>
      <c r="G239">
        <v>127</v>
      </c>
      <c r="H239" t="s">
        <v>102</v>
      </c>
      <c r="I239">
        <v>10</v>
      </c>
      <c r="J239">
        <v>1</v>
      </c>
      <c r="K239">
        <v>0</v>
      </c>
      <c r="L239">
        <v>0</v>
      </c>
      <c r="N239" t="s">
        <v>918</v>
      </c>
      <c r="O239" t="s">
        <v>27</v>
      </c>
      <c r="Q239">
        <v>3</v>
      </c>
      <c r="R239" t="b">
        <v>1</v>
      </c>
      <c r="S239" t="s">
        <v>119</v>
      </c>
      <c r="T239">
        <v>0</v>
      </c>
    </row>
    <row r="240" spans="1:20" x14ac:dyDescent="0.25">
      <c r="A240" t="s">
        <v>44</v>
      </c>
      <c r="B240">
        <v>14</v>
      </c>
      <c r="C240" t="s">
        <v>25</v>
      </c>
      <c r="D240">
        <v>114</v>
      </c>
      <c r="E240">
        <v>120</v>
      </c>
      <c r="F240">
        <v>114</v>
      </c>
      <c r="G240">
        <v>204</v>
      </c>
      <c r="I240">
        <v>0.5</v>
      </c>
      <c r="J240">
        <v>0</v>
      </c>
      <c r="K240">
        <v>0</v>
      </c>
      <c r="L240">
        <v>0</v>
      </c>
      <c r="M240" t="s">
        <v>21</v>
      </c>
      <c r="N240" t="s">
        <v>918</v>
      </c>
      <c r="O240" t="s">
        <v>25</v>
      </c>
      <c r="Q240">
        <v>4</v>
      </c>
      <c r="R240" t="b">
        <v>0</v>
      </c>
      <c r="S240" t="s">
        <v>119</v>
      </c>
      <c r="T240">
        <v>0</v>
      </c>
    </row>
    <row r="241" spans="1:20" x14ac:dyDescent="0.25">
      <c r="A241" t="s">
        <v>45</v>
      </c>
      <c r="B241">
        <v>14</v>
      </c>
      <c r="C241" t="s">
        <v>25</v>
      </c>
      <c r="D241">
        <v>141</v>
      </c>
      <c r="E241">
        <v>120</v>
      </c>
      <c r="F241">
        <v>141</v>
      </c>
      <c r="G241">
        <v>204</v>
      </c>
      <c r="I241">
        <v>0.5</v>
      </c>
      <c r="J241">
        <v>0</v>
      </c>
      <c r="K241">
        <v>0</v>
      </c>
      <c r="L241">
        <v>0</v>
      </c>
      <c r="M241" t="s">
        <v>21</v>
      </c>
      <c r="N241" t="s">
        <v>918</v>
      </c>
      <c r="O241" t="s">
        <v>25</v>
      </c>
      <c r="Q241">
        <v>4</v>
      </c>
      <c r="R241" t="b">
        <v>0</v>
      </c>
      <c r="S241" t="s">
        <v>119</v>
      </c>
      <c r="T241">
        <v>0</v>
      </c>
    </row>
    <row r="242" spans="1:20" x14ac:dyDescent="0.25">
      <c r="A242" t="s">
        <v>46</v>
      </c>
      <c r="B242">
        <v>14</v>
      </c>
      <c r="C242" t="s">
        <v>25</v>
      </c>
      <c r="D242">
        <v>168</v>
      </c>
      <c r="E242">
        <v>120</v>
      </c>
      <c r="F242">
        <v>168</v>
      </c>
      <c r="G242">
        <v>204</v>
      </c>
      <c r="I242">
        <v>0.5</v>
      </c>
      <c r="J242">
        <v>0</v>
      </c>
      <c r="K242">
        <v>0</v>
      </c>
      <c r="L242">
        <v>0</v>
      </c>
      <c r="M242" t="s">
        <v>21</v>
      </c>
      <c r="N242" t="s">
        <v>918</v>
      </c>
      <c r="O242" t="s">
        <v>25</v>
      </c>
      <c r="Q242">
        <v>4</v>
      </c>
      <c r="R242" t="b">
        <v>0</v>
      </c>
      <c r="S242" t="s">
        <v>119</v>
      </c>
      <c r="T242">
        <v>0</v>
      </c>
    </row>
    <row r="243" spans="1:20" x14ac:dyDescent="0.25">
      <c r="A243" t="s">
        <v>55</v>
      </c>
      <c r="B243">
        <v>14</v>
      </c>
      <c r="C243" t="s">
        <v>25</v>
      </c>
      <c r="D243">
        <v>14</v>
      </c>
      <c r="E243">
        <v>147</v>
      </c>
      <c r="F243">
        <v>196</v>
      </c>
      <c r="G243">
        <v>147</v>
      </c>
      <c r="I243">
        <v>0.5</v>
      </c>
      <c r="J243">
        <v>0</v>
      </c>
      <c r="K243">
        <v>0</v>
      </c>
      <c r="L243">
        <v>0</v>
      </c>
      <c r="M243" t="s">
        <v>21</v>
      </c>
      <c r="N243" t="s">
        <v>918</v>
      </c>
      <c r="O243" t="s">
        <v>25</v>
      </c>
      <c r="Q243">
        <v>4</v>
      </c>
      <c r="R243" t="b">
        <v>0</v>
      </c>
      <c r="S243" t="s">
        <v>119</v>
      </c>
      <c r="T243">
        <v>0</v>
      </c>
    </row>
    <row r="244" spans="1:20" x14ac:dyDescent="0.25">
      <c r="A244" t="s">
        <v>920</v>
      </c>
      <c r="B244">
        <v>14</v>
      </c>
      <c r="C244" t="s">
        <v>19</v>
      </c>
      <c r="D244">
        <v>14</v>
      </c>
      <c r="E244">
        <v>206</v>
      </c>
      <c r="F244">
        <v>196</v>
      </c>
      <c r="G244">
        <v>210</v>
      </c>
      <c r="H244" t="s">
        <v>102</v>
      </c>
      <c r="I244">
        <v>10</v>
      </c>
      <c r="J244">
        <v>0</v>
      </c>
      <c r="K244">
        <v>0</v>
      </c>
      <c r="L244">
        <v>0</v>
      </c>
      <c r="N244" t="s">
        <v>21</v>
      </c>
      <c r="O244" t="s">
        <v>22</v>
      </c>
      <c r="Q244">
        <v>2</v>
      </c>
      <c r="R244" t="b">
        <v>0</v>
      </c>
      <c r="S244" t="s">
        <v>119</v>
      </c>
      <c r="T244">
        <v>0</v>
      </c>
    </row>
    <row r="245" spans="1:20" ht="15.75" customHeight="1" x14ac:dyDescent="0.25">
      <c r="A245" t="s">
        <v>765</v>
      </c>
      <c r="B245">
        <v>14</v>
      </c>
      <c r="C245" t="s">
        <v>19</v>
      </c>
      <c r="D245">
        <v>14</v>
      </c>
      <c r="E245">
        <v>149</v>
      </c>
      <c r="F245">
        <v>112</v>
      </c>
      <c r="G245">
        <v>154</v>
      </c>
      <c r="H245" t="s">
        <v>102</v>
      </c>
      <c r="I245">
        <v>12</v>
      </c>
      <c r="J245">
        <v>0</v>
      </c>
      <c r="K245">
        <v>0</v>
      </c>
      <c r="L245">
        <v>0</v>
      </c>
      <c r="N245" t="s">
        <v>918</v>
      </c>
      <c r="O245" t="s">
        <v>25</v>
      </c>
      <c r="Q245">
        <v>3</v>
      </c>
      <c r="R245" t="b">
        <v>1</v>
      </c>
      <c r="S245" t="s">
        <v>119</v>
      </c>
      <c r="T245">
        <v>0</v>
      </c>
    </row>
    <row r="246" spans="1:20" x14ac:dyDescent="0.25">
      <c r="A246" t="s">
        <v>766</v>
      </c>
      <c r="B246">
        <v>14</v>
      </c>
      <c r="C246" t="s">
        <v>19</v>
      </c>
      <c r="D246">
        <v>113</v>
      </c>
      <c r="E246">
        <v>150</v>
      </c>
      <c r="F246">
        <v>140</v>
      </c>
      <c r="G246">
        <v>153</v>
      </c>
      <c r="H246" t="s">
        <v>20</v>
      </c>
      <c r="I246">
        <v>16</v>
      </c>
      <c r="J246">
        <v>1</v>
      </c>
      <c r="K246">
        <v>0</v>
      </c>
      <c r="L246">
        <v>0</v>
      </c>
      <c r="N246" t="s">
        <v>918</v>
      </c>
      <c r="O246" t="s">
        <v>27</v>
      </c>
      <c r="Q246">
        <v>2</v>
      </c>
      <c r="R246" t="b">
        <v>0</v>
      </c>
      <c r="S246" t="s">
        <v>119</v>
      </c>
      <c r="T246">
        <v>0</v>
      </c>
    </row>
    <row r="247" spans="1:20" x14ac:dyDescent="0.25">
      <c r="A247" t="s">
        <v>767</v>
      </c>
      <c r="B247">
        <v>14</v>
      </c>
      <c r="C247" t="s">
        <v>19</v>
      </c>
      <c r="D247">
        <v>140</v>
      </c>
      <c r="E247">
        <v>150</v>
      </c>
      <c r="F247">
        <v>169</v>
      </c>
      <c r="G247">
        <v>153</v>
      </c>
      <c r="H247" t="s">
        <v>20</v>
      </c>
      <c r="I247">
        <v>16</v>
      </c>
      <c r="J247">
        <v>1</v>
      </c>
      <c r="K247">
        <v>0</v>
      </c>
      <c r="L247">
        <v>0</v>
      </c>
      <c r="N247" t="s">
        <v>918</v>
      </c>
      <c r="O247" t="s">
        <v>27</v>
      </c>
      <c r="Q247">
        <v>2</v>
      </c>
      <c r="R247" t="b">
        <v>0</v>
      </c>
      <c r="S247" t="s">
        <v>119</v>
      </c>
      <c r="T247">
        <v>0</v>
      </c>
    </row>
    <row r="248" spans="1:20" x14ac:dyDescent="0.25">
      <c r="A248" t="s">
        <v>768</v>
      </c>
      <c r="B248">
        <v>14</v>
      </c>
      <c r="C248" t="s">
        <v>19</v>
      </c>
      <c r="D248">
        <v>168</v>
      </c>
      <c r="E248">
        <v>150</v>
      </c>
      <c r="F248">
        <v>194</v>
      </c>
      <c r="G248">
        <v>153</v>
      </c>
      <c r="H248" t="s">
        <v>20</v>
      </c>
      <c r="I248">
        <v>16</v>
      </c>
      <c r="J248">
        <v>1</v>
      </c>
      <c r="K248">
        <v>0</v>
      </c>
      <c r="L248">
        <v>0</v>
      </c>
      <c r="N248" t="s">
        <v>918</v>
      </c>
      <c r="O248" t="s">
        <v>27</v>
      </c>
      <c r="Q248">
        <v>2</v>
      </c>
      <c r="R248" t="b">
        <v>0</v>
      </c>
      <c r="S248" t="s">
        <v>119</v>
      </c>
      <c r="T248">
        <v>0</v>
      </c>
    </row>
    <row r="249" spans="1:20" ht="15.75" customHeight="1" x14ac:dyDescent="0.25">
      <c r="A249" t="s">
        <v>833</v>
      </c>
      <c r="B249">
        <v>14</v>
      </c>
      <c r="C249" t="s">
        <v>19</v>
      </c>
      <c r="D249">
        <v>14</v>
      </c>
      <c r="E249">
        <v>167</v>
      </c>
      <c r="F249">
        <v>112</v>
      </c>
      <c r="G249">
        <v>172</v>
      </c>
      <c r="H249" t="s">
        <v>102</v>
      </c>
      <c r="I249">
        <v>12</v>
      </c>
      <c r="J249">
        <v>0</v>
      </c>
      <c r="K249">
        <v>0</v>
      </c>
      <c r="L249">
        <v>0</v>
      </c>
      <c r="N249" t="s">
        <v>918</v>
      </c>
      <c r="O249" t="s">
        <v>25</v>
      </c>
      <c r="Q249">
        <v>3</v>
      </c>
      <c r="R249" t="b">
        <v>1</v>
      </c>
      <c r="S249" t="s">
        <v>119</v>
      </c>
      <c r="T249">
        <v>0</v>
      </c>
    </row>
    <row r="250" spans="1:20" x14ac:dyDescent="0.25">
      <c r="A250" t="s">
        <v>834</v>
      </c>
      <c r="B250">
        <v>14</v>
      </c>
      <c r="C250" t="s">
        <v>19</v>
      </c>
      <c r="D250">
        <v>113</v>
      </c>
      <c r="E250">
        <v>168</v>
      </c>
      <c r="F250">
        <v>140</v>
      </c>
      <c r="G250">
        <v>171</v>
      </c>
      <c r="H250" t="s">
        <v>20</v>
      </c>
      <c r="I250">
        <v>16</v>
      </c>
      <c r="J250">
        <v>1</v>
      </c>
      <c r="K250">
        <v>0</v>
      </c>
      <c r="L250">
        <v>0</v>
      </c>
      <c r="N250" t="s">
        <v>918</v>
      </c>
      <c r="O250" t="s">
        <v>27</v>
      </c>
      <c r="Q250">
        <v>2</v>
      </c>
      <c r="R250" t="b">
        <v>0</v>
      </c>
      <c r="S250" t="s">
        <v>119</v>
      </c>
      <c r="T250">
        <v>0</v>
      </c>
    </row>
    <row r="251" spans="1:20" x14ac:dyDescent="0.25">
      <c r="A251" t="s">
        <v>835</v>
      </c>
      <c r="B251">
        <v>14</v>
      </c>
      <c r="C251" t="s">
        <v>19</v>
      </c>
      <c r="D251">
        <v>140</v>
      </c>
      <c r="E251">
        <v>168</v>
      </c>
      <c r="F251">
        <v>169</v>
      </c>
      <c r="G251">
        <v>171</v>
      </c>
      <c r="H251" t="s">
        <v>20</v>
      </c>
      <c r="I251">
        <v>16</v>
      </c>
      <c r="J251">
        <v>1</v>
      </c>
      <c r="K251">
        <v>0</v>
      </c>
      <c r="L251">
        <v>0</v>
      </c>
      <c r="N251" t="s">
        <v>918</v>
      </c>
      <c r="O251" t="s">
        <v>27</v>
      </c>
      <c r="Q251">
        <v>2</v>
      </c>
      <c r="R251" t="b">
        <v>0</v>
      </c>
      <c r="S251" t="s">
        <v>119</v>
      </c>
      <c r="T251">
        <v>0</v>
      </c>
    </row>
    <row r="252" spans="1:20" x14ac:dyDescent="0.25">
      <c r="A252" t="s">
        <v>836</v>
      </c>
      <c r="B252">
        <v>14</v>
      </c>
      <c r="C252" t="s">
        <v>19</v>
      </c>
      <c r="D252">
        <v>168</v>
      </c>
      <c r="E252">
        <v>168</v>
      </c>
      <c r="F252">
        <v>194</v>
      </c>
      <c r="G252">
        <v>171</v>
      </c>
      <c r="H252" t="s">
        <v>20</v>
      </c>
      <c r="I252">
        <v>16</v>
      </c>
      <c r="J252">
        <v>1</v>
      </c>
      <c r="K252">
        <v>0</v>
      </c>
      <c r="L252">
        <v>0</v>
      </c>
      <c r="N252" t="s">
        <v>918</v>
      </c>
      <c r="O252" t="s">
        <v>27</v>
      </c>
      <c r="Q252">
        <v>2</v>
      </c>
      <c r="R252" t="b">
        <v>0</v>
      </c>
      <c r="S252" t="s">
        <v>119</v>
      </c>
      <c r="T252">
        <v>0</v>
      </c>
    </row>
    <row r="253" spans="1:20" ht="15.75" customHeight="1" x14ac:dyDescent="0.25">
      <c r="A253" t="s">
        <v>837</v>
      </c>
      <c r="B253">
        <v>14</v>
      </c>
      <c r="C253" t="s">
        <v>19</v>
      </c>
      <c r="D253">
        <v>14</v>
      </c>
      <c r="E253">
        <v>185</v>
      </c>
      <c r="F253">
        <v>112</v>
      </c>
      <c r="G253">
        <v>190</v>
      </c>
      <c r="H253" t="s">
        <v>102</v>
      </c>
      <c r="I253">
        <v>12</v>
      </c>
      <c r="J253">
        <v>0</v>
      </c>
      <c r="K253">
        <v>0</v>
      </c>
      <c r="L253">
        <v>0</v>
      </c>
      <c r="N253" t="s">
        <v>918</v>
      </c>
      <c r="O253" t="s">
        <v>25</v>
      </c>
      <c r="Q253">
        <v>3</v>
      </c>
      <c r="R253" t="b">
        <v>1</v>
      </c>
      <c r="S253" t="s">
        <v>119</v>
      </c>
      <c r="T253">
        <v>0</v>
      </c>
    </row>
    <row r="254" spans="1:20" x14ac:dyDescent="0.25">
      <c r="A254" t="s">
        <v>838</v>
      </c>
      <c r="B254">
        <v>14</v>
      </c>
      <c r="C254" t="s">
        <v>19</v>
      </c>
      <c r="D254">
        <v>113</v>
      </c>
      <c r="E254">
        <v>186</v>
      </c>
      <c r="F254">
        <v>140</v>
      </c>
      <c r="G254">
        <v>189</v>
      </c>
      <c r="H254" t="s">
        <v>20</v>
      </c>
      <c r="I254">
        <v>16</v>
      </c>
      <c r="J254">
        <v>1</v>
      </c>
      <c r="K254">
        <v>0</v>
      </c>
      <c r="L254">
        <v>0</v>
      </c>
      <c r="N254" t="s">
        <v>918</v>
      </c>
      <c r="O254" t="s">
        <v>27</v>
      </c>
      <c r="Q254">
        <v>2</v>
      </c>
      <c r="R254" t="b">
        <v>0</v>
      </c>
      <c r="S254" t="s">
        <v>119</v>
      </c>
      <c r="T254">
        <v>0</v>
      </c>
    </row>
    <row r="255" spans="1:20" x14ac:dyDescent="0.25">
      <c r="A255" t="s">
        <v>839</v>
      </c>
      <c r="B255">
        <v>14</v>
      </c>
      <c r="C255" t="s">
        <v>19</v>
      </c>
      <c r="D255">
        <v>140</v>
      </c>
      <c r="E255">
        <v>186</v>
      </c>
      <c r="F255">
        <v>169</v>
      </c>
      <c r="G255">
        <v>189</v>
      </c>
      <c r="H255" t="s">
        <v>20</v>
      </c>
      <c r="I255">
        <v>16</v>
      </c>
      <c r="J255">
        <v>1</v>
      </c>
      <c r="K255">
        <v>0</v>
      </c>
      <c r="L255">
        <v>0</v>
      </c>
      <c r="N255" t="s">
        <v>918</v>
      </c>
      <c r="O255" t="s">
        <v>27</v>
      </c>
      <c r="Q255">
        <v>2</v>
      </c>
      <c r="R255" t="b">
        <v>0</v>
      </c>
      <c r="S255" t="s">
        <v>119</v>
      </c>
      <c r="T255">
        <v>0</v>
      </c>
    </row>
    <row r="256" spans="1:20" x14ac:dyDescent="0.25">
      <c r="A256" t="s">
        <v>840</v>
      </c>
      <c r="B256">
        <v>14</v>
      </c>
      <c r="C256" t="s">
        <v>19</v>
      </c>
      <c r="D256">
        <v>168</v>
      </c>
      <c r="E256">
        <v>186</v>
      </c>
      <c r="F256">
        <v>194</v>
      </c>
      <c r="G256">
        <v>189</v>
      </c>
      <c r="H256" t="s">
        <v>20</v>
      </c>
      <c r="I256">
        <v>16</v>
      </c>
      <c r="J256">
        <v>1</v>
      </c>
      <c r="K256">
        <v>0</v>
      </c>
      <c r="L256">
        <v>0</v>
      </c>
      <c r="N256" t="s">
        <v>918</v>
      </c>
      <c r="O256" t="s">
        <v>27</v>
      </c>
      <c r="Q256">
        <v>2</v>
      </c>
      <c r="R256" t="b">
        <v>0</v>
      </c>
      <c r="S256" t="s">
        <v>119</v>
      </c>
      <c r="T256">
        <v>0</v>
      </c>
    </row>
    <row r="257" spans="1:20" x14ac:dyDescent="0.25">
      <c r="A257" t="s">
        <v>64</v>
      </c>
      <c r="B257">
        <v>15</v>
      </c>
      <c r="C257" t="s">
        <v>24</v>
      </c>
      <c r="D257">
        <v>14</v>
      </c>
      <c r="E257">
        <v>60</v>
      </c>
      <c r="F257">
        <v>196</v>
      </c>
      <c r="G257">
        <v>225</v>
      </c>
      <c r="I257">
        <v>0</v>
      </c>
      <c r="J257">
        <v>0</v>
      </c>
      <c r="K257">
        <v>0</v>
      </c>
      <c r="L257">
        <v>0</v>
      </c>
      <c r="N257" t="s">
        <v>21</v>
      </c>
      <c r="O257" t="s">
        <v>25</v>
      </c>
      <c r="Q257">
        <v>2</v>
      </c>
      <c r="R257" t="b">
        <v>0</v>
      </c>
      <c r="S257" t="s">
        <v>119</v>
      </c>
      <c r="T257">
        <v>0</v>
      </c>
    </row>
    <row r="258" spans="1:20" x14ac:dyDescent="0.25">
      <c r="A258" t="s">
        <v>857</v>
      </c>
      <c r="B258">
        <v>15</v>
      </c>
      <c r="C258" t="s">
        <v>19</v>
      </c>
      <c r="D258">
        <v>30</v>
      </c>
      <c r="E258">
        <v>233</v>
      </c>
      <c r="F258">
        <v>180</v>
      </c>
      <c r="G258">
        <v>241</v>
      </c>
      <c r="H258" t="s">
        <v>102</v>
      </c>
      <c r="I258">
        <v>16</v>
      </c>
      <c r="J258">
        <v>0</v>
      </c>
      <c r="K258">
        <v>0</v>
      </c>
      <c r="L258">
        <v>0</v>
      </c>
      <c r="M258" t="s">
        <v>884</v>
      </c>
      <c r="N258" t="s">
        <v>21</v>
      </c>
      <c r="O258" t="s">
        <v>27</v>
      </c>
      <c r="Q258">
        <v>2</v>
      </c>
      <c r="R258" t="b">
        <v>1</v>
      </c>
      <c r="S258" t="s">
        <v>119</v>
      </c>
      <c r="T258">
        <v>0</v>
      </c>
    </row>
    <row r="259" spans="1:20" x14ac:dyDescent="0.25">
      <c r="A259" t="s">
        <v>39</v>
      </c>
      <c r="B259">
        <v>16</v>
      </c>
      <c r="C259" t="s">
        <v>19</v>
      </c>
      <c r="D259">
        <v>14</v>
      </c>
      <c r="E259">
        <v>20</v>
      </c>
      <c r="F259">
        <v>196</v>
      </c>
      <c r="G259">
        <v>23</v>
      </c>
      <c r="H259" t="s">
        <v>102</v>
      </c>
      <c r="I259">
        <v>14</v>
      </c>
      <c r="J259">
        <v>1</v>
      </c>
      <c r="K259">
        <v>0</v>
      </c>
      <c r="L259">
        <v>0</v>
      </c>
      <c r="N259" t="s">
        <v>21</v>
      </c>
      <c r="O259" t="s">
        <v>25</v>
      </c>
      <c r="Q259">
        <v>2</v>
      </c>
      <c r="R259" t="b">
        <v>0</v>
      </c>
      <c r="S259" t="s">
        <v>119</v>
      </c>
      <c r="T259">
        <v>0</v>
      </c>
    </row>
    <row r="260" spans="1:20" x14ac:dyDescent="0.25">
      <c r="A260" t="s">
        <v>63</v>
      </c>
      <c r="B260">
        <v>16</v>
      </c>
      <c r="C260" t="s">
        <v>19</v>
      </c>
      <c r="D260">
        <v>14</v>
      </c>
      <c r="E260">
        <v>31</v>
      </c>
      <c r="F260">
        <v>196</v>
      </c>
      <c r="G260">
        <v>36</v>
      </c>
      <c r="H260" t="s">
        <v>102</v>
      </c>
      <c r="I260">
        <v>12</v>
      </c>
      <c r="J260">
        <v>0</v>
      </c>
      <c r="K260">
        <v>0</v>
      </c>
      <c r="L260">
        <v>0</v>
      </c>
      <c r="N260" t="s">
        <v>21</v>
      </c>
      <c r="O260" t="s">
        <v>25</v>
      </c>
      <c r="P260" s="1"/>
      <c r="Q260">
        <v>2</v>
      </c>
      <c r="R260" t="b">
        <v>1</v>
      </c>
      <c r="S260" t="s">
        <v>119</v>
      </c>
      <c r="T260">
        <v>0</v>
      </c>
    </row>
    <row r="261" spans="1:20" x14ac:dyDescent="0.25">
      <c r="A261" t="s">
        <v>841</v>
      </c>
      <c r="B261">
        <v>16</v>
      </c>
      <c r="C261" t="s">
        <v>26</v>
      </c>
      <c r="D261">
        <v>0</v>
      </c>
      <c r="E261">
        <v>120</v>
      </c>
      <c r="F261">
        <v>210</v>
      </c>
      <c r="G261">
        <v>168</v>
      </c>
      <c r="I261">
        <v>0</v>
      </c>
      <c r="J261">
        <v>1</v>
      </c>
      <c r="K261">
        <v>0</v>
      </c>
      <c r="L261">
        <v>0</v>
      </c>
      <c r="M261" t="s">
        <v>918</v>
      </c>
      <c r="N261" t="s">
        <v>918</v>
      </c>
      <c r="O261" t="s">
        <v>25</v>
      </c>
      <c r="Q261">
        <v>1</v>
      </c>
      <c r="R261" t="b">
        <v>0</v>
      </c>
      <c r="S261" t="s">
        <v>119</v>
      </c>
      <c r="T261">
        <v>0</v>
      </c>
    </row>
    <row r="262" spans="1:20" x14ac:dyDescent="0.25">
      <c r="A262" t="s">
        <v>842</v>
      </c>
      <c r="B262">
        <v>-999</v>
      </c>
      <c r="C262" t="s">
        <v>19</v>
      </c>
      <c r="D262">
        <v>14</v>
      </c>
      <c r="E262">
        <v>125</v>
      </c>
      <c r="F262">
        <v>196</v>
      </c>
      <c r="G262">
        <v>128</v>
      </c>
      <c r="H262" t="s">
        <v>102</v>
      </c>
      <c r="I262">
        <v>12</v>
      </c>
      <c r="J262">
        <v>1</v>
      </c>
      <c r="K262">
        <v>0</v>
      </c>
      <c r="L262">
        <v>0</v>
      </c>
      <c r="N262" t="s">
        <v>918</v>
      </c>
      <c r="O262" t="s">
        <v>25</v>
      </c>
      <c r="Q262">
        <v>3</v>
      </c>
      <c r="R262" t="b">
        <v>0</v>
      </c>
      <c r="S262" t="s">
        <v>119</v>
      </c>
      <c r="T262">
        <v>0</v>
      </c>
    </row>
    <row r="263" spans="1:20" x14ac:dyDescent="0.25">
      <c r="A263" t="s">
        <v>774</v>
      </c>
      <c r="B263">
        <v>16</v>
      </c>
      <c r="C263" t="s">
        <v>19</v>
      </c>
      <c r="D263">
        <v>113</v>
      </c>
      <c r="E263">
        <v>122</v>
      </c>
      <c r="F263">
        <v>140</v>
      </c>
      <c r="G263">
        <v>127</v>
      </c>
      <c r="H263" t="s">
        <v>102</v>
      </c>
      <c r="I263">
        <v>10</v>
      </c>
      <c r="J263">
        <v>1</v>
      </c>
      <c r="K263">
        <v>0</v>
      </c>
      <c r="L263">
        <v>0</v>
      </c>
      <c r="N263" t="s">
        <v>918</v>
      </c>
      <c r="O263" t="s">
        <v>27</v>
      </c>
      <c r="Q263">
        <v>3</v>
      </c>
      <c r="R263" t="b">
        <v>1</v>
      </c>
      <c r="S263" t="s">
        <v>119</v>
      </c>
      <c r="T263">
        <v>0</v>
      </c>
    </row>
    <row r="264" spans="1:20" x14ac:dyDescent="0.25">
      <c r="A264" t="s">
        <v>775</v>
      </c>
      <c r="B264">
        <v>16</v>
      </c>
      <c r="C264" t="s">
        <v>19</v>
      </c>
      <c r="D264">
        <v>140</v>
      </c>
      <c r="E264">
        <v>122</v>
      </c>
      <c r="F264">
        <v>169</v>
      </c>
      <c r="G264">
        <v>127</v>
      </c>
      <c r="H264" t="s">
        <v>102</v>
      </c>
      <c r="I264">
        <v>10</v>
      </c>
      <c r="J264">
        <v>1</v>
      </c>
      <c r="K264">
        <v>0</v>
      </c>
      <c r="L264">
        <v>0</v>
      </c>
      <c r="N264" t="s">
        <v>918</v>
      </c>
      <c r="O264" t="s">
        <v>27</v>
      </c>
      <c r="Q264">
        <v>3</v>
      </c>
      <c r="R264" t="b">
        <v>1</v>
      </c>
      <c r="S264" t="s">
        <v>119</v>
      </c>
      <c r="T264">
        <v>0</v>
      </c>
    </row>
    <row r="265" spans="1:20" x14ac:dyDescent="0.25">
      <c r="A265" t="s">
        <v>776</v>
      </c>
      <c r="B265">
        <v>16</v>
      </c>
      <c r="C265" t="s">
        <v>19</v>
      </c>
      <c r="D265">
        <v>168</v>
      </c>
      <c r="E265">
        <v>122</v>
      </c>
      <c r="F265">
        <v>194</v>
      </c>
      <c r="G265">
        <v>127</v>
      </c>
      <c r="H265" t="s">
        <v>102</v>
      </c>
      <c r="I265">
        <v>10</v>
      </c>
      <c r="J265">
        <v>1</v>
      </c>
      <c r="K265">
        <v>0</v>
      </c>
      <c r="L265">
        <v>0</v>
      </c>
      <c r="N265" t="s">
        <v>918</v>
      </c>
      <c r="O265" t="s">
        <v>27</v>
      </c>
      <c r="Q265">
        <v>3</v>
      </c>
      <c r="R265" t="b">
        <v>1</v>
      </c>
      <c r="S265" t="s">
        <v>119</v>
      </c>
      <c r="T265">
        <v>0</v>
      </c>
    </row>
    <row r="266" spans="1:20" x14ac:dyDescent="0.25">
      <c r="A266" t="s">
        <v>44</v>
      </c>
      <c r="B266">
        <v>16</v>
      </c>
      <c r="C266" t="s">
        <v>25</v>
      </c>
      <c r="D266">
        <v>114</v>
      </c>
      <c r="E266">
        <v>120</v>
      </c>
      <c r="F266">
        <v>114</v>
      </c>
      <c r="G266">
        <v>168</v>
      </c>
      <c r="I266">
        <v>0.5</v>
      </c>
      <c r="J266">
        <v>0</v>
      </c>
      <c r="K266">
        <v>0</v>
      </c>
      <c r="L266">
        <v>0</v>
      </c>
      <c r="M266" t="s">
        <v>21</v>
      </c>
      <c r="N266" t="s">
        <v>918</v>
      </c>
      <c r="O266" t="s">
        <v>25</v>
      </c>
      <c r="Q266">
        <v>4</v>
      </c>
      <c r="R266" t="b">
        <v>0</v>
      </c>
      <c r="S266" t="s">
        <v>119</v>
      </c>
      <c r="T266">
        <v>0</v>
      </c>
    </row>
    <row r="267" spans="1:20" x14ac:dyDescent="0.25">
      <c r="A267" t="s">
        <v>45</v>
      </c>
      <c r="B267">
        <v>16</v>
      </c>
      <c r="C267" t="s">
        <v>25</v>
      </c>
      <c r="D267">
        <v>141</v>
      </c>
      <c r="E267">
        <v>120</v>
      </c>
      <c r="F267">
        <v>141</v>
      </c>
      <c r="G267">
        <v>168</v>
      </c>
      <c r="I267">
        <v>0.5</v>
      </c>
      <c r="J267">
        <v>0</v>
      </c>
      <c r="K267">
        <v>0</v>
      </c>
      <c r="L267">
        <v>0</v>
      </c>
      <c r="M267" t="s">
        <v>21</v>
      </c>
      <c r="N267" t="s">
        <v>918</v>
      </c>
      <c r="O267" t="s">
        <v>25</v>
      </c>
      <c r="Q267">
        <v>4</v>
      </c>
      <c r="R267" t="b">
        <v>0</v>
      </c>
      <c r="S267" t="s">
        <v>119</v>
      </c>
      <c r="T267">
        <v>0</v>
      </c>
    </row>
    <row r="268" spans="1:20" x14ac:dyDescent="0.25">
      <c r="A268" t="s">
        <v>46</v>
      </c>
      <c r="B268">
        <v>16</v>
      </c>
      <c r="C268" t="s">
        <v>25</v>
      </c>
      <c r="D268">
        <v>168</v>
      </c>
      <c r="E268">
        <v>120</v>
      </c>
      <c r="F268">
        <v>168</v>
      </c>
      <c r="G268">
        <v>168</v>
      </c>
      <c r="I268">
        <v>0.5</v>
      </c>
      <c r="J268">
        <v>0</v>
      </c>
      <c r="K268">
        <v>0</v>
      </c>
      <c r="L268">
        <v>0</v>
      </c>
      <c r="M268" t="s">
        <v>21</v>
      </c>
      <c r="N268" t="s">
        <v>918</v>
      </c>
      <c r="O268" t="s">
        <v>25</v>
      </c>
      <c r="Q268">
        <v>4</v>
      </c>
      <c r="R268" t="b">
        <v>0</v>
      </c>
      <c r="S268" t="s">
        <v>119</v>
      </c>
      <c r="T268">
        <v>0</v>
      </c>
    </row>
    <row r="269" spans="1:20" x14ac:dyDescent="0.25">
      <c r="A269" t="s">
        <v>55</v>
      </c>
      <c r="B269">
        <v>16</v>
      </c>
      <c r="C269" t="s">
        <v>25</v>
      </c>
      <c r="D269">
        <v>14</v>
      </c>
      <c r="E269">
        <v>147</v>
      </c>
      <c r="F269">
        <v>196</v>
      </c>
      <c r="G269">
        <v>147</v>
      </c>
      <c r="I269">
        <v>0.5</v>
      </c>
      <c r="J269">
        <v>0</v>
      </c>
      <c r="K269">
        <v>0</v>
      </c>
      <c r="L269">
        <v>0</v>
      </c>
      <c r="M269" t="s">
        <v>21</v>
      </c>
      <c r="N269" t="s">
        <v>918</v>
      </c>
      <c r="O269" t="s">
        <v>25</v>
      </c>
      <c r="Q269">
        <v>4</v>
      </c>
      <c r="R269" t="b">
        <v>0</v>
      </c>
      <c r="S269" t="s">
        <v>119</v>
      </c>
      <c r="T269">
        <v>0</v>
      </c>
    </row>
    <row r="270" spans="1:20" x14ac:dyDescent="0.25">
      <c r="A270" t="s">
        <v>920</v>
      </c>
      <c r="B270">
        <v>16</v>
      </c>
      <c r="C270" t="s">
        <v>19</v>
      </c>
      <c r="D270">
        <v>14</v>
      </c>
      <c r="E270">
        <v>170</v>
      </c>
      <c r="F270">
        <v>196</v>
      </c>
      <c r="G270">
        <v>174</v>
      </c>
      <c r="H270" t="s">
        <v>102</v>
      </c>
      <c r="I270">
        <v>10</v>
      </c>
      <c r="J270">
        <v>0</v>
      </c>
      <c r="K270">
        <v>0</v>
      </c>
      <c r="L270">
        <v>0</v>
      </c>
      <c r="N270" t="s">
        <v>21</v>
      </c>
      <c r="O270" t="s">
        <v>22</v>
      </c>
      <c r="Q270">
        <v>2</v>
      </c>
      <c r="R270" t="b">
        <v>0</v>
      </c>
      <c r="S270" t="s">
        <v>119</v>
      </c>
      <c r="T270">
        <v>0</v>
      </c>
    </row>
    <row r="271" spans="1:20" ht="15.75" customHeight="1" x14ac:dyDescent="0.25">
      <c r="A271" t="s">
        <v>843</v>
      </c>
      <c r="B271">
        <v>16</v>
      </c>
      <c r="C271" t="s">
        <v>19</v>
      </c>
      <c r="D271">
        <v>14</v>
      </c>
      <c r="E271">
        <v>149</v>
      </c>
      <c r="F271">
        <v>112</v>
      </c>
      <c r="G271">
        <v>154</v>
      </c>
      <c r="H271" t="s">
        <v>102</v>
      </c>
      <c r="I271">
        <v>12</v>
      </c>
      <c r="J271">
        <v>0</v>
      </c>
      <c r="K271">
        <v>0</v>
      </c>
      <c r="L271">
        <v>0</v>
      </c>
      <c r="N271" t="s">
        <v>918</v>
      </c>
      <c r="O271" t="s">
        <v>25</v>
      </c>
      <c r="Q271">
        <v>3</v>
      </c>
      <c r="R271" t="b">
        <v>1</v>
      </c>
      <c r="S271" t="s">
        <v>119</v>
      </c>
      <c r="T271">
        <v>0</v>
      </c>
    </row>
    <row r="272" spans="1:20" x14ac:dyDescent="0.25">
      <c r="A272" t="s">
        <v>844</v>
      </c>
      <c r="B272">
        <v>16</v>
      </c>
      <c r="C272" t="s">
        <v>19</v>
      </c>
      <c r="D272">
        <v>113</v>
      </c>
      <c r="E272">
        <v>150</v>
      </c>
      <c r="F272">
        <v>140</v>
      </c>
      <c r="G272">
        <v>153</v>
      </c>
      <c r="H272" t="s">
        <v>20</v>
      </c>
      <c r="I272">
        <v>16</v>
      </c>
      <c r="J272">
        <v>1</v>
      </c>
      <c r="K272">
        <v>0</v>
      </c>
      <c r="L272">
        <v>0</v>
      </c>
      <c r="N272" t="s">
        <v>918</v>
      </c>
      <c r="O272" t="s">
        <v>27</v>
      </c>
      <c r="Q272">
        <v>2</v>
      </c>
      <c r="R272" t="b">
        <v>0</v>
      </c>
      <c r="S272" t="s">
        <v>119</v>
      </c>
      <c r="T272">
        <v>0</v>
      </c>
    </row>
    <row r="273" spans="1:20" x14ac:dyDescent="0.25">
      <c r="A273" t="s">
        <v>845</v>
      </c>
      <c r="B273">
        <v>16</v>
      </c>
      <c r="C273" t="s">
        <v>19</v>
      </c>
      <c r="D273">
        <v>140</v>
      </c>
      <c r="E273">
        <v>150</v>
      </c>
      <c r="F273">
        <v>169</v>
      </c>
      <c r="G273">
        <v>153</v>
      </c>
      <c r="H273" t="s">
        <v>20</v>
      </c>
      <c r="I273">
        <v>16</v>
      </c>
      <c r="J273">
        <v>1</v>
      </c>
      <c r="K273">
        <v>0</v>
      </c>
      <c r="L273">
        <v>0</v>
      </c>
      <c r="N273" t="s">
        <v>918</v>
      </c>
      <c r="O273" t="s">
        <v>27</v>
      </c>
      <c r="Q273">
        <v>2</v>
      </c>
      <c r="R273" t="b">
        <v>0</v>
      </c>
      <c r="S273" t="s">
        <v>119</v>
      </c>
      <c r="T273">
        <v>0</v>
      </c>
    </row>
    <row r="274" spans="1:20" x14ac:dyDescent="0.25">
      <c r="A274" t="s">
        <v>846</v>
      </c>
      <c r="B274">
        <v>16</v>
      </c>
      <c r="C274" t="s">
        <v>19</v>
      </c>
      <c r="D274">
        <v>168</v>
      </c>
      <c r="E274">
        <v>150</v>
      </c>
      <c r="F274">
        <v>194</v>
      </c>
      <c r="G274">
        <v>153</v>
      </c>
      <c r="H274" t="s">
        <v>20</v>
      </c>
      <c r="I274">
        <v>16</v>
      </c>
      <c r="J274">
        <v>1</v>
      </c>
      <c r="K274">
        <v>0</v>
      </c>
      <c r="L274">
        <v>0</v>
      </c>
      <c r="N274" t="s">
        <v>918</v>
      </c>
      <c r="O274" t="s">
        <v>27</v>
      </c>
      <c r="Q274">
        <v>2</v>
      </c>
      <c r="R274" t="b">
        <v>0</v>
      </c>
      <c r="S274" t="s">
        <v>119</v>
      </c>
      <c r="T274">
        <v>0</v>
      </c>
    </row>
    <row r="275" spans="1:20" x14ac:dyDescent="0.25">
      <c r="A275" t="s">
        <v>40</v>
      </c>
      <c r="B275">
        <v>17</v>
      </c>
      <c r="C275" t="s">
        <v>24</v>
      </c>
      <c r="D275">
        <v>14</v>
      </c>
      <c r="E275">
        <v>60</v>
      </c>
      <c r="F275">
        <v>196</v>
      </c>
      <c r="G275">
        <v>225</v>
      </c>
      <c r="I275">
        <v>0</v>
      </c>
      <c r="J275">
        <v>0</v>
      </c>
      <c r="K275">
        <v>0</v>
      </c>
      <c r="L275">
        <v>0</v>
      </c>
      <c r="N275" t="s">
        <v>21</v>
      </c>
      <c r="O275" t="s">
        <v>25</v>
      </c>
      <c r="Q275">
        <v>2</v>
      </c>
      <c r="R275" t="b">
        <v>0</v>
      </c>
      <c r="S275" t="s">
        <v>119</v>
      </c>
      <c r="T275">
        <v>0</v>
      </c>
    </row>
    <row r="276" spans="1:20" x14ac:dyDescent="0.25">
      <c r="A276" t="s">
        <v>858</v>
      </c>
      <c r="B276">
        <v>17</v>
      </c>
      <c r="C276" t="s">
        <v>19</v>
      </c>
      <c r="D276">
        <v>30</v>
      </c>
      <c r="E276">
        <v>233</v>
      </c>
      <c r="F276">
        <v>180</v>
      </c>
      <c r="G276">
        <v>241</v>
      </c>
      <c r="H276" t="s">
        <v>102</v>
      </c>
      <c r="I276">
        <v>16</v>
      </c>
      <c r="J276">
        <v>0</v>
      </c>
      <c r="K276">
        <v>0</v>
      </c>
      <c r="L276">
        <v>0</v>
      </c>
      <c r="M276" t="s">
        <v>884</v>
      </c>
      <c r="N276" t="s">
        <v>21</v>
      </c>
      <c r="O276" t="s">
        <v>27</v>
      </c>
      <c r="Q276">
        <v>2</v>
      </c>
      <c r="R276" t="b">
        <v>1</v>
      </c>
      <c r="S276" t="s">
        <v>119</v>
      </c>
      <c r="T276">
        <v>0</v>
      </c>
    </row>
    <row r="277" spans="1:20" x14ac:dyDescent="0.25">
      <c r="A277" t="s">
        <v>888</v>
      </c>
      <c r="B277">
        <v>18</v>
      </c>
      <c r="C277" t="s">
        <v>19</v>
      </c>
      <c r="D277">
        <v>14</v>
      </c>
      <c r="E277">
        <v>20</v>
      </c>
      <c r="F277">
        <v>196</v>
      </c>
      <c r="G277">
        <v>25</v>
      </c>
      <c r="H277" t="s">
        <v>102</v>
      </c>
      <c r="I277">
        <v>14</v>
      </c>
      <c r="J277">
        <v>1</v>
      </c>
      <c r="K277">
        <v>0</v>
      </c>
      <c r="L277">
        <v>0</v>
      </c>
      <c r="N277" t="s">
        <v>21</v>
      </c>
      <c r="O277" t="s">
        <v>25</v>
      </c>
      <c r="Q277">
        <v>2</v>
      </c>
      <c r="R277" t="b">
        <v>1</v>
      </c>
      <c r="S277" t="s">
        <v>119</v>
      </c>
      <c r="T277">
        <v>0</v>
      </c>
    </row>
    <row r="278" spans="1:20" x14ac:dyDescent="0.25">
      <c r="A278" t="s">
        <v>878</v>
      </c>
      <c r="B278">
        <v>18</v>
      </c>
      <c r="C278" t="s">
        <v>19</v>
      </c>
      <c r="D278">
        <v>14</v>
      </c>
      <c r="E278">
        <v>33</v>
      </c>
      <c r="F278">
        <v>196</v>
      </c>
      <c r="G278">
        <v>38</v>
      </c>
      <c r="H278" t="s">
        <v>102</v>
      </c>
      <c r="I278">
        <v>12</v>
      </c>
      <c r="J278">
        <v>0</v>
      </c>
      <c r="K278">
        <v>0</v>
      </c>
      <c r="L278">
        <v>0</v>
      </c>
      <c r="N278" t="s">
        <v>21</v>
      </c>
      <c r="O278" t="s">
        <v>25</v>
      </c>
      <c r="Q278">
        <v>2</v>
      </c>
      <c r="R278" t="b">
        <v>1</v>
      </c>
      <c r="T278">
        <v>0</v>
      </c>
    </row>
    <row r="279" spans="1:20" x14ac:dyDescent="0.25">
      <c r="A279" t="s">
        <v>847</v>
      </c>
      <c r="B279">
        <v>18</v>
      </c>
      <c r="C279" t="s">
        <v>26</v>
      </c>
      <c r="D279">
        <v>0</v>
      </c>
      <c r="E279">
        <v>120</v>
      </c>
      <c r="F279">
        <v>210</v>
      </c>
      <c r="G279">
        <v>213</v>
      </c>
      <c r="I279">
        <v>0</v>
      </c>
      <c r="J279">
        <v>1</v>
      </c>
      <c r="K279">
        <v>0</v>
      </c>
      <c r="L279">
        <v>0</v>
      </c>
      <c r="M279" t="s">
        <v>918</v>
      </c>
      <c r="N279" t="s">
        <v>918</v>
      </c>
      <c r="O279" t="s">
        <v>25</v>
      </c>
      <c r="Q279">
        <v>1</v>
      </c>
      <c r="R279" t="b">
        <v>0</v>
      </c>
      <c r="S279" t="s">
        <v>119</v>
      </c>
      <c r="T279">
        <v>0</v>
      </c>
    </row>
    <row r="280" spans="1:20" x14ac:dyDescent="0.25">
      <c r="A280" t="s">
        <v>848</v>
      </c>
      <c r="B280">
        <v>18</v>
      </c>
      <c r="C280" t="s">
        <v>19</v>
      </c>
      <c r="D280">
        <v>14</v>
      </c>
      <c r="E280">
        <v>125</v>
      </c>
      <c r="F280">
        <v>196</v>
      </c>
      <c r="G280">
        <v>128</v>
      </c>
      <c r="H280" t="s">
        <v>102</v>
      </c>
      <c r="I280">
        <v>12</v>
      </c>
      <c r="J280">
        <v>1</v>
      </c>
      <c r="K280">
        <v>0</v>
      </c>
      <c r="L280">
        <v>0</v>
      </c>
      <c r="N280" t="s">
        <v>918</v>
      </c>
      <c r="O280" t="s">
        <v>25</v>
      </c>
      <c r="Q280">
        <v>3</v>
      </c>
      <c r="R280" t="b">
        <v>0</v>
      </c>
      <c r="S280" t="s">
        <v>119</v>
      </c>
      <c r="T280">
        <v>0</v>
      </c>
    </row>
    <row r="281" spans="1:20" x14ac:dyDescent="0.25">
      <c r="A281" t="s">
        <v>774</v>
      </c>
      <c r="B281">
        <v>18</v>
      </c>
      <c r="C281" t="s">
        <v>19</v>
      </c>
      <c r="D281">
        <v>113</v>
      </c>
      <c r="E281">
        <v>122</v>
      </c>
      <c r="F281">
        <v>140</v>
      </c>
      <c r="G281">
        <v>127</v>
      </c>
      <c r="H281" t="s">
        <v>102</v>
      </c>
      <c r="I281">
        <v>10</v>
      </c>
      <c r="J281">
        <v>1</v>
      </c>
      <c r="K281">
        <v>0</v>
      </c>
      <c r="L281">
        <v>0</v>
      </c>
      <c r="N281" t="s">
        <v>918</v>
      </c>
      <c r="O281" t="s">
        <v>27</v>
      </c>
      <c r="Q281">
        <v>3</v>
      </c>
      <c r="R281" t="b">
        <v>1</v>
      </c>
      <c r="S281" t="s">
        <v>119</v>
      </c>
      <c r="T281">
        <v>0</v>
      </c>
    </row>
    <row r="282" spans="1:20" x14ac:dyDescent="0.25">
      <c r="A282" t="s">
        <v>775</v>
      </c>
      <c r="B282">
        <v>18</v>
      </c>
      <c r="C282" t="s">
        <v>19</v>
      </c>
      <c r="D282">
        <v>140</v>
      </c>
      <c r="E282">
        <v>122</v>
      </c>
      <c r="F282">
        <v>169</v>
      </c>
      <c r="G282">
        <v>127</v>
      </c>
      <c r="H282" t="s">
        <v>102</v>
      </c>
      <c r="I282">
        <v>10</v>
      </c>
      <c r="J282">
        <v>1</v>
      </c>
      <c r="K282">
        <v>0</v>
      </c>
      <c r="L282">
        <v>0</v>
      </c>
      <c r="N282" t="s">
        <v>918</v>
      </c>
      <c r="O282" t="s">
        <v>27</v>
      </c>
      <c r="Q282">
        <v>3</v>
      </c>
      <c r="R282" t="b">
        <v>1</v>
      </c>
      <c r="S282" t="s">
        <v>119</v>
      </c>
      <c r="T282">
        <v>0</v>
      </c>
    </row>
    <row r="283" spans="1:20" x14ac:dyDescent="0.25">
      <c r="A283" t="s">
        <v>776</v>
      </c>
      <c r="B283">
        <v>18</v>
      </c>
      <c r="C283" t="s">
        <v>19</v>
      </c>
      <c r="D283">
        <v>168</v>
      </c>
      <c r="E283">
        <v>122</v>
      </c>
      <c r="F283">
        <v>194</v>
      </c>
      <c r="G283">
        <v>127</v>
      </c>
      <c r="H283" t="s">
        <v>102</v>
      </c>
      <c r="I283">
        <v>10</v>
      </c>
      <c r="J283">
        <v>1</v>
      </c>
      <c r="K283">
        <v>0</v>
      </c>
      <c r="L283">
        <v>0</v>
      </c>
      <c r="N283" t="s">
        <v>918</v>
      </c>
      <c r="O283" t="s">
        <v>27</v>
      </c>
      <c r="Q283">
        <v>3</v>
      </c>
      <c r="R283" t="b">
        <v>1</v>
      </c>
      <c r="S283" t="s">
        <v>119</v>
      </c>
      <c r="T283">
        <v>0</v>
      </c>
    </row>
    <row r="284" spans="1:20" x14ac:dyDescent="0.25">
      <c r="A284" t="s">
        <v>44</v>
      </c>
      <c r="B284">
        <v>18</v>
      </c>
      <c r="C284" t="s">
        <v>25</v>
      </c>
      <c r="D284">
        <v>114</v>
      </c>
      <c r="E284">
        <v>120</v>
      </c>
      <c r="F284">
        <v>114</v>
      </c>
      <c r="G284">
        <v>213</v>
      </c>
      <c r="I284">
        <v>0.5</v>
      </c>
      <c r="J284">
        <v>0</v>
      </c>
      <c r="K284">
        <v>0</v>
      </c>
      <c r="L284">
        <v>0</v>
      </c>
      <c r="M284" t="s">
        <v>21</v>
      </c>
      <c r="N284" t="s">
        <v>918</v>
      </c>
      <c r="O284" t="s">
        <v>25</v>
      </c>
      <c r="Q284">
        <v>4</v>
      </c>
      <c r="R284" t="b">
        <v>0</v>
      </c>
      <c r="S284" t="s">
        <v>119</v>
      </c>
      <c r="T284">
        <v>0</v>
      </c>
    </row>
    <row r="285" spans="1:20" x14ac:dyDescent="0.25">
      <c r="A285" t="s">
        <v>45</v>
      </c>
      <c r="B285">
        <v>18</v>
      </c>
      <c r="C285" t="s">
        <v>25</v>
      </c>
      <c r="D285">
        <v>141</v>
      </c>
      <c r="E285">
        <v>120</v>
      </c>
      <c r="F285">
        <v>141</v>
      </c>
      <c r="G285">
        <v>213</v>
      </c>
      <c r="I285">
        <v>0.5</v>
      </c>
      <c r="J285">
        <v>0</v>
      </c>
      <c r="K285">
        <v>0</v>
      </c>
      <c r="L285">
        <v>0</v>
      </c>
      <c r="M285" t="s">
        <v>21</v>
      </c>
      <c r="N285" t="s">
        <v>918</v>
      </c>
      <c r="O285" t="s">
        <v>25</v>
      </c>
      <c r="Q285">
        <v>4</v>
      </c>
      <c r="R285" t="b">
        <v>0</v>
      </c>
      <c r="S285" t="s">
        <v>119</v>
      </c>
      <c r="T285">
        <v>0</v>
      </c>
    </row>
    <row r="286" spans="1:20" x14ac:dyDescent="0.25">
      <c r="A286" t="s">
        <v>46</v>
      </c>
      <c r="B286">
        <v>18</v>
      </c>
      <c r="C286" t="s">
        <v>25</v>
      </c>
      <c r="D286">
        <v>168</v>
      </c>
      <c r="E286">
        <v>120</v>
      </c>
      <c r="F286">
        <v>168</v>
      </c>
      <c r="G286">
        <v>213</v>
      </c>
      <c r="I286">
        <v>0.5</v>
      </c>
      <c r="J286">
        <v>0</v>
      </c>
      <c r="K286">
        <v>0</v>
      </c>
      <c r="L286">
        <v>0</v>
      </c>
      <c r="M286" t="s">
        <v>21</v>
      </c>
      <c r="N286" t="s">
        <v>918</v>
      </c>
      <c r="O286" t="s">
        <v>25</v>
      </c>
      <c r="Q286">
        <v>4</v>
      </c>
      <c r="R286" t="b">
        <v>0</v>
      </c>
      <c r="S286" t="s">
        <v>119</v>
      </c>
      <c r="T286">
        <v>0</v>
      </c>
    </row>
    <row r="287" spans="1:20" x14ac:dyDescent="0.25">
      <c r="A287" t="s">
        <v>55</v>
      </c>
      <c r="B287">
        <v>18</v>
      </c>
      <c r="C287" t="s">
        <v>25</v>
      </c>
      <c r="D287">
        <v>14</v>
      </c>
      <c r="E287">
        <v>147</v>
      </c>
      <c r="F287">
        <v>196</v>
      </c>
      <c r="G287">
        <v>147</v>
      </c>
      <c r="I287">
        <v>0.5</v>
      </c>
      <c r="J287">
        <v>0</v>
      </c>
      <c r="K287">
        <v>0</v>
      </c>
      <c r="L287">
        <v>0</v>
      </c>
      <c r="M287" t="s">
        <v>21</v>
      </c>
      <c r="N287" t="s">
        <v>918</v>
      </c>
      <c r="O287" t="s">
        <v>25</v>
      </c>
      <c r="Q287">
        <v>4</v>
      </c>
      <c r="R287" t="b">
        <v>0</v>
      </c>
      <c r="S287" t="s">
        <v>119</v>
      </c>
      <c r="T287">
        <v>0</v>
      </c>
    </row>
    <row r="288" spans="1:20" x14ac:dyDescent="0.25">
      <c r="A288" t="s">
        <v>920</v>
      </c>
      <c r="B288">
        <v>18</v>
      </c>
      <c r="C288" t="s">
        <v>19</v>
      </c>
      <c r="D288">
        <v>14</v>
      </c>
      <c r="E288">
        <v>215</v>
      </c>
      <c r="F288">
        <v>196</v>
      </c>
      <c r="G288">
        <v>219</v>
      </c>
      <c r="H288" t="s">
        <v>102</v>
      </c>
      <c r="I288">
        <v>10</v>
      </c>
      <c r="J288">
        <v>0</v>
      </c>
      <c r="K288">
        <v>0</v>
      </c>
      <c r="L288">
        <v>0</v>
      </c>
      <c r="N288" t="s">
        <v>21</v>
      </c>
      <c r="O288" t="s">
        <v>22</v>
      </c>
      <c r="Q288">
        <v>2</v>
      </c>
      <c r="R288" t="b">
        <v>0</v>
      </c>
      <c r="S288" t="s">
        <v>119</v>
      </c>
      <c r="T288">
        <v>0</v>
      </c>
    </row>
    <row r="289" spans="1:20" x14ac:dyDescent="0.25">
      <c r="A289" t="s">
        <v>849</v>
      </c>
      <c r="B289">
        <v>18</v>
      </c>
      <c r="C289" t="s">
        <v>19</v>
      </c>
      <c r="D289">
        <v>16</v>
      </c>
      <c r="E289">
        <v>149</v>
      </c>
      <c r="F289">
        <v>112</v>
      </c>
      <c r="G289">
        <v>154</v>
      </c>
      <c r="H289" t="s">
        <v>102</v>
      </c>
      <c r="I289">
        <v>12</v>
      </c>
      <c r="J289">
        <v>0</v>
      </c>
      <c r="K289">
        <v>0</v>
      </c>
      <c r="L289">
        <v>0</v>
      </c>
      <c r="N289" t="s">
        <v>918</v>
      </c>
      <c r="O289" t="s">
        <v>25</v>
      </c>
      <c r="Q289">
        <v>3</v>
      </c>
      <c r="R289" t="b">
        <v>1</v>
      </c>
      <c r="S289" t="s">
        <v>119</v>
      </c>
      <c r="T289">
        <v>0</v>
      </c>
    </row>
    <row r="290" spans="1:20" x14ac:dyDescent="0.25">
      <c r="A290" t="s">
        <v>850</v>
      </c>
      <c r="B290">
        <v>18</v>
      </c>
      <c r="C290" t="s">
        <v>19</v>
      </c>
      <c r="D290">
        <v>113</v>
      </c>
      <c r="E290">
        <v>150</v>
      </c>
      <c r="F290">
        <v>140</v>
      </c>
      <c r="G290">
        <v>153</v>
      </c>
      <c r="H290" t="s">
        <v>20</v>
      </c>
      <c r="I290">
        <v>16</v>
      </c>
      <c r="J290">
        <v>1</v>
      </c>
      <c r="K290">
        <v>0</v>
      </c>
      <c r="L290">
        <v>0</v>
      </c>
      <c r="N290" t="s">
        <v>918</v>
      </c>
      <c r="O290" t="s">
        <v>27</v>
      </c>
      <c r="Q290">
        <v>2</v>
      </c>
      <c r="R290" t="b">
        <v>0</v>
      </c>
      <c r="S290" t="s">
        <v>119</v>
      </c>
      <c r="T290">
        <v>0</v>
      </c>
    </row>
    <row r="291" spans="1:20" x14ac:dyDescent="0.25">
      <c r="A291" t="s">
        <v>851</v>
      </c>
      <c r="B291">
        <v>18</v>
      </c>
      <c r="C291" t="s">
        <v>19</v>
      </c>
      <c r="D291">
        <v>140</v>
      </c>
      <c r="E291">
        <v>150</v>
      </c>
      <c r="F291">
        <v>169</v>
      </c>
      <c r="G291">
        <v>153</v>
      </c>
      <c r="H291" t="s">
        <v>20</v>
      </c>
      <c r="I291">
        <v>16</v>
      </c>
      <c r="J291">
        <v>1</v>
      </c>
      <c r="K291">
        <v>0</v>
      </c>
      <c r="L291">
        <v>0</v>
      </c>
      <c r="N291" t="s">
        <v>918</v>
      </c>
      <c r="O291" t="s">
        <v>27</v>
      </c>
      <c r="Q291">
        <v>2</v>
      </c>
      <c r="R291" t="b">
        <v>0</v>
      </c>
      <c r="S291" t="s">
        <v>119</v>
      </c>
      <c r="T291">
        <v>0</v>
      </c>
    </row>
    <row r="292" spans="1:20" x14ac:dyDescent="0.25">
      <c r="A292" t="s">
        <v>852</v>
      </c>
      <c r="B292">
        <v>18</v>
      </c>
      <c r="C292" t="s">
        <v>19</v>
      </c>
      <c r="D292">
        <v>168</v>
      </c>
      <c r="E292">
        <v>150</v>
      </c>
      <c r="F292">
        <v>194</v>
      </c>
      <c r="G292">
        <v>153</v>
      </c>
      <c r="H292" t="s">
        <v>20</v>
      </c>
      <c r="I292">
        <v>16</v>
      </c>
      <c r="J292">
        <v>1</v>
      </c>
      <c r="K292">
        <v>0</v>
      </c>
      <c r="L292">
        <v>0</v>
      </c>
      <c r="N292" t="s">
        <v>918</v>
      </c>
      <c r="O292" t="s">
        <v>27</v>
      </c>
      <c r="Q292">
        <v>2</v>
      </c>
      <c r="R292" t="b">
        <v>0</v>
      </c>
      <c r="S292" t="s">
        <v>119</v>
      </c>
      <c r="T292">
        <v>0</v>
      </c>
    </row>
    <row r="293" spans="1:20" x14ac:dyDescent="0.25">
      <c r="A293" t="s">
        <v>853</v>
      </c>
      <c r="B293">
        <v>18</v>
      </c>
      <c r="C293" t="s">
        <v>19</v>
      </c>
      <c r="D293">
        <v>16</v>
      </c>
      <c r="E293">
        <v>164</v>
      </c>
      <c r="F293">
        <v>112</v>
      </c>
      <c r="G293">
        <v>169</v>
      </c>
      <c r="H293" t="s">
        <v>102</v>
      </c>
      <c r="I293">
        <v>12</v>
      </c>
      <c r="J293">
        <v>0</v>
      </c>
      <c r="K293">
        <v>0</v>
      </c>
      <c r="L293">
        <v>0</v>
      </c>
      <c r="N293" t="s">
        <v>918</v>
      </c>
      <c r="O293" t="s">
        <v>25</v>
      </c>
      <c r="Q293">
        <v>3</v>
      </c>
      <c r="R293" t="b">
        <v>1</v>
      </c>
      <c r="S293" t="s">
        <v>119</v>
      </c>
      <c r="T293">
        <v>0</v>
      </c>
    </row>
    <row r="294" spans="1:20" x14ac:dyDescent="0.25">
      <c r="A294" t="s">
        <v>854</v>
      </c>
      <c r="B294">
        <v>18</v>
      </c>
      <c r="C294" t="s">
        <v>19</v>
      </c>
      <c r="D294">
        <v>113</v>
      </c>
      <c r="E294">
        <v>165</v>
      </c>
      <c r="F294">
        <v>140</v>
      </c>
      <c r="G294">
        <v>168</v>
      </c>
      <c r="H294" t="s">
        <v>20</v>
      </c>
      <c r="I294">
        <v>16</v>
      </c>
      <c r="J294">
        <v>1</v>
      </c>
      <c r="K294">
        <v>0</v>
      </c>
      <c r="L294">
        <v>0</v>
      </c>
      <c r="N294" t="s">
        <v>918</v>
      </c>
      <c r="O294" t="s">
        <v>27</v>
      </c>
      <c r="Q294">
        <v>2</v>
      </c>
      <c r="R294" t="b">
        <v>0</v>
      </c>
      <c r="S294" t="s">
        <v>119</v>
      </c>
      <c r="T294">
        <v>0</v>
      </c>
    </row>
    <row r="295" spans="1:20" x14ac:dyDescent="0.25">
      <c r="A295" t="s">
        <v>855</v>
      </c>
      <c r="B295">
        <v>18</v>
      </c>
      <c r="C295" t="s">
        <v>19</v>
      </c>
      <c r="D295">
        <v>140</v>
      </c>
      <c r="E295">
        <v>165</v>
      </c>
      <c r="F295">
        <v>169</v>
      </c>
      <c r="G295">
        <v>168</v>
      </c>
      <c r="H295" t="s">
        <v>20</v>
      </c>
      <c r="I295">
        <v>16</v>
      </c>
      <c r="J295">
        <v>1</v>
      </c>
      <c r="K295">
        <v>0</v>
      </c>
      <c r="L295">
        <v>0</v>
      </c>
      <c r="N295" t="s">
        <v>918</v>
      </c>
      <c r="O295" t="s">
        <v>27</v>
      </c>
      <c r="Q295">
        <v>2</v>
      </c>
      <c r="R295" t="b">
        <v>0</v>
      </c>
      <c r="S295" t="s">
        <v>119</v>
      </c>
      <c r="T295">
        <v>0</v>
      </c>
    </row>
    <row r="296" spans="1:20" x14ac:dyDescent="0.25">
      <c r="A296" t="s">
        <v>856</v>
      </c>
      <c r="B296">
        <v>18</v>
      </c>
      <c r="C296" t="s">
        <v>19</v>
      </c>
      <c r="D296">
        <v>168</v>
      </c>
      <c r="E296">
        <v>165</v>
      </c>
      <c r="F296">
        <v>194</v>
      </c>
      <c r="G296">
        <v>168</v>
      </c>
      <c r="H296" t="s">
        <v>20</v>
      </c>
      <c r="I296">
        <v>16</v>
      </c>
      <c r="J296">
        <v>1</v>
      </c>
      <c r="K296">
        <v>0</v>
      </c>
      <c r="L296">
        <v>0</v>
      </c>
      <c r="N296" t="s">
        <v>918</v>
      </c>
      <c r="O296" t="s">
        <v>27</v>
      </c>
      <c r="Q296">
        <v>2</v>
      </c>
      <c r="R296" t="b">
        <v>0</v>
      </c>
      <c r="S296" t="s">
        <v>119</v>
      </c>
      <c r="T296">
        <v>0</v>
      </c>
    </row>
    <row r="297" spans="1:20" x14ac:dyDescent="0.25">
      <c r="A297" t="s">
        <v>880</v>
      </c>
      <c r="B297">
        <v>18</v>
      </c>
      <c r="C297" t="s">
        <v>19</v>
      </c>
      <c r="D297">
        <v>16</v>
      </c>
      <c r="E297">
        <v>179</v>
      </c>
      <c r="F297">
        <v>112</v>
      </c>
      <c r="G297">
        <v>184</v>
      </c>
      <c r="H297" t="s">
        <v>102</v>
      </c>
      <c r="I297">
        <v>12</v>
      </c>
      <c r="J297">
        <v>0</v>
      </c>
      <c r="K297">
        <v>0</v>
      </c>
      <c r="L297">
        <v>0</v>
      </c>
      <c r="N297" t="s">
        <v>918</v>
      </c>
      <c r="O297" t="s">
        <v>25</v>
      </c>
      <c r="Q297">
        <v>3</v>
      </c>
      <c r="R297" t="b">
        <v>1</v>
      </c>
      <c r="S297" t="s">
        <v>119</v>
      </c>
      <c r="T297">
        <v>0</v>
      </c>
    </row>
    <row r="298" spans="1:20" x14ac:dyDescent="0.25">
      <c r="A298" t="s">
        <v>881</v>
      </c>
      <c r="B298">
        <v>18</v>
      </c>
      <c r="C298" t="s">
        <v>19</v>
      </c>
      <c r="D298">
        <v>113</v>
      </c>
      <c r="E298">
        <v>180</v>
      </c>
      <c r="F298">
        <v>140</v>
      </c>
      <c r="G298">
        <v>183</v>
      </c>
      <c r="H298" t="s">
        <v>20</v>
      </c>
      <c r="I298">
        <v>16</v>
      </c>
      <c r="J298">
        <v>1</v>
      </c>
      <c r="K298">
        <v>0</v>
      </c>
      <c r="L298">
        <v>0</v>
      </c>
      <c r="N298" t="s">
        <v>918</v>
      </c>
      <c r="O298" t="s">
        <v>27</v>
      </c>
      <c r="Q298">
        <v>2</v>
      </c>
      <c r="R298" t="b">
        <v>0</v>
      </c>
      <c r="S298" t="s">
        <v>119</v>
      </c>
      <c r="T298">
        <v>0</v>
      </c>
    </row>
    <row r="299" spans="1:20" x14ac:dyDescent="0.25">
      <c r="A299" t="s">
        <v>882</v>
      </c>
      <c r="B299">
        <v>18</v>
      </c>
      <c r="C299" t="s">
        <v>19</v>
      </c>
      <c r="D299">
        <v>140</v>
      </c>
      <c r="E299">
        <v>180</v>
      </c>
      <c r="F299">
        <v>169</v>
      </c>
      <c r="G299">
        <v>183</v>
      </c>
      <c r="H299" t="s">
        <v>20</v>
      </c>
      <c r="I299">
        <v>16</v>
      </c>
      <c r="J299">
        <v>1</v>
      </c>
      <c r="K299">
        <v>0</v>
      </c>
      <c r="L299">
        <v>0</v>
      </c>
      <c r="N299" t="s">
        <v>918</v>
      </c>
      <c r="O299" t="s">
        <v>27</v>
      </c>
      <c r="Q299">
        <v>2</v>
      </c>
      <c r="R299" t="b">
        <v>0</v>
      </c>
      <c r="S299" t="s">
        <v>119</v>
      </c>
      <c r="T299">
        <v>0</v>
      </c>
    </row>
    <row r="300" spans="1:20" x14ac:dyDescent="0.25">
      <c r="A300" t="s">
        <v>883</v>
      </c>
      <c r="B300">
        <v>18</v>
      </c>
      <c r="C300" t="s">
        <v>19</v>
      </c>
      <c r="D300">
        <v>168</v>
      </c>
      <c r="E300">
        <v>180</v>
      </c>
      <c r="F300">
        <v>194</v>
      </c>
      <c r="G300">
        <v>183</v>
      </c>
      <c r="H300" t="s">
        <v>20</v>
      </c>
      <c r="I300">
        <v>16</v>
      </c>
      <c r="J300">
        <v>1</v>
      </c>
      <c r="K300">
        <v>0</v>
      </c>
      <c r="L300">
        <v>0</v>
      </c>
      <c r="N300" t="s">
        <v>918</v>
      </c>
      <c r="O300" t="s">
        <v>27</v>
      </c>
      <c r="Q300">
        <v>2</v>
      </c>
      <c r="R300" t="b">
        <v>0</v>
      </c>
      <c r="S300" t="s">
        <v>119</v>
      </c>
      <c r="T300">
        <v>0</v>
      </c>
    </row>
    <row r="301" spans="1:20" x14ac:dyDescent="0.25">
      <c r="A301" t="s">
        <v>5204</v>
      </c>
      <c r="B301">
        <v>18</v>
      </c>
      <c r="C301" t="s">
        <v>19</v>
      </c>
      <c r="D301">
        <v>16</v>
      </c>
      <c r="E301">
        <v>194</v>
      </c>
      <c r="F301">
        <v>112</v>
      </c>
      <c r="G301">
        <v>199</v>
      </c>
      <c r="H301" t="s">
        <v>102</v>
      </c>
      <c r="I301">
        <v>12</v>
      </c>
      <c r="J301">
        <v>0</v>
      </c>
      <c r="K301">
        <v>0</v>
      </c>
      <c r="L301">
        <v>0</v>
      </c>
      <c r="N301" t="s">
        <v>918</v>
      </c>
      <c r="O301" t="s">
        <v>25</v>
      </c>
      <c r="Q301">
        <v>3</v>
      </c>
      <c r="R301" t="b">
        <v>1</v>
      </c>
      <c r="S301" t="s">
        <v>119</v>
      </c>
      <c r="T301">
        <v>0</v>
      </c>
    </row>
    <row r="302" spans="1:20" x14ac:dyDescent="0.25">
      <c r="A302" t="s">
        <v>5205</v>
      </c>
      <c r="B302">
        <v>18</v>
      </c>
      <c r="C302" t="s">
        <v>19</v>
      </c>
      <c r="D302">
        <v>113</v>
      </c>
      <c r="E302">
        <v>195</v>
      </c>
      <c r="F302">
        <v>140</v>
      </c>
      <c r="G302">
        <v>198</v>
      </c>
      <c r="H302" t="s">
        <v>20</v>
      </c>
      <c r="I302">
        <v>16</v>
      </c>
      <c r="J302">
        <v>1</v>
      </c>
      <c r="K302">
        <v>0</v>
      </c>
      <c r="L302">
        <v>0</v>
      </c>
      <c r="N302" t="s">
        <v>918</v>
      </c>
      <c r="O302" t="s">
        <v>27</v>
      </c>
      <c r="Q302">
        <v>2</v>
      </c>
      <c r="R302" t="b">
        <v>0</v>
      </c>
      <c r="S302" t="s">
        <v>119</v>
      </c>
      <c r="T302">
        <v>0</v>
      </c>
    </row>
    <row r="303" spans="1:20" x14ac:dyDescent="0.25">
      <c r="A303" t="s">
        <v>5206</v>
      </c>
      <c r="B303">
        <v>18</v>
      </c>
      <c r="C303" t="s">
        <v>19</v>
      </c>
      <c r="D303">
        <v>140</v>
      </c>
      <c r="E303">
        <v>195</v>
      </c>
      <c r="F303">
        <v>169</v>
      </c>
      <c r="G303">
        <v>198</v>
      </c>
      <c r="H303" t="s">
        <v>20</v>
      </c>
      <c r="I303">
        <v>16</v>
      </c>
      <c r="J303">
        <v>1</v>
      </c>
      <c r="K303">
        <v>0</v>
      </c>
      <c r="L303">
        <v>0</v>
      </c>
      <c r="N303" t="s">
        <v>918</v>
      </c>
      <c r="O303" t="s">
        <v>27</v>
      </c>
      <c r="Q303">
        <v>2</v>
      </c>
      <c r="R303" t="b">
        <v>0</v>
      </c>
      <c r="S303" t="s">
        <v>119</v>
      </c>
      <c r="T303">
        <v>0</v>
      </c>
    </row>
    <row r="304" spans="1:20" x14ac:dyDescent="0.25">
      <c r="A304" t="s">
        <v>5207</v>
      </c>
      <c r="B304">
        <v>18</v>
      </c>
      <c r="C304" t="s">
        <v>19</v>
      </c>
      <c r="D304">
        <v>168</v>
      </c>
      <c r="E304">
        <v>195</v>
      </c>
      <c r="F304">
        <v>194</v>
      </c>
      <c r="G304">
        <v>198</v>
      </c>
      <c r="H304" t="s">
        <v>20</v>
      </c>
      <c r="I304">
        <v>16</v>
      </c>
      <c r="J304">
        <v>1</v>
      </c>
      <c r="K304">
        <v>0</v>
      </c>
      <c r="L304">
        <v>0</v>
      </c>
      <c r="N304" t="s">
        <v>918</v>
      </c>
      <c r="O304" t="s">
        <v>27</v>
      </c>
      <c r="Q304">
        <v>2</v>
      </c>
      <c r="R304" t="b">
        <v>0</v>
      </c>
      <c r="S304" t="s">
        <v>119</v>
      </c>
      <c r="T304">
        <v>0</v>
      </c>
    </row>
    <row r="305" spans="1:20" x14ac:dyDescent="0.25">
      <c r="A305" t="s">
        <v>5184</v>
      </c>
      <c r="B305">
        <v>19</v>
      </c>
      <c r="C305" t="s">
        <v>19</v>
      </c>
      <c r="D305">
        <v>14</v>
      </c>
      <c r="E305">
        <v>20</v>
      </c>
      <c r="F305">
        <v>180</v>
      </c>
      <c r="G305">
        <f>E305+5</f>
        <v>25</v>
      </c>
      <c r="H305" t="s">
        <v>102</v>
      </c>
      <c r="I305">
        <v>12</v>
      </c>
      <c r="J305">
        <v>1</v>
      </c>
      <c r="K305">
        <v>0</v>
      </c>
      <c r="L305">
        <v>0</v>
      </c>
      <c r="N305" t="s">
        <v>21</v>
      </c>
      <c r="O305" t="s">
        <v>25</v>
      </c>
      <c r="Q305">
        <v>3</v>
      </c>
      <c r="R305" t="b">
        <v>0</v>
      </c>
      <c r="S305" t="s">
        <v>119</v>
      </c>
      <c r="T305">
        <v>0</v>
      </c>
    </row>
    <row r="306" spans="1:20" x14ac:dyDescent="0.25">
      <c r="A306" t="s">
        <v>5182</v>
      </c>
      <c r="B306">
        <v>19</v>
      </c>
      <c r="C306" t="s">
        <v>24</v>
      </c>
      <c r="D306">
        <v>14</v>
      </c>
      <c r="E306">
        <v>60</v>
      </c>
      <c r="F306">
        <v>196</v>
      </c>
      <c r="G306">
        <f>INT(E306+(F306-D306)/11*10)</f>
        <v>225</v>
      </c>
      <c r="I306">
        <v>0</v>
      </c>
      <c r="J306">
        <v>0</v>
      </c>
      <c r="K306">
        <v>0</v>
      </c>
      <c r="L306">
        <v>0</v>
      </c>
      <c r="N306" t="s">
        <v>21</v>
      </c>
      <c r="O306" t="s">
        <v>25</v>
      </c>
      <c r="Q306">
        <v>2</v>
      </c>
      <c r="R306" t="b">
        <v>0</v>
      </c>
      <c r="S306" t="s">
        <v>119</v>
      </c>
      <c r="T306">
        <v>0</v>
      </c>
    </row>
    <row r="307" spans="1:20" x14ac:dyDescent="0.25">
      <c r="A307" t="s">
        <v>5183</v>
      </c>
      <c r="B307">
        <v>19</v>
      </c>
      <c r="C307" t="s">
        <v>19</v>
      </c>
      <c r="D307">
        <v>30</v>
      </c>
      <c r="E307">
        <f>G306+8</f>
        <v>233</v>
      </c>
      <c r="F307">
        <v>180</v>
      </c>
      <c r="G307">
        <f>E307+8</f>
        <v>241</v>
      </c>
      <c r="H307" t="s">
        <v>102</v>
      </c>
      <c r="I307">
        <v>16</v>
      </c>
      <c r="J307">
        <v>0</v>
      </c>
      <c r="K307">
        <v>0</v>
      </c>
      <c r="L307">
        <v>0</v>
      </c>
      <c r="M307" t="s">
        <v>884</v>
      </c>
      <c r="N307" t="s">
        <v>21</v>
      </c>
      <c r="O307" t="s">
        <v>27</v>
      </c>
      <c r="Q307">
        <v>2</v>
      </c>
      <c r="R307" t="b">
        <v>1</v>
      </c>
      <c r="S307" t="s">
        <v>119</v>
      </c>
      <c r="T307">
        <v>0</v>
      </c>
    </row>
    <row r="308" spans="1:20" x14ac:dyDescent="0.25">
      <c r="A308" t="s">
        <v>5188</v>
      </c>
      <c r="B308">
        <v>20</v>
      </c>
      <c r="C308" t="s">
        <v>19</v>
      </c>
      <c r="D308">
        <v>14</v>
      </c>
      <c r="E308">
        <v>20</v>
      </c>
      <c r="F308">
        <v>180</v>
      </c>
      <c r="G308">
        <f>E308+5</f>
        <v>25</v>
      </c>
      <c r="H308" t="s">
        <v>102</v>
      </c>
      <c r="I308">
        <v>12</v>
      </c>
      <c r="J308">
        <v>1</v>
      </c>
      <c r="K308">
        <v>0</v>
      </c>
      <c r="L308">
        <v>0</v>
      </c>
      <c r="N308" t="s">
        <v>21</v>
      </c>
      <c r="O308" t="s">
        <v>25</v>
      </c>
      <c r="Q308">
        <v>3</v>
      </c>
      <c r="R308" t="b">
        <v>0</v>
      </c>
      <c r="S308" t="s">
        <v>119</v>
      </c>
      <c r="T308">
        <v>0</v>
      </c>
    </row>
    <row r="309" spans="1:20" x14ac:dyDescent="0.25">
      <c r="A309" t="s">
        <v>5175</v>
      </c>
      <c r="B309">
        <v>20</v>
      </c>
      <c r="C309" t="s">
        <v>24</v>
      </c>
      <c r="D309">
        <v>14</v>
      </c>
      <c r="E309">
        <v>60</v>
      </c>
      <c r="F309">
        <v>196</v>
      </c>
      <c r="G309">
        <f>INT(E309+(F309-D309)/11*10)</f>
        <v>225</v>
      </c>
      <c r="I309">
        <v>0</v>
      </c>
      <c r="J309">
        <v>0</v>
      </c>
      <c r="K309">
        <v>0</v>
      </c>
      <c r="L309">
        <v>0</v>
      </c>
      <c r="N309" t="s">
        <v>21</v>
      </c>
      <c r="O309" t="s">
        <v>25</v>
      </c>
      <c r="Q309">
        <v>2</v>
      </c>
      <c r="R309" t="b">
        <v>0</v>
      </c>
      <c r="S309" t="s">
        <v>119</v>
      </c>
      <c r="T309">
        <v>0</v>
      </c>
    </row>
    <row r="310" spans="1:20" x14ac:dyDescent="0.25">
      <c r="A310" t="s">
        <v>5176</v>
      </c>
      <c r="B310">
        <v>20</v>
      </c>
      <c r="C310" t="s">
        <v>19</v>
      </c>
      <c r="D310">
        <v>30</v>
      </c>
      <c r="E310">
        <f>G309+8</f>
        <v>233</v>
      </c>
      <c r="F310">
        <v>180</v>
      </c>
      <c r="G310">
        <f>E310+8</f>
        <v>241</v>
      </c>
      <c r="H310" t="s">
        <v>102</v>
      </c>
      <c r="I310">
        <v>16</v>
      </c>
      <c r="J310">
        <v>0</v>
      </c>
      <c r="K310">
        <v>0</v>
      </c>
      <c r="L310">
        <v>0</v>
      </c>
      <c r="M310" t="s">
        <v>884</v>
      </c>
      <c r="N310" t="s">
        <v>21</v>
      </c>
      <c r="O310" t="s">
        <v>27</v>
      </c>
      <c r="Q310">
        <v>2</v>
      </c>
      <c r="R310" t="b">
        <v>1</v>
      </c>
      <c r="S310" t="s">
        <v>119</v>
      </c>
      <c r="T310">
        <v>0</v>
      </c>
    </row>
    <row r="311" spans="1:20" x14ac:dyDescent="0.25">
      <c r="A311" t="s">
        <v>895</v>
      </c>
      <c r="B311">
        <v>21</v>
      </c>
      <c r="C311" t="s">
        <v>19</v>
      </c>
      <c r="D311">
        <v>14</v>
      </c>
      <c r="E311">
        <v>20</v>
      </c>
      <c r="F311">
        <v>196</v>
      </c>
      <c r="G311">
        <v>25</v>
      </c>
      <c r="H311" t="s">
        <v>102</v>
      </c>
      <c r="I311">
        <v>14</v>
      </c>
      <c r="J311">
        <v>1</v>
      </c>
      <c r="K311">
        <v>0</v>
      </c>
      <c r="L311">
        <v>0</v>
      </c>
      <c r="N311" t="s">
        <v>21</v>
      </c>
      <c r="O311" t="s">
        <v>25</v>
      </c>
      <c r="Q311">
        <v>2</v>
      </c>
      <c r="R311" t="b">
        <v>1</v>
      </c>
      <c r="S311" t="s">
        <v>119</v>
      </c>
      <c r="T311">
        <v>0</v>
      </c>
    </row>
    <row r="312" spans="1:20" x14ac:dyDescent="0.25">
      <c r="A312" t="s">
        <v>896</v>
      </c>
      <c r="B312">
        <v>21</v>
      </c>
      <c r="C312" t="s">
        <v>19</v>
      </c>
      <c r="D312">
        <v>14</v>
      </c>
      <c r="E312">
        <v>33</v>
      </c>
      <c r="F312">
        <v>196</v>
      </c>
      <c r="G312">
        <v>38</v>
      </c>
      <c r="H312" t="s">
        <v>102</v>
      </c>
      <c r="I312">
        <v>12</v>
      </c>
      <c r="J312">
        <v>0</v>
      </c>
      <c r="K312">
        <v>0</v>
      </c>
      <c r="L312">
        <v>0</v>
      </c>
      <c r="N312" t="s">
        <v>21</v>
      </c>
      <c r="O312" t="s">
        <v>25</v>
      </c>
      <c r="Q312">
        <v>2</v>
      </c>
      <c r="R312" t="b">
        <v>1</v>
      </c>
      <c r="T312">
        <v>0</v>
      </c>
    </row>
    <row r="313" spans="1:20" x14ac:dyDescent="0.25">
      <c r="A313" t="s">
        <v>5213</v>
      </c>
      <c r="B313">
        <v>21</v>
      </c>
      <c r="C313" t="s">
        <v>26</v>
      </c>
      <c r="D313">
        <v>0</v>
      </c>
      <c r="E313">
        <v>75</v>
      </c>
      <c r="F313">
        <v>210</v>
      </c>
      <c r="G313">
        <v>123</v>
      </c>
      <c r="I313">
        <v>0</v>
      </c>
      <c r="J313">
        <v>1</v>
      </c>
      <c r="K313">
        <v>0</v>
      </c>
      <c r="L313">
        <v>0</v>
      </c>
      <c r="M313" t="s">
        <v>918</v>
      </c>
      <c r="N313" t="s">
        <v>918</v>
      </c>
      <c r="O313" t="s">
        <v>25</v>
      </c>
      <c r="Q313">
        <v>1</v>
      </c>
      <c r="R313" t="b">
        <v>0</v>
      </c>
      <c r="S313" t="s">
        <v>119</v>
      </c>
      <c r="T313">
        <v>0</v>
      </c>
    </row>
    <row r="314" spans="1:20" x14ac:dyDescent="0.25">
      <c r="A314" t="s">
        <v>5208</v>
      </c>
      <c r="B314">
        <v>21</v>
      </c>
      <c r="C314" t="s">
        <v>19</v>
      </c>
      <c r="D314">
        <v>14</v>
      </c>
      <c r="E314">
        <v>80</v>
      </c>
      <c r="F314">
        <v>196</v>
      </c>
      <c r="G314">
        <v>83</v>
      </c>
      <c r="H314" t="s">
        <v>102</v>
      </c>
      <c r="I314">
        <v>12</v>
      </c>
      <c r="J314">
        <v>1</v>
      </c>
      <c r="K314">
        <v>0</v>
      </c>
      <c r="L314">
        <v>0</v>
      </c>
      <c r="N314" t="s">
        <v>918</v>
      </c>
      <c r="O314" t="s">
        <v>25</v>
      </c>
      <c r="Q314">
        <v>3</v>
      </c>
      <c r="R314" t="b">
        <v>0</v>
      </c>
      <c r="S314" t="s">
        <v>119</v>
      </c>
      <c r="T314">
        <v>0</v>
      </c>
    </row>
    <row r="315" spans="1:20" x14ac:dyDescent="0.25">
      <c r="A315" t="s">
        <v>774</v>
      </c>
      <c r="B315">
        <v>21</v>
      </c>
      <c r="C315" t="s">
        <v>19</v>
      </c>
      <c r="D315">
        <v>113</v>
      </c>
      <c r="E315">
        <v>77</v>
      </c>
      <c r="F315">
        <v>140</v>
      </c>
      <c r="G315">
        <v>82</v>
      </c>
      <c r="H315" t="s">
        <v>102</v>
      </c>
      <c r="I315">
        <v>10</v>
      </c>
      <c r="J315">
        <v>1</v>
      </c>
      <c r="K315">
        <v>0</v>
      </c>
      <c r="L315">
        <v>0</v>
      </c>
      <c r="N315" t="s">
        <v>918</v>
      </c>
      <c r="O315" t="s">
        <v>27</v>
      </c>
      <c r="Q315">
        <v>3</v>
      </c>
      <c r="R315" t="b">
        <v>1</v>
      </c>
      <c r="S315" t="s">
        <v>119</v>
      </c>
      <c r="T315">
        <v>0</v>
      </c>
    </row>
    <row r="316" spans="1:20" x14ac:dyDescent="0.25">
      <c r="A316" t="s">
        <v>775</v>
      </c>
      <c r="B316">
        <v>21</v>
      </c>
      <c r="C316" t="s">
        <v>19</v>
      </c>
      <c r="D316">
        <v>140</v>
      </c>
      <c r="E316">
        <v>77</v>
      </c>
      <c r="F316">
        <v>169</v>
      </c>
      <c r="G316">
        <v>82</v>
      </c>
      <c r="H316" t="s">
        <v>102</v>
      </c>
      <c r="I316">
        <v>10</v>
      </c>
      <c r="J316">
        <v>1</v>
      </c>
      <c r="K316">
        <v>0</v>
      </c>
      <c r="L316">
        <v>0</v>
      </c>
      <c r="N316" t="s">
        <v>918</v>
      </c>
      <c r="O316" t="s">
        <v>27</v>
      </c>
      <c r="Q316">
        <v>3</v>
      </c>
      <c r="R316" t="b">
        <v>1</v>
      </c>
      <c r="S316" t="s">
        <v>119</v>
      </c>
      <c r="T316">
        <v>0</v>
      </c>
    </row>
    <row r="317" spans="1:20" x14ac:dyDescent="0.25">
      <c r="A317" t="s">
        <v>776</v>
      </c>
      <c r="B317">
        <v>21</v>
      </c>
      <c r="C317" t="s">
        <v>19</v>
      </c>
      <c r="D317">
        <v>168</v>
      </c>
      <c r="E317">
        <v>77</v>
      </c>
      <c r="F317">
        <v>194</v>
      </c>
      <c r="G317">
        <v>82</v>
      </c>
      <c r="H317" t="s">
        <v>102</v>
      </c>
      <c r="I317">
        <v>10</v>
      </c>
      <c r="J317">
        <v>1</v>
      </c>
      <c r="K317">
        <v>0</v>
      </c>
      <c r="L317">
        <v>0</v>
      </c>
      <c r="N317" t="s">
        <v>918</v>
      </c>
      <c r="O317" t="s">
        <v>27</v>
      </c>
      <c r="Q317">
        <v>3</v>
      </c>
      <c r="R317" t="b">
        <v>1</v>
      </c>
      <c r="S317" t="s">
        <v>119</v>
      </c>
      <c r="T317">
        <v>0</v>
      </c>
    </row>
    <row r="318" spans="1:20" x14ac:dyDescent="0.25">
      <c r="A318" t="s">
        <v>44</v>
      </c>
      <c r="B318">
        <v>21</v>
      </c>
      <c r="C318" t="s">
        <v>25</v>
      </c>
      <c r="D318">
        <v>114</v>
      </c>
      <c r="E318">
        <v>75</v>
      </c>
      <c r="F318">
        <v>114</v>
      </c>
      <c r="G318">
        <v>123</v>
      </c>
      <c r="I318">
        <v>0.5</v>
      </c>
      <c r="J318">
        <v>0</v>
      </c>
      <c r="K318">
        <v>0</v>
      </c>
      <c r="L318">
        <v>0</v>
      </c>
      <c r="M318" t="s">
        <v>21</v>
      </c>
      <c r="N318" t="s">
        <v>918</v>
      </c>
      <c r="O318" t="s">
        <v>25</v>
      </c>
      <c r="Q318">
        <v>4</v>
      </c>
      <c r="R318" t="b">
        <v>0</v>
      </c>
      <c r="S318" t="s">
        <v>119</v>
      </c>
      <c r="T318">
        <v>0</v>
      </c>
    </row>
    <row r="319" spans="1:20" x14ac:dyDescent="0.25">
      <c r="A319" t="s">
        <v>45</v>
      </c>
      <c r="B319">
        <v>21</v>
      </c>
      <c r="C319" t="s">
        <v>25</v>
      </c>
      <c r="D319">
        <v>141</v>
      </c>
      <c r="E319">
        <v>75</v>
      </c>
      <c r="F319">
        <v>141</v>
      </c>
      <c r="G319">
        <v>123</v>
      </c>
      <c r="I319">
        <v>0.5</v>
      </c>
      <c r="J319">
        <v>0</v>
      </c>
      <c r="K319">
        <v>0</v>
      </c>
      <c r="L319">
        <v>0</v>
      </c>
      <c r="M319" t="s">
        <v>21</v>
      </c>
      <c r="N319" t="s">
        <v>918</v>
      </c>
      <c r="O319" t="s">
        <v>25</v>
      </c>
      <c r="Q319">
        <v>4</v>
      </c>
      <c r="R319" t="b">
        <v>0</v>
      </c>
      <c r="S319" t="s">
        <v>119</v>
      </c>
      <c r="T319">
        <v>0</v>
      </c>
    </row>
    <row r="320" spans="1:20" x14ac:dyDescent="0.25">
      <c r="A320" t="s">
        <v>46</v>
      </c>
      <c r="B320">
        <v>21</v>
      </c>
      <c r="C320" t="s">
        <v>25</v>
      </c>
      <c r="D320">
        <v>168</v>
      </c>
      <c r="E320">
        <v>75</v>
      </c>
      <c r="F320">
        <v>168</v>
      </c>
      <c r="G320">
        <v>123</v>
      </c>
      <c r="I320">
        <v>0.5</v>
      </c>
      <c r="J320">
        <v>0</v>
      </c>
      <c r="K320">
        <v>0</v>
      </c>
      <c r="L320">
        <v>0</v>
      </c>
      <c r="M320" t="s">
        <v>21</v>
      </c>
      <c r="N320" t="s">
        <v>918</v>
      </c>
      <c r="O320" t="s">
        <v>25</v>
      </c>
      <c r="Q320">
        <v>4</v>
      </c>
      <c r="R320" t="b">
        <v>0</v>
      </c>
      <c r="S320" t="s">
        <v>119</v>
      </c>
      <c r="T320">
        <v>0</v>
      </c>
    </row>
    <row r="321" spans="1:20" x14ac:dyDescent="0.25">
      <c r="A321" t="s">
        <v>55</v>
      </c>
      <c r="B321">
        <v>21</v>
      </c>
      <c r="C321" t="s">
        <v>25</v>
      </c>
      <c r="D321">
        <v>14</v>
      </c>
      <c r="E321">
        <v>102</v>
      </c>
      <c r="F321">
        <v>196</v>
      </c>
      <c r="G321">
        <v>102</v>
      </c>
      <c r="I321">
        <v>0.5</v>
      </c>
      <c r="J321">
        <v>0</v>
      </c>
      <c r="K321">
        <v>0</v>
      </c>
      <c r="L321">
        <v>0</v>
      </c>
      <c r="M321" t="s">
        <v>21</v>
      </c>
      <c r="N321" t="s">
        <v>918</v>
      </c>
      <c r="O321" t="s">
        <v>25</v>
      </c>
      <c r="Q321">
        <v>4</v>
      </c>
      <c r="R321" t="b">
        <v>0</v>
      </c>
      <c r="S321" t="s">
        <v>119</v>
      </c>
      <c r="T321">
        <v>0</v>
      </c>
    </row>
    <row r="322" spans="1:20" x14ac:dyDescent="0.25">
      <c r="A322" t="s">
        <v>920</v>
      </c>
      <c r="B322">
        <v>21</v>
      </c>
      <c r="C322" t="s">
        <v>19</v>
      </c>
      <c r="D322">
        <v>14</v>
      </c>
      <c r="E322">
        <v>125</v>
      </c>
      <c r="F322">
        <v>196</v>
      </c>
      <c r="G322">
        <v>129</v>
      </c>
      <c r="H322" t="s">
        <v>102</v>
      </c>
      <c r="I322">
        <v>10</v>
      </c>
      <c r="J322">
        <v>0</v>
      </c>
      <c r="K322">
        <v>0</v>
      </c>
      <c r="L322">
        <v>0</v>
      </c>
      <c r="N322" t="s">
        <v>21</v>
      </c>
      <c r="O322" t="s">
        <v>22</v>
      </c>
      <c r="Q322">
        <v>2</v>
      </c>
      <c r="R322" t="b">
        <v>0</v>
      </c>
      <c r="S322" t="s">
        <v>119</v>
      </c>
      <c r="T322">
        <v>0</v>
      </c>
    </row>
    <row r="323" spans="1:20" x14ac:dyDescent="0.25">
      <c r="A323" t="s">
        <v>5209</v>
      </c>
      <c r="B323">
        <v>21</v>
      </c>
      <c r="C323" t="s">
        <v>19</v>
      </c>
      <c r="D323">
        <v>14</v>
      </c>
      <c r="E323">
        <v>104</v>
      </c>
      <c r="F323">
        <v>112</v>
      </c>
      <c r="G323">
        <v>109</v>
      </c>
      <c r="H323" t="s">
        <v>102</v>
      </c>
      <c r="I323">
        <v>12</v>
      </c>
      <c r="J323">
        <v>0</v>
      </c>
      <c r="K323">
        <v>0</v>
      </c>
      <c r="L323">
        <v>0</v>
      </c>
      <c r="N323" t="s">
        <v>918</v>
      </c>
      <c r="O323" t="s">
        <v>25</v>
      </c>
      <c r="Q323">
        <v>3</v>
      </c>
      <c r="R323" t="b">
        <v>1</v>
      </c>
      <c r="S323" t="s">
        <v>119</v>
      </c>
      <c r="T323">
        <v>0</v>
      </c>
    </row>
    <row r="324" spans="1:20" x14ac:dyDescent="0.25">
      <c r="A324" t="s">
        <v>5210</v>
      </c>
      <c r="B324">
        <v>21</v>
      </c>
      <c r="C324" t="s">
        <v>19</v>
      </c>
      <c r="D324">
        <v>113</v>
      </c>
      <c r="E324">
        <v>105</v>
      </c>
      <c r="F324">
        <v>140</v>
      </c>
      <c r="G324">
        <v>108</v>
      </c>
      <c r="H324" t="s">
        <v>20</v>
      </c>
      <c r="I324">
        <v>16</v>
      </c>
      <c r="J324">
        <v>1</v>
      </c>
      <c r="K324">
        <v>0</v>
      </c>
      <c r="L324">
        <v>0</v>
      </c>
      <c r="N324" t="s">
        <v>918</v>
      </c>
      <c r="O324" t="s">
        <v>27</v>
      </c>
      <c r="Q324">
        <v>2</v>
      </c>
      <c r="R324" t="b">
        <v>0</v>
      </c>
      <c r="S324" t="s">
        <v>119</v>
      </c>
      <c r="T324">
        <v>0</v>
      </c>
    </row>
    <row r="325" spans="1:20" x14ac:dyDescent="0.25">
      <c r="A325" t="s">
        <v>5211</v>
      </c>
      <c r="B325">
        <v>21</v>
      </c>
      <c r="C325" t="s">
        <v>19</v>
      </c>
      <c r="D325">
        <v>140</v>
      </c>
      <c r="E325">
        <v>105</v>
      </c>
      <c r="F325">
        <v>169</v>
      </c>
      <c r="G325">
        <v>108</v>
      </c>
      <c r="H325" t="s">
        <v>20</v>
      </c>
      <c r="I325">
        <v>16</v>
      </c>
      <c r="J325">
        <v>1</v>
      </c>
      <c r="K325">
        <v>0</v>
      </c>
      <c r="L325">
        <v>0</v>
      </c>
      <c r="N325" t="s">
        <v>918</v>
      </c>
      <c r="O325" t="s">
        <v>27</v>
      </c>
      <c r="Q325">
        <v>2</v>
      </c>
      <c r="R325" t="b">
        <v>0</v>
      </c>
      <c r="S325" t="s">
        <v>119</v>
      </c>
      <c r="T325">
        <v>0</v>
      </c>
    </row>
    <row r="326" spans="1:20" x14ac:dyDescent="0.25">
      <c r="A326" t="s">
        <v>5212</v>
      </c>
      <c r="B326">
        <v>21</v>
      </c>
      <c r="C326" t="s">
        <v>19</v>
      </c>
      <c r="D326">
        <v>168</v>
      </c>
      <c r="E326">
        <v>105</v>
      </c>
      <c r="F326">
        <v>194</v>
      </c>
      <c r="G326">
        <v>108</v>
      </c>
      <c r="H326" t="s">
        <v>20</v>
      </c>
      <c r="I326">
        <v>16</v>
      </c>
      <c r="J326">
        <v>1</v>
      </c>
      <c r="K326">
        <v>0</v>
      </c>
      <c r="L326">
        <v>0</v>
      </c>
      <c r="N326" t="s">
        <v>918</v>
      </c>
      <c r="O326" t="s">
        <v>27</v>
      </c>
      <c r="Q326">
        <v>2</v>
      </c>
      <c r="R326" t="b">
        <v>0</v>
      </c>
      <c r="S326" t="s">
        <v>119</v>
      </c>
      <c r="T326">
        <v>0</v>
      </c>
    </row>
    <row r="327" spans="1:20" x14ac:dyDescent="0.25">
      <c r="A327" t="s">
        <v>1027</v>
      </c>
      <c r="B327">
        <v>21</v>
      </c>
      <c r="C327" t="s">
        <v>24</v>
      </c>
      <c r="D327">
        <v>30</v>
      </c>
      <c r="E327">
        <v>130</v>
      </c>
      <c r="F327">
        <v>180</v>
      </c>
      <c r="G327">
        <v>280</v>
      </c>
      <c r="I327">
        <v>0</v>
      </c>
      <c r="J327">
        <v>0</v>
      </c>
      <c r="K327">
        <v>0</v>
      </c>
      <c r="L327">
        <v>0</v>
      </c>
      <c r="N327" t="s">
        <v>21</v>
      </c>
      <c r="O327" t="s">
        <v>25</v>
      </c>
      <c r="Q327">
        <v>0</v>
      </c>
      <c r="R327" t="b">
        <v>0</v>
      </c>
      <c r="S327" t="s">
        <v>119</v>
      </c>
      <c r="T327">
        <v>0</v>
      </c>
    </row>
    <row r="328" spans="1:20" x14ac:dyDescent="0.25">
      <c r="A328" t="s">
        <v>1028</v>
      </c>
      <c r="B328">
        <v>21</v>
      </c>
      <c r="C328" t="s">
        <v>19</v>
      </c>
      <c r="D328">
        <v>30</v>
      </c>
      <c r="E328">
        <v>130</v>
      </c>
      <c r="F328">
        <v>130</v>
      </c>
      <c r="G328">
        <v>280</v>
      </c>
      <c r="H328" t="s">
        <v>102</v>
      </c>
      <c r="I328">
        <v>12</v>
      </c>
      <c r="J328">
        <v>0</v>
      </c>
      <c r="K328">
        <v>1</v>
      </c>
      <c r="L328">
        <v>0</v>
      </c>
      <c r="N328" t="s">
        <v>21</v>
      </c>
      <c r="O328" t="s">
        <v>25</v>
      </c>
      <c r="Q328">
        <v>0</v>
      </c>
      <c r="R328" t="b">
        <v>1</v>
      </c>
      <c r="S328" t="s">
        <v>119</v>
      </c>
      <c r="T328">
        <v>0</v>
      </c>
    </row>
    <row r="329" spans="1:20" x14ac:dyDescent="0.25">
      <c r="A329" t="s">
        <v>1029</v>
      </c>
      <c r="B329">
        <v>21</v>
      </c>
      <c r="C329" t="s">
        <v>19</v>
      </c>
      <c r="D329">
        <v>30</v>
      </c>
      <c r="E329">
        <v>280</v>
      </c>
      <c r="F329">
        <v>180</v>
      </c>
      <c r="G329">
        <v>283</v>
      </c>
      <c r="H329" t="s">
        <v>102</v>
      </c>
      <c r="I329">
        <v>8</v>
      </c>
      <c r="J329">
        <v>0</v>
      </c>
      <c r="K329">
        <v>1</v>
      </c>
      <c r="L329">
        <v>0</v>
      </c>
      <c r="M329" t="s">
        <v>884</v>
      </c>
      <c r="N329" t="s">
        <v>21</v>
      </c>
      <c r="O329" t="s">
        <v>22</v>
      </c>
      <c r="Q329">
        <v>0</v>
      </c>
      <c r="R329" t="b">
        <v>1</v>
      </c>
      <c r="S329" t="s">
        <v>119</v>
      </c>
      <c r="T329">
        <v>0</v>
      </c>
    </row>
    <row r="330" spans="1:20" x14ac:dyDescent="0.25">
      <c r="A330" t="s">
        <v>5189</v>
      </c>
      <c r="B330">
        <v>22</v>
      </c>
      <c r="C330" t="s">
        <v>19</v>
      </c>
      <c r="D330">
        <v>14</v>
      </c>
      <c r="E330">
        <v>20</v>
      </c>
      <c r="F330">
        <v>180</v>
      </c>
      <c r="G330">
        <f>E330+5</f>
        <v>25</v>
      </c>
      <c r="H330" t="s">
        <v>102</v>
      </c>
      <c r="I330">
        <v>12</v>
      </c>
      <c r="J330">
        <v>1</v>
      </c>
      <c r="K330">
        <v>0</v>
      </c>
      <c r="L330">
        <v>0</v>
      </c>
      <c r="N330" t="s">
        <v>21</v>
      </c>
      <c r="O330" t="s">
        <v>25</v>
      </c>
      <c r="Q330">
        <v>3</v>
      </c>
      <c r="R330" t="b">
        <v>0</v>
      </c>
      <c r="S330" t="s">
        <v>119</v>
      </c>
      <c r="T330">
        <v>0</v>
      </c>
    </row>
    <row r="331" spans="1:20" x14ac:dyDescent="0.25">
      <c r="A331" t="s">
        <v>5193</v>
      </c>
      <c r="B331">
        <v>22</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5191</v>
      </c>
      <c r="B332">
        <v>22</v>
      </c>
      <c r="C332" t="s">
        <v>19</v>
      </c>
      <c r="D332">
        <v>30</v>
      </c>
      <c r="E332">
        <f>G331+8</f>
        <v>233</v>
      </c>
      <c r="F332">
        <v>180</v>
      </c>
      <c r="G332">
        <f>E332+8</f>
        <v>241</v>
      </c>
      <c r="H332" t="s">
        <v>102</v>
      </c>
      <c r="I332">
        <v>16</v>
      </c>
      <c r="J332">
        <v>0</v>
      </c>
      <c r="K332">
        <v>0</v>
      </c>
      <c r="L332">
        <v>0</v>
      </c>
      <c r="M332" t="s">
        <v>884</v>
      </c>
      <c r="N332" t="s">
        <v>21</v>
      </c>
      <c r="O332" t="s">
        <v>27</v>
      </c>
      <c r="Q332">
        <v>2</v>
      </c>
      <c r="R332" t="b">
        <v>1</v>
      </c>
      <c r="S332" t="s">
        <v>119</v>
      </c>
      <c r="T332">
        <v>0</v>
      </c>
    </row>
    <row r="333" spans="1:20" x14ac:dyDescent="0.25">
      <c r="A333" t="s">
        <v>5177</v>
      </c>
      <c r="B333">
        <v>23</v>
      </c>
      <c r="C333" t="s">
        <v>19</v>
      </c>
      <c r="D333">
        <v>14</v>
      </c>
      <c r="E333">
        <v>20</v>
      </c>
      <c r="F333">
        <v>180</v>
      </c>
      <c r="G333">
        <f>E333+5</f>
        <v>25</v>
      </c>
      <c r="H333" t="s">
        <v>102</v>
      </c>
      <c r="I333">
        <v>12</v>
      </c>
      <c r="J333">
        <v>1</v>
      </c>
      <c r="K333">
        <v>0</v>
      </c>
      <c r="L333">
        <v>0</v>
      </c>
      <c r="N333" t="s">
        <v>21</v>
      </c>
      <c r="O333" t="s">
        <v>25</v>
      </c>
      <c r="Q333">
        <v>3</v>
      </c>
      <c r="R333" t="b">
        <v>0</v>
      </c>
      <c r="S333" t="s">
        <v>119</v>
      </c>
      <c r="T333">
        <v>0</v>
      </c>
    </row>
    <row r="334" spans="1:20" x14ac:dyDescent="0.25">
      <c r="A334" t="s">
        <v>5178</v>
      </c>
      <c r="B334">
        <v>23</v>
      </c>
      <c r="C334" t="s">
        <v>19</v>
      </c>
      <c r="D334">
        <v>14</v>
      </c>
      <c r="E334">
        <f>G333+8</f>
        <v>33</v>
      </c>
      <c r="F334">
        <v>196</v>
      </c>
      <c r="G334">
        <f>E334+5</f>
        <v>38</v>
      </c>
      <c r="H334" t="s">
        <v>102</v>
      </c>
      <c r="I334">
        <v>12</v>
      </c>
      <c r="J334">
        <v>0</v>
      </c>
      <c r="K334">
        <v>0</v>
      </c>
      <c r="L334">
        <v>0</v>
      </c>
      <c r="N334" t="s">
        <v>21</v>
      </c>
      <c r="O334" t="s">
        <v>25</v>
      </c>
      <c r="P334" s="1"/>
      <c r="Q334">
        <v>2</v>
      </c>
      <c r="R334" t="b">
        <v>1</v>
      </c>
      <c r="S334" t="s">
        <v>119</v>
      </c>
      <c r="T334">
        <v>0</v>
      </c>
    </row>
    <row r="335" spans="1:20" x14ac:dyDescent="0.25">
      <c r="A335" t="s">
        <v>5179</v>
      </c>
      <c r="B335">
        <v>23</v>
      </c>
      <c r="C335" t="s">
        <v>24</v>
      </c>
      <c r="D335">
        <v>14</v>
      </c>
      <c r="E335">
        <v>60</v>
      </c>
      <c r="F335">
        <v>196</v>
      </c>
      <c r="G335">
        <f>INT(E335+(F335-D335)/11*10)</f>
        <v>225</v>
      </c>
      <c r="I335">
        <v>0</v>
      </c>
      <c r="J335">
        <v>0</v>
      </c>
      <c r="K335">
        <v>0</v>
      </c>
      <c r="L335">
        <v>0</v>
      </c>
      <c r="N335" t="s">
        <v>21</v>
      </c>
      <c r="O335" t="s">
        <v>25</v>
      </c>
      <c r="Q335">
        <v>2</v>
      </c>
      <c r="R335" t="b">
        <v>0</v>
      </c>
      <c r="S335" t="s">
        <v>119</v>
      </c>
      <c r="T335">
        <v>0</v>
      </c>
    </row>
    <row r="336" spans="1:20" x14ac:dyDescent="0.25">
      <c r="A336" t="s">
        <v>5180</v>
      </c>
      <c r="B336">
        <v>23</v>
      </c>
      <c r="C336" t="s">
        <v>19</v>
      </c>
      <c r="D336">
        <v>14</v>
      </c>
      <c r="E336">
        <f>G335+8</f>
        <v>233</v>
      </c>
      <c r="F336">
        <v>196</v>
      </c>
      <c r="G336">
        <f>E336+8</f>
        <v>241</v>
      </c>
      <c r="H336" t="s">
        <v>102</v>
      </c>
      <c r="I336">
        <v>16</v>
      </c>
      <c r="J336">
        <v>0</v>
      </c>
      <c r="K336">
        <v>0</v>
      </c>
      <c r="L336">
        <v>0</v>
      </c>
      <c r="M336" t="s">
        <v>884</v>
      </c>
      <c r="N336" t="s">
        <v>21</v>
      </c>
      <c r="O336" t="s">
        <v>27</v>
      </c>
      <c r="Q336">
        <v>2</v>
      </c>
      <c r="R336" t="b">
        <v>1</v>
      </c>
      <c r="S336" t="s">
        <v>119</v>
      </c>
      <c r="T336">
        <v>0</v>
      </c>
    </row>
    <row r="337" spans="1:20" x14ac:dyDescent="0.25">
      <c r="A337" t="s">
        <v>127</v>
      </c>
      <c r="B337">
        <v>24</v>
      </c>
      <c r="C337" t="s">
        <v>19</v>
      </c>
      <c r="D337">
        <v>14</v>
      </c>
      <c r="E337">
        <v>20</v>
      </c>
      <c r="F337">
        <v>196</v>
      </c>
      <c r="G337">
        <v>25</v>
      </c>
      <c r="H337" t="s">
        <v>102</v>
      </c>
      <c r="I337">
        <v>14</v>
      </c>
      <c r="J337">
        <v>1</v>
      </c>
      <c r="K337">
        <v>0</v>
      </c>
      <c r="L337">
        <v>0</v>
      </c>
      <c r="N337" t="s">
        <v>21</v>
      </c>
      <c r="O337" t="s">
        <v>25</v>
      </c>
      <c r="Q337">
        <v>2</v>
      </c>
      <c r="R337" t="b">
        <v>1</v>
      </c>
      <c r="S337" t="s">
        <v>119</v>
      </c>
      <c r="T337">
        <v>0</v>
      </c>
    </row>
    <row r="338" spans="1:20" x14ac:dyDescent="0.25">
      <c r="A338" t="s">
        <v>5025</v>
      </c>
      <c r="B338">
        <v>24</v>
      </c>
      <c r="C338" t="s">
        <v>19</v>
      </c>
      <c r="D338">
        <v>14</v>
      </c>
      <c r="E338">
        <v>33</v>
      </c>
      <c r="F338">
        <v>196</v>
      </c>
      <c r="G338">
        <v>38</v>
      </c>
      <c r="H338" t="s">
        <v>102</v>
      </c>
      <c r="I338">
        <v>12</v>
      </c>
      <c r="J338">
        <v>0</v>
      </c>
      <c r="K338">
        <v>0</v>
      </c>
      <c r="L338">
        <v>0</v>
      </c>
      <c r="N338" t="s">
        <v>21</v>
      </c>
      <c r="O338" t="s">
        <v>25</v>
      </c>
      <c r="Q338">
        <v>2</v>
      </c>
      <c r="R338" t="b">
        <v>1</v>
      </c>
      <c r="T338">
        <v>0</v>
      </c>
    </row>
    <row r="339" spans="1:20" x14ac:dyDescent="0.25">
      <c r="A339" t="s">
        <v>29</v>
      </c>
      <c r="B339">
        <v>24</v>
      </c>
      <c r="C339" t="s">
        <v>25</v>
      </c>
      <c r="D339">
        <v>14</v>
      </c>
      <c r="E339">
        <v>200</v>
      </c>
      <c r="F339">
        <v>196</v>
      </c>
      <c r="G339">
        <v>200</v>
      </c>
      <c r="I339">
        <v>0</v>
      </c>
      <c r="J339">
        <v>0</v>
      </c>
      <c r="K339">
        <v>0</v>
      </c>
      <c r="L339">
        <v>0</v>
      </c>
      <c r="N339" t="s">
        <v>21</v>
      </c>
      <c r="O339" t="s">
        <v>25</v>
      </c>
      <c r="Q339">
        <v>2</v>
      </c>
      <c r="R339" t="b">
        <v>0</v>
      </c>
      <c r="S339" t="s">
        <v>119</v>
      </c>
      <c r="T339">
        <v>0</v>
      </c>
    </row>
    <row r="340" spans="1:20" x14ac:dyDescent="0.25">
      <c r="A340" t="s">
        <v>334</v>
      </c>
      <c r="B340">
        <v>24</v>
      </c>
      <c r="C340" t="s">
        <v>19</v>
      </c>
      <c r="D340">
        <v>14</v>
      </c>
      <c r="E340">
        <v>208</v>
      </c>
      <c r="F340">
        <v>196</v>
      </c>
      <c r="G340">
        <v>212</v>
      </c>
      <c r="H340" t="s">
        <v>102</v>
      </c>
      <c r="I340">
        <v>12</v>
      </c>
      <c r="J340">
        <v>1</v>
      </c>
      <c r="K340">
        <v>0</v>
      </c>
      <c r="L340">
        <v>0</v>
      </c>
      <c r="N340" t="s">
        <v>21</v>
      </c>
      <c r="O340" t="s">
        <v>25</v>
      </c>
      <c r="P340" s="1"/>
      <c r="Q340">
        <v>2</v>
      </c>
      <c r="R340" t="b">
        <v>1</v>
      </c>
      <c r="S340" t="s">
        <v>119</v>
      </c>
      <c r="T340">
        <v>0</v>
      </c>
    </row>
    <row r="341" spans="1:20" x14ac:dyDescent="0.25">
      <c r="A341" t="s">
        <v>666</v>
      </c>
      <c r="B341">
        <v>24</v>
      </c>
      <c r="C341" t="s">
        <v>19</v>
      </c>
      <c r="D341">
        <v>14</v>
      </c>
      <c r="E341">
        <v>214</v>
      </c>
      <c r="F341">
        <v>196</v>
      </c>
      <c r="G341">
        <v>218</v>
      </c>
      <c r="H341" t="s">
        <v>102</v>
      </c>
      <c r="I341">
        <v>10</v>
      </c>
      <c r="J341">
        <v>0</v>
      </c>
      <c r="K341">
        <v>0</v>
      </c>
      <c r="L341">
        <v>0</v>
      </c>
      <c r="N341" t="s">
        <v>21</v>
      </c>
      <c r="O341" t="s">
        <v>25</v>
      </c>
      <c r="P341" s="1"/>
      <c r="Q341">
        <v>2</v>
      </c>
      <c r="R341" t="b">
        <v>1</v>
      </c>
      <c r="S341" t="s">
        <v>119</v>
      </c>
      <c r="T341">
        <v>0</v>
      </c>
    </row>
    <row r="342" spans="1:20" ht="15" customHeight="1" x14ac:dyDescent="0.25">
      <c r="A342" t="s">
        <v>934</v>
      </c>
      <c r="B342">
        <v>24</v>
      </c>
      <c r="C342" t="s">
        <v>24</v>
      </c>
      <c r="D342">
        <v>14</v>
      </c>
      <c r="E342">
        <v>248</v>
      </c>
      <c r="F342">
        <v>24</v>
      </c>
      <c r="G342">
        <v>258</v>
      </c>
      <c r="I342">
        <v>12</v>
      </c>
      <c r="J342">
        <v>0</v>
      </c>
      <c r="K342">
        <v>0</v>
      </c>
      <c r="L342">
        <v>0</v>
      </c>
      <c r="M342" t="s">
        <v>935</v>
      </c>
      <c r="N342" t="s">
        <v>936</v>
      </c>
      <c r="O342" t="s">
        <v>25</v>
      </c>
      <c r="P342" s="5" t="s">
        <v>5274</v>
      </c>
      <c r="Q342">
        <v>2</v>
      </c>
      <c r="R342" t="b">
        <v>1</v>
      </c>
      <c r="T342">
        <v>0</v>
      </c>
    </row>
    <row r="343" spans="1:20" ht="15" customHeight="1" x14ac:dyDescent="0.25">
      <c r="A343" t="s">
        <v>937</v>
      </c>
      <c r="B343">
        <v>24</v>
      </c>
      <c r="C343" t="s">
        <v>24</v>
      </c>
      <c r="D343">
        <v>26</v>
      </c>
      <c r="E343">
        <v>248</v>
      </c>
      <c r="F343">
        <v>36</v>
      </c>
      <c r="G343">
        <v>258</v>
      </c>
      <c r="I343">
        <v>12</v>
      </c>
      <c r="J343">
        <v>0</v>
      </c>
      <c r="K343">
        <v>0</v>
      </c>
      <c r="L343">
        <v>0</v>
      </c>
      <c r="M343" t="s">
        <v>935</v>
      </c>
      <c r="N343" t="s">
        <v>936</v>
      </c>
      <c r="O343" t="s">
        <v>25</v>
      </c>
      <c r="P343" s="5" t="s">
        <v>5275</v>
      </c>
      <c r="Q343">
        <v>2</v>
      </c>
      <c r="R343" t="b">
        <v>1</v>
      </c>
      <c r="T343">
        <v>0</v>
      </c>
    </row>
    <row r="344" spans="1:20" ht="15" customHeight="1" x14ac:dyDescent="0.25">
      <c r="A344" t="s">
        <v>938</v>
      </c>
      <c r="B344">
        <v>24</v>
      </c>
      <c r="C344" t="s">
        <v>24</v>
      </c>
      <c r="D344">
        <v>38</v>
      </c>
      <c r="E344">
        <v>248</v>
      </c>
      <c r="F344">
        <v>48</v>
      </c>
      <c r="G344">
        <v>258</v>
      </c>
      <c r="I344">
        <v>12</v>
      </c>
      <c r="J344">
        <v>0</v>
      </c>
      <c r="K344">
        <v>0</v>
      </c>
      <c r="L344">
        <v>0</v>
      </c>
      <c r="M344" t="s">
        <v>935</v>
      </c>
      <c r="N344" t="s">
        <v>936</v>
      </c>
      <c r="O344" t="s">
        <v>25</v>
      </c>
      <c r="P344" s="5" t="s">
        <v>5276</v>
      </c>
      <c r="Q344">
        <v>2</v>
      </c>
      <c r="R344" t="b">
        <v>1</v>
      </c>
      <c r="T344">
        <v>0</v>
      </c>
    </row>
    <row r="345" spans="1:20" ht="18" customHeight="1" x14ac:dyDescent="0.25">
      <c r="A345" t="s">
        <v>115</v>
      </c>
      <c r="B345">
        <v>24</v>
      </c>
      <c r="C345" t="s">
        <v>116</v>
      </c>
      <c r="D345">
        <v>14</v>
      </c>
      <c r="E345">
        <v>263</v>
      </c>
      <c r="F345">
        <v>196</v>
      </c>
      <c r="G345">
        <v>266</v>
      </c>
      <c r="H345" t="s">
        <v>102</v>
      </c>
      <c r="I345">
        <v>10</v>
      </c>
      <c r="J345">
        <v>0</v>
      </c>
      <c r="K345">
        <v>0</v>
      </c>
      <c r="L345">
        <v>0</v>
      </c>
      <c r="N345" t="s">
        <v>21</v>
      </c>
      <c r="O345" t="s">
        <v>25</v>
      </c>
      <c r="P345" s="5" t="s">
        <v>939</v>
      </c>
      <c r="Q345">
        <v>2</v>
      </c>
      <c r="R345" t="b">
        <v>1</v>
      </c>
      <c r="S345" t="s">
        <v>118</v>
      </c>
      <c r="T345">
        <v>0</v>
      </c>
    </row>
    <row r="346" spans="1:20" x14ac:dyDescent="0.25">
      <c r="A346" t="s">
        <v>29</v>
      </c>
      <c r="B346">
        <v>24</v>
      </c>
      <c r="C346" t="s">
        <v>25</v>
      </c>
      <c r="D346">
        <v>14</v>
      </c>
      <c r="E346">
        <v>274</v>
      </c>
      <c r="F346">
        <v>196</v>
      </c>
      <c r="G346">
        <v>274</v>
      </c>
      <c r="I346">
        <v>0</v>
      </c>
      <c r="J346">
        <v>0</v>
      </c>
      <c r="K346">
        <v>0</v>
      </c>
      <c r="L346">
        <v>0</v>
      </c>
      <c r="N346" t="s">
        <v>21</v>
      </c>
      <c r="O346" t="s">
        <v>25</v>
      </c>
      <c r="Q346">
        <v>2</v>
      </c>
      <c r="R346" t="b">
        <v>0</v>
      </c>
      <c r="S346" t="s">
        <v>119</v>
      </c>
      <c r="T346">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5188</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5189</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5193</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5191</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1</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5214</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5215</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5216</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5217</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5218</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5219</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5220</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5221</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5222</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5223</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5224</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5225</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5226</v>
      </c>
      <c r="C129" s="9" t="s">
        <v>831</v>
      </c>
      <c r="D129" s="18" t="s">
        <v>3067</v>
      </c>
      <c r="E129" s="1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5227</v>
      </c>
      <c r="C130" s="9" t="s">
        <v>270</v>
      </c>
      <c r="D130" s="18" t="s">
        <v>3068</v>
      </c>
      <c r="E130" s="1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18" t="s">
        <v>3069</v>
      </c>
      <c r="E131" s="18" t="s">
        <v>355</v>
      </c>
      <c r="F131" s="9" t="s">
        <v>419</v>
      </c>
      <c r="G131" s="8" t="s">
        <v>3948</v>
      </c>
      <c r="H131" s="16" t="s">
        <v>2275</v>
      </c>
      <c r="I131" s="8" t="s">
        <v>516</v>
      </c>
      <c r="J131" s="16" t="s">
        <v>586</v>
      </c>
      <c r="K131" s="16" t="s">
        <v>462</v>
      </c>
      <c r="L131" s="8" t="s">
        <v>4819</v>
      </c>
      <c r="M131" s="8" t="s">
        <v>3579</v>
      </c>
      <c r="N131" s="8" t="s">
        <v>247</v>
      </c>
      <c r="O131" s="8" t="s">
        <v>3297</v>
      </c>
      <c r="P131" s="8" t="s">
        <v>554</v>
      </c>
      <c r="Q131" s="8"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5228</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5229</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8" t="s">
        <v>3058</v>
      </c>
      <c r="E135" s="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8" t="s">
        <v>3059</v>
      </c>
      <c r="E136" s="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5230</v>
      </c>
      <c r="C137" s="9" t="s">
        <v>879</v>
      </c>
      <c r="D137" s="8" t="s">
        <v>3060</v>
      </c>
      <c r="E137" s="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5231</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5232</v>
      </c>
      <c r="C140" s="9" t="s">
        <v>879</v>
      </c>
      <c r="D140" s="8" t="s">
        <v>3060</v>
      </c>
      <c r="E140" s="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46" t="s">
        <v>3061</v>
      </c>
      <c r="E141" s="11" t="s">
        <v>1236</v>
      </c>
      <c r="F141" s="9" t="s">
        <v>1132</v>
      </c>
      <c r="G141" s="8" t="s">
        <v>2121</v>
      </c>
      <c r="H141" s="16" t="s">
        <v>2266</v>
      </c>
      <c r="I141" s="8" t="s">
        <v>1440</v>
      </c>
      <c r="J141" s="16" t="s">
        <v>1335</v>
      </c>
      <c r="K141" s="16" t="s">
        <v>1541</v>
      </c>
      <c r="L141" s="8" t="s">
        <v>4812</v>
      </c>
      <c r="M141" s="8" t="s">
        <v>3570</v>
      </c>
      <c r="N141" s="8" t="s">
        <v>1622</v>
      </c>
      <c r="O141" s="8" t="s">
        <v>3288</v>
      </c>
      <c r="P141" s="8" t="s">
        <v>1709</v>
      </c>
      <c r="Q141" s="11"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5233</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189" customHeight="1"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177.75" customHeight="1"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145.5" customHeight="1"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ht="30" x14ac:dyDescent="0.25">
      <c r="A151" s="48" t="s">
        <v>5700</v>
      </c>
      <c r="B151" s="9" t="s">
        <v>5196</v>
      </c>
      <c r="C151" s="9" t="s">
        <v>5196</v>
      </c>
      <c r="D151" s="8" t="s">
        <v>5281</v>
      </c>
      <c r="E151" s="8" t="s">
        <v>5297</v>
      </c>
      <c r="F151" s="9" t="s">
        <v>5312</v>
      </c>
      <c r="G151" s="8" t="s">
        <v>5327</v>
      </c>
      <c r="H151" s="16" t="s">
        <v>5342</v>
      </c>
      <c r="I151" s="8" t="s">
        <v>5357</v>
      </c>
      <c r="J151" s="16" t="s">
        <v>5372</v>
      </c>
      <c r="K151" s="16" t="s">
        <v>5387</v>
      </c>
      <c r="L151" s="8" t="s">
        <v>5402</v>
      </c>
      <c r="M151" s="8" t="s">
        <v>5417</v>
      </c>
      <c r="N151" s="8" t="s">
        <v>5432</v>
      </c>
      <c r="O151" s="8" t="s">
        <v>5447</v>
      </c>
      <c r="P151" s="8" t="s">
        <v>5462</v>
      </c>
      <c r="Q151" s="8" t="s">
        <v>5477</v>
      </c>
      <c r="R151" s="8" t="s">
        <v>5491</v>
      </c>
      <c r="S151" s="8" t="s">
        <v>5506</v>
      </c>
      <c r="T151" s="3" t="s">
        <v>5521</v>
      </c>
      <c r="U151" s="3" t="s">
        <v>5535</v>
      </c>
      <c r="V151" s="3" t="s">
        <v>5550</v>
      </c>
      <c r="W151" s="3" t="s">
        <v>5565</v>
      </c>
      <c r="X151" s="44" t="s">
        <v>5579</v>
      </c>
      <c r="Y151" s="3" t="s">
        <v>5594</v>
      </c>
      <c r="Z151" s="3" t="s">
        <v>5594</v>
      </c>
      <c r="AA151" s="3" t="s">
        <v>5611</v>
      </c>
      <c r="AB151" s="3" t="s">
        <v>5611</v>
      </c>
      <c r="AC151" s="3" t="s">
        <v>5625</v>
      </c>
      <c r="AD151" s="3" t="s">
        <v>5640</v>
      </c>
      <c r="AE151" s="3" t="s">
        <v>5655</v>
      </c>
      <c r="AF151" s="3" t="s">
        <v>5670</v>
      </c>
      <c r="AG151" s="3" t="s">
        <v>5685</v>
      </c>
    </row>
    <row r="152" spans="1:33" x14ac:dyDescent="0.25">
      <c r="A152" s="48" t="s">
        <v>5700</v>
      </c>
      <c r="B152" s="3" t="s">
        <v>5197</v>
      </c>
      <c r="C152" s="9" t="s">
        <v>5197</v>
      </c>
      <c r="D152" s="8" t="s">
        <v>5282</v>
      </c>
      <c r="E152" s="8" t="s">
        <v>5298</v>
      </c>
      <c r="F152" s="9" t="s">
        <v>5313</v>
      </c>
      <c r="G152" s="8" t="s">
        <v>5328</v>
      </c>
      <c r="H152" s="16" t="s">
        <v>5343</v>
      </c>
      <c r="I152" s="8" t="s">
        <v>5358</v>
      </c>
      <c r="J152" s="16" t="s">
        <v>5373</v>
      </c>
      <c r="K152" s="16" t="s">
        <v>5388</v>
      </c>
      <c r="L152" s="8" t="s">
        <v>5403</v>
      </c>
      <c r="M152" s="8" t="s">
        <v>5418</v>
      </c>
      <c r="N152" s="8" t="s">
        <v>5433</v>
      </c>
      <c r="O152" s="8" t="s">
        <v>5448</v>
      </c>
      <c r="P152" s="8" t="s">
        <v>5463</v>
      </c>
      <c r="Q152" s="8" t="s">
        <v>5478</v>
      </c>
      <c r="R152" s="8" t="s">
        <v>5492</v>
      </c>
      <c r="S152" s="8" t="s">
        <v>5507</v>
      </c>
      <c r="T152" s="3" t="s">
        <v>5522</v>
      </c>
      <c r="U152" s="3" t="s">
        <v>5536</v>
      </c>
      <c r="V152" s="3" t="s">
        <v>5551</v>
      </c>
      <c r="W152" s="3" t="s">
        <v>5566</v>
      </c>
      <c r="X152" s="44" t="s">
        <v>5580</v>
      </c>
      <c r="Y152" s="3" t="s">
        <v>5595</v>
      </c>
      <c r="Z152" s="3" t="s">
        <v>5595</v>
      </c>
      <c r="AA152" s="3" t="s">
        <v>5612</v>
      </c>
      <c r="AB152" s="3" t="s">
        <v>5612</v>
      </c>
      <c r="AC152" s="3" t="s">
        <v>5626</v>
      </c>
      <c r="AD152" s="3" t="s">
        <v>5641</v>
      </c>
      <c r="AE152" s="3" t="s">
        <v>5656</v>
      </c>
      <c r="AF152" s="3" t="s">
        <v>5671</v>
      </c>
      <c r="AG152" s="3" t="s">
        <v>5686</v>
      </c>
    </row>
    <row r="153" spans="1:33" x14ac:dyDescent="0.25">
      <c r="A153" s="47" t="s">
        <v>5700</v>
      </c>
      <c r="B153" s="3" t="s">
        <v>5198</v>
      </c>
      <c r="C153" s="9" t="s">
        <v>5198</v>
      </c>
      <c r="D153" s="8" t="s">
        <v>5283</v>
      </c>
      <c r="E153" s="8" t="s">
        <v>5299</v>
      </c>
      <c r="F153" s="9" t="s">
        <v>5314</v>
      </c>
      <c r="G153" s="8" t="s">
        <v>5329</v>
      </c>
      <c r="H153" s="16" t="s">
        <v>5344</v>
      </c>
      <c r="I153" s="8" t="s">
        <v>5359</v>
      </c>
      <c r="J153" s="16" t="s">
        <v>5374</v>
      </c>
      <c r="K153" s="16" t="s">
        <v>5389</v>
      </c>
      <c r="L153" s="8" t="s">
        <v>5404</v>
      </c>
      <c r="M153" s="8" t="s">
        <v>5419</v>
      </c>
      <c r="N153" s="8" t="s">
        <v>5434</v>
      </c>
      <c r="O153" s="8" t="s">
        <v>5449</v>
      </c>
      <c r="P153" s="8" t="s">
        <v>5464</v>
      </c>
      <c r="Q153" s="8" t="s">
        <v>5479</v>
      </c>
      <c r="R153" s="8" t="s">
        <v>5493</v>
      </c>
      <c r="S153" s="8" t="s">
        <v>5508</v>
      </c>
      <c r="T153" s="3" t="s">
        <v>5523</v>
      </c>
      <c r="U153" s="3" t="s">
        <v>5537</v>
      </c>
      <c r="V153" s="3" t="s">
        <v>5552</v>
      </c>
      <c r="W153" s="3" t="s">
        <v>5567</v>
      </c>
      <c r="X153" s="44" t="s">
        <v>5581</v>
      </c>
      <c r="Y153" s="3" t="s">
        <v>5596</v>
      </c>
      <c r="Z153" s="3" t="s">
        <v>5596</v>
      </c>
      <c r="AA153" s="3" t="s">
        <v>5613</v>
      </c>
      <c r="AB153" s="3" t="s">
        <v>5613</v>
      </c>
      <c r="AC153" s="3" t="s">
        <v>5627</v>
      </c>
      <c r="AD153" s="3" t="s">
        <v>5642</v>
      </c>
      <c r="AE153" s="3" t="s">
        <v>5657</v>
      </c>
      <c r="AF153" s="3" t="s">
        <v>5672</v>
      </c>
      <c r="AG153" s="3" t="s">
        <v>5687</v>
      </c>
    </row>
    <row r="154" spans="1:33" x14ac:dyDescent="0.25">
      <c r="A154" s="47" t="s">
        <v>5700</v>
      </c>
      <c r="B154" s="3" t="s">
        <v>5199</v>
      </c>
      <c r="C154" s="9" t="s">
        <v>5200</v>
      </c>
      <c r="D154" s="8" t="s">
        <v>5284</v>
      </c>
      <c r="E154" s="8" t="s">
        <v>5311</v>
      </c>
      <c r="F154" s="9" t="s">
        <v>5326</v>
      </c>
      <c r="G154" s="8" t="s">
        <v>5341</v>
      </c>
      <c r="H154" s="16" t="s">
        <v>5356</v>
      </c>
      <c r="I154" s="8" t="s">
        <v>5371</v>
      </c>
      <c r="J154" s="16" t="s">
        <v>5386</v>
      </c>
      <c r="K154" s="16" t="s">
        <v>5401</v>
      </c>
      <c r="L154" s="8" t="s">
        <v>5416</v>
      </c>
      <c r="M154" s="8" t="s">
        <v>5431</v>
      </c>
      <c r="N154" s="8" t="s">
        <v>5435</v>
      </c>
      <c r="O154" s="8" t="s">
        <v>5461</v>
      </c>
      <c r="P154" s="8" t="s">
        <v>5476</v>
      </c>
      <c r="Q154" s="8" t="s">
        <v>5490</v>
      </c>
      <c r="R154" s="8" t="s">
        <v>5505</v>
      </c>
      <c r="S154" s="8" t="s">
        <v>5509</v>
      </c>
      <c r="T154" s="3" t="s">
        <v>5534</v>
      </c>
      <c r="U154" s="3" t="s">
        <v>5538</v>
      </c>
      <c r="V154" s="3" t="s">
        <v>5560</v>
      </c>
      <c r="W154" s="3" t="s">
        <v>5575</v>
      </c>
      <c r="X154" s="44" t="s">
        <v>5590</v>
      </c>
      <c r="Y154" s="3" t="s">
        <v>5597</v>
      </c>
      <c r="Z154" s="3" t="s">
        <v>5597</v>
      </c>
      <c r="AA154" s="3" t="s">
        <v>5614</v>
      </c>
      <c r="AB154" s="3" t="s">
        <v>5614</v>
      </c>
      <c r="AC154" s="3" t="s">
        <v>5628</v>
      </c>
      <c r="AD154" s="3" t="s">
        <v>5643</v>
      </c>
      <c r="AE154" s="3" t="s">
        <v>5658</v>
      </c>
      <c r="AF154" s="3" t="s">
        <v>5673</v>
      </c>
      <c r="AG154" s="3" t="s">
        <v>5688</v>
      </c>
    </row>
    <row r="155" spans="1:33" x14ac:dyDescent="0.25">
      <c r="A155" s="47" t="s">
        <v>5700</v>
      </c>
      <c r="B155" s="15" t="s">
        <v>5184</v>
      </c>
      <c r="C155" s="10" t="s">
        <v>5194</v>
      </c>
      <c r="D155" s="8" t="s">
        <v>5285</v>
      </c>
      <c r="E155" s="8" t="s">
        <v>5300</v>
      </c>
      <c r="F155" s="10" t="s">
        <v>5315</v>
      </c>
      <c r="G155" s="11" t="s">
        <v>5330</v>
      </c>
      <c r="H155" s="16" t="s">
        <v>5345</v>
      </c>
      <c r="I155" s="11" t="s">
        <v>5360</v>
      </c>
      <c r="J155" s="16" t="s">
        <v>5375</v>
      </c>
      <c r="K155" s="16" t="s">
        <v>5390</v>
      </c>
      <c r="L155" s="8" t="s">
        <v>5405</v>
      </c>
      <c r="M155" s="8" t="s">
        <v>5420</v>
      </c>
      <c r="N155" s="11" t="s">
        <v>5436</v>
      </c>
      <c r="O155" s="8" t="s">
        <v>5450</v>
      </c>
      <c r="P155" s="8" t="s">
        <v>5465</v>
      </c>
      <c r="Q155" s="8" t="s">
        <v>5480</v>
      </c>
      <c r="R155" s="8" t="s">
        <v>5494</v>
      </c>
      <c r="S155" s="8" t="s">
        <v>5510</v>
      </c>
      <c r="T155" s="3" t="s">
        <v>5524</v>
      </c>
      <c r="U155" s="3" t="s">
        <v>5539</v>
      </c>
      <c r="V155" s="3" t="s">
        <v>5553</v>
      </c>
      <c r="W155" s="3" t="s">
        <v>5568</v>
      </c>
      <c r="X155" s="44" t="s">
        <v>5582</v>
      </c>
      <c r="Y155" s="3" t="s">
        <v>5300</v>
      </c>
      <c r="Z155" s="3" t="s">
        <v>5300</v>
      </c>
      <c r="AA155" s="3" t="s">
        <v>5300</v>
      </c>
      <c r="AB155" s="3" t="s">
        <v>5300</v>
      </c>
      <c r="AC155" s="3" t="s">
        <v>5629</v>
      </c>
      <c r="AD155" s="3" t="s">
        <v>5644</v>
      </c>
      <c r="AE155" s="3" t="s">
        <v>5659</v>
      </c>
      <c r="AF155" s="3" t="s">
        <v>5674</v>
      </c>
      <c r="AG155" s="3" t="s">
        <v>5689</v>
      </c>
    </row>
    <row r="156" spans="1:33" ht="135" x14ac:dyDescent="0.25">
      <c r="A156" s="47" t="s">
        <v>5700</v>
      </c>
      <c r="B156" s="15" t="s">
        <v>5186</v>
      </c>
      <c r="C156" s="10" t="s">
        <v>5187</v>
      </c>
      <c r="D156" s="8" t="s">
        <v>5287</v>
      </c>
      <c r="E156" s="8" t="s">
        <v>5309</v>
      </c>
      <c r="F156" s="10" t="s">
        <v>5316</v>
      </c>
      <c r="G156" s="11" t="s">
        <v>5331</v>
      </c>
      <c r="H156" s="16" t="s">
        <v>5346</v>
      </c>
      <c r="I156" s="11" t="s">
        <v>5361</v>
      </c>
      <c r="J156" s="16" t="s">
        <v>5376</v>
      </c>
      <c r="K156" s="16" t="s">
        <v>5391</v>
      </c>
      <c r="L156" s="8" t="s">
        <v>5406</v>
      </c>
      <c r="M156" s="8" t="s">
        <v>5421</v>
      </c>
      <c r="N156" s="11" t="s">
        <v>5437</v>
      </c>
      <c r="O156" s="8" t="s">
        <v>5459</v>
      </c>
      <c r="P156" s="8" t="s">
        <v>5466</v>
      </c>
      <c r="Q156" s="8" t="s">
        <v>5488</v>
      </c>
      <c r="R156" s="8" t="s">
        <v>5495</v>
      </c>
      <c r="S156" s="8" t="s">
        <v>5511</v>
      </c>
      <c r="T156" s="3" t="s">
        <v>5525</v>
      </c>
      <c r="U156" s="3" t="s">
        <v>5540</v>
      </c>
      <c r="V156" s="3" t="s">
        <v>5554</v>
      </c>
      <c r="W156" s="3" t="s">
        <v>5569</v>
      </c>
      <c r="X156" s="44" t="s">
        <v>5583</v>
      </c>
      <c r="Y156" s="3" t="s">
        <v>5598</v>
      </c>
      <c r="Z156" s="3" t="s">
        <v>5608</v>
      </c>
      <c r="AA156" s="3" t="s">
        <v>5615</v>
      </c>
      <c r="AB156" s="3" t="s">
        <v>5615</v>
      </c>
      <c r="AC156" s="3" t="s">
        <v>5630</v>
      </c>
      <c r="AD156" s="3" t="s">
        <v>5645</v>
      </c>
      <c r="AE156" s="3" t="s">
        <v>5660</v>
      </c>
      <c r="AF156" s="3" t="s">
        <v>5675</v>
      </c>
      <c r="AG156" s="3" t="s">
        <v>5690</v>
      </c>
    </row>
    <row r="157" spans="1:33" ht="60" x14ac:dyDescent="0.25">
      <c r="A157" s="47" t="s">
        <v>5700</v>
      </c>
      <c r="B157" s="15" t="s">
        <v>5183</v>
      </c>
      <c r="C157" s="10" t="s">
        <v>5295</v>
      </c>
      <c r="D157" s="8" t="s">
        <v>5294</v>
      </c>
      <c r="E157" s="8" t="s">
        <v>5310</v>
      </c>
      <c r="F157" s="10" t="s">
        <v>5317</v>
      </c>
      <c r="G157" s="11" t="s">
        <v>5332</v>
      </c>
      <c r="H157" s="16" t="s">
        <v>5347</v>
      </c>
      <c r="I157" s="11" t="s">
        <v>5362</v>
      </c>
      <c r="J157" s="16" t="s">
        <v>5377</v>
      </c>
      <c r="K157" s="16" t="s">
        <v>5392</v>
      </c>
      <c r="L157" s="8" t="s">
        <v>5407</v>
      </c>
      <c r="M157" s="8" t="s">
        <v>5422</v>
      </c>
      <c r="N157" s="11" t="s">
        <v>5438</v>
      </c>
      <c r="O157" s="8" t="s">
        <v>5460</v>
      </c>
      <c r="P157" s="8" t="s">
        <v>5474</v>
      </c>
      <c r="Q157" s="8" t="s">
        <v>5489</v>
      </c>
      <c r="R157" s="8" t="s">
        <v>5504</v>
      </c>
      <c r="S157" s="8" t="s">
        <v>5520</v>
      </c>
      <c r="T157" s="3" t="s">
        <v>5533</v>
      </c>
      <c r="U157" s="3" t="s">
        <v>5541</v>
      </c>
      <c r="V157" s="3" t="s">
        <v>5561</v>
      </c>
      <c r="W157" s="3" t="s">
        <v>5576</v>
      </c>
      <c r="X157" s="44" t="s">
        <v>5591</v>
      </c>
      <c r="Y157" s="3" t="s">
        <v>5599</v>
      </c>
      <c r="Z157" s="3" t="s">
        <v>5609</v>
      </c>
      <c r="AA157" s="3" t="s">
        <v>5616</v>
      </c>
      <c r="AB157" s="3" t="s">
        <v>5616</v>
      </c>
      <c r="AC157" s="3" t="s">
        <v>5631</v>
      </c>
      <c r="AD157" s="3" t="s">
        <v>5646</v>
      </c>
      <c r="AE157" s="3" t="s">
        <v>5661</v>
      </c>
      <c r="AF157" s="3" t="s">
        <v>5676</v>
      </c>
      <c r="AG157" s="3" t="s">
        <v>5691</v>
      </c>
    </row>
    <row r="158" spans="1:33" ht="30" x14ac:dyDescent="0.25">
      <c r="A158" s="47" t="s">
        <v>5700</v>
      </c>
      <c r="B158" s="15" t="s">
        <v>5188</v>
      </c>
      <c r="C158" s="10" t="s">
        <v>5195</v>
      </c>
      <c r="D158" s="8" t="s">
        <v>5288</v>
      </c>
      <c r="E158" s="8" t="s">
        <v>5301</v>
      </c>
      <c r="F158" s="10" t="s">
        <v>5318</v>
      </c>
      <c r="G158" s="11" t="s">
        <v>5333</v>
      </c>
      <c r="H158" s="16" t="s">
        <v>5348</v>
      </c>
      <c r="I158" s="11" t="s">
        <v>5363</v>
      </c>
      <c r="J158" s="16" t="s">
        <v>5378</v>
      </c>
      <c r="K158" s="16" t="s">
        <v>5393</v>
      </c>
      <c r="L158" s="8" t="s">
        <v>5408</v>
      </c>
      <c r="M158" s="8" t="s">
        <v>5423</v>
      </c>
      <c r="N158" s="11" t="s">
        <v>5439</v>
      </c>
      <c r="O158" s="8" t="s">
        <v>5451</v>
      </c>
      <c r="P158" s="8" t="s">
        <v>5467</v>
      </c>
      <c r="Q158" s="8" t="s">
        <v>5481</v>
      </c>
      <c r="R158" s="8" t="s">
        <v>5496</v>
      </c>
      <c r="S158" s="8" t="s">
        <v>5512</v>
      </c>
      <c r="T158" s="3" t="s">
        <v>5526</v>
      </c>
      <c r="U158" s="3" t="s">
        <v>5542</v>
      </c>
      <c r="V158" s="3" t="s">
        <v>5555</v>
      </c>
      <c r="W158" s="3" t="s">
        <v>5570</v>
      </c>
      <c r="X158" s="44" t="s">
        <v>5584</v>
      </c>
      <c r="Y158" s="3" t="s">
        <v>5600</v>
      </c>
      <c r="Z158" s="3" t="s">
        <v>5600</v>
      </c>
      <c r="AA158" s="3" t="s">
        <v>5617</v>
      </c>
      <c r="AB158" s="3" t="s">
        <v>5617</v>
      </c>
      <c r="AC158" s="3" t="s">
        <v>5632</v>
      </c>
      <c r="AD158" s="3" t="s">
        <v>5647</v>
      </c>
      <c r="AE158" s="3" t="s">
        <v>5662</v>
      </c>
      <c r="AF158" s="3" t="s">
        <v>5677</v>
      </c>
      <c r="AG158" s="3" t="s">
        <v>5692</v>
      </c>
    </row>
    <row r="159" spans="1:33" ht="60" x14ac:dyDescent="0.25">
      <c r="A159" s="47" t="s">
        <v>5700</v>
      </c>
      <c r="B159" s="15" t="s">
        <v>5176</v>
      </c>
      <c r="C159" s="10" t="s">
        <v>5289</v>
      </c>
      <c r="D159" s="8" t="s">
        <v>5296</v>
      </c>
      <c r="E159" s="8" t="s">
        <v>5302</v>
      </c>
      <c r="F159" s="10" t="s">
        <v>5319</v>
      </c>
      <c r="G159" s="11" t="s">
        <v>5334</v>
      </c>
      <c r="H159" s="16" t="s">
        <v>5349</v>
      </c>
      <c r="I159" s="11" t="s">
        <v>5364</v>
      </c>
      <c r="J159" s="16" t="s">
        <v>5379</v>
      </c>
      <c r="K159" s="16" t="s">
        <v>5394</v>
      </c>
      <c r="L159" s="8" t="s">
        <v>5409</v>
      </c>
      <c r="M159" s="8" t="s">
        <v>5424</v>
      </c>
      <c r="N159" s="11" t="s">
        <v>5440</v>
      </c>
      <c r="O159" s="8" t="s">
        <v>5452</v>
      </c>
      <c r="P159" s="8" t="s">
        <v>5475</v>
      </c>
      <c r="Q159" s="8" t="s">
        <v>5482</v>
      </c>
      <c r="R159" s="8" t="s">
        <v>5503</v>
      </c>
      <c r="S159" s="8" t="s">
        <v>5519</v>
      </c>
      <c r="T159" s="3" t="s">
        <v>5532</v>
      </c>
      <c r="U159" s="3" t="s">
        <v>5543</v>
      </c>
      <c r="V159" s="3" t="s">
        <v>5564</v>
      </c>
      <c r="W159" s="3" t="s">
        <v>5577</v>
      </c>
      <c r="X159" s="44" t="s">
        <v>5592</v>
      </c>
      <c r="Y159" s="3" t="s">
        <v>5601</v>
      </c>
      <c r="Z159" s="3" t="s">
        <v>5601</v>
      </c>
      <c r="AA159" s="3" t="s">
        <v>5618</v>
      </c>
      <c r="AB159" s="3" t="s">
        <v>5618</v>
      </c>
      <c r="AC159" s="3" t="s">
        <v>5633</v>
      </c>
      <c r="AD159" s="3" t="s">
        <v>5648</v>
      </c>
      <c r="AE159" s="3" t="s">
        <v>5663</v>
      </c>
      <c r="AF159" s="3" t="s">
        <v>5678</v>
      </c>
      <c r="AG159" s="3" t="s">
        <v>5693</v>
      </c>
    </row>
    <row r="160" spans="1:33" x14ac:dyDescent="0.25">
      <c r="A160" s="47" t="s">
        <v>5700</v>
      </c>
      <c r="B160" s="15" t="s">
        <v>5189</v>
      </c>
      <c r="C160" s="10" t="s">
        <v>5190</v>
      </c>
      <c r="D160" s="8" t="s">
        <v>5286</v>
      </c>
      <c r="E160" s="8" t="s">
        <v>5303</v>
      </c>
      <c r="F160" s="10" t="s">
        <v>5320</v>
      </c>
      <c r="G160" s="11" t="s">
        <v>5335</v>
      </c>
      <c r="H160" s="16" t="s">
        <v>5350</v>
      </c>
      <c r="I160" s="11" t="s">
        <v>5365</v>
      </c>
      <c r="J160" s="16" t="s">
        <v>5380</v>
      </c>
      <c r="K160" s="16" t="s">
        <v>5395</v>
      </c>
      <c r="L160" s="8" t="s">
        <v>5410</v>
      </c>
      <c r="M160" s="8" t="s">
        <v>5425</v>
      </c>
      <c r="N160" s="11" t="s">
        <v>5441</v>
      </c>
      <c r="O160" s="8" t="s">
        <v>5453</v>
      </c>
      <c r="P160" s="8" t="s">
        <v>5468</v>
      </c>
      <c r="Q160" s="8" t="s">
        <v>5483</v>
      </c>
      <c r="R160" s="8" t="s">
        <v>5497</v>
      </c>
      <c r="S160" s="8" t="s">
        <v>5513</v>
      </c>
      <c r="T160" s="3" t="s">
        <v>5527</v>
      </c>
      <c r="U160" s="3" t="s">
        <v>5544</v>
      </c>
      <c r="V160" s="3" t="s">
        <v>5556</v>
      </c>
      <c r="W160" s="3" t="s">
        <v>5571</v>
      </c>
      <c r="X160" s="44" t="s">
        <v>5585</v>
      </c>
      <c r="Y160" s="3" t="s">
        <v>5602</v>
      </c>
      <c r="Z160" s="3" t="s">
        <v>5602</v>
      </c>
      <c r="AA160" s="3" t="s">
        <v>5619</v>
      </c>
      <c r="AB160" s="3" t="s">
        <v>5619</v>
      </c>
      <c r="AC160" s="3" t="s">
        <v>5634</v>
      </c>
      <c r="AD160" s="3" t="s">
        <v>5649</v>
      </c>
      <c r="AE160" s="3" t="s">
        <v>5664</v>
      </c>
      <c r="AF160" s="3" t="s">
        <v>5679</v>
      </c>
      <c r="AG160" s="3" t="s">
        <v>5694</v>
      </c>
    </row>
    <row r="161" spans="1:33" ht="60" x14ac:dyDescent="0.25">
      <c r="A161" s="47" t="s">
        <v>5700</v>
      </c>
      <c r="B161" s="15" t="s">
        <v>5191</v>
      </c>
      <c r="C161" s="10" t="s">
        <v>5192</v>
      </c>
      <c r="D161" s="8" t="s">
        <v>5293</v>
      </c>
      <c r="E161" s="8" t="s">
        <v>5304</v>
      </c>
      <c r="F161" s="10" t="s">
        <v>5321</v>
      </c>
      <c r="G161" s="11" t="s">
        <v>5336</v>
      </c>
      <c r="H161" s="16" t="s">
        <v>5351</v>
      </c>
      <c r="I161" s="11" t="s">
        <v>5366</v>
      </c>
      <c r="J161" s="16" t="s">
        <v>5381</v>
      </c>
      <c r="K161" s="16" t="s">
        <v>5396</v>
      </c>
      <c r="L161" s="8" t="s">
        <v>5411</v>
      </c>
      <c r="M161" s="8" t="s">
        <v>5426</v>
      </c>
      <c r="N161" s="11" t="s">
        <v>5442</v>
      </c>
      <c r="O161" s="8" t="s">
        <v>5454</v>
      </c>
      <c r="P161" s="8" t="s">
        <v>5473</v>
      </c>
      <c r="Q161" s="8" t="s">
        <v>5484</v>
      </c>
      <c r="R161" s="8" t="s">
        <v>5498</v>
      </c>
      <c r="S161" s="8" t="s">
        <v>5514</v>
      </c>
      <c r="T161" s="3" t="s">
        <v>5531</v>
      </c>
      <c r="U161" s="3" t="s">
        <v>5545</v>
      </c>
      <c r="V161" s="3" t="s">
        <v>5563</v>
      </c>
      <c r="W161" s="3" t="s">
        <v>5572</v>
      </c>
      <c r="X161" s="44" t="s">
        <v>5586</v>
      </c>
      <c r="Y161" s="3" t="s">
        <v>5603</v>
      </c>
      <c r="Z161" s="3" t="s">
        <v>5603</v>
      </c>
      <c r="AA161" s="3" t="s">
        <v>5620</v>
      </c>
      <c r="AB161" s="3" t="s">
        <v>5620</v>
      </c>
      <c r="AC161" s="3" t="s">
        <v>5635</v>
      </c>
      <c r="AD161" s="3" t="s">
        <v>5650</v>
      </c>
      <c r="AE161" s="3" t="s">
        <v>5665</v>
      </c>
      <c r="AF161" s="3" t="s">
        <v>5680</v>
      </c>
      <c r="AG161" s="3" t="s">
        <v>5695</v>
      </c>
    </row>
    <row r="162" spans="1:33" x14ac:dyDescent="0.25">
      <c r="A162" s="47" t="s">
        <v>5700</v>
      </c>
      <c r="B162" s="15" t="s">
        <v>5177</v>
      </c>
      <c r="C162" s="10" t="s">
        <v>5181</v>
      </c>
      <c r="D162" s="8" t="s">
        <v>5286</v>
      </c>
      <c r="E162" s="8" t="s">
        <v>5305</v>
      </c>
      <c r="F162" s="10" t="s">
        <v>5322</v>
      </c>
      <c r="G162" s="11" t="s">
        <v>5337</v>
      </c>
      <c r="H162" s="16" t="s">
        <v>5352</v>
      </c>
      <c r="I162" s="11" t="s">
        <v>5367</v>
      </c>
      <c r="J162" s="16" t="s">
        <v>5382</v>
      </c>
      <c r="K162" s="16" t="s">
        <v>5397</v>
      </c>
      <c r="L162" s="8" t="s">
        <v>5412</v>
      </c>
      <c r="M162" s="8" t="s">
        <v>5427</v>
      </c>
      <c r="N162" s="11" t="s">
        <v>5443</v>
      </c>
      <c r="O162" s="8" t="s">
        <v>5455</v>
      </c>
      <c r="P162" s="8" t="s">
        <v>5469</v>
      </c>
      <c r="Q162" s="8" t="s">
        <v>5483</v>
      </c>
      <c r="R162" s="8" t="s">
        <v>5499</v>
      </c>
      <c r="S162" s="8" t="s">
        <v>5515</v>
      </c>
      <c r="T162" s="3" t="s">
        <v>5528</v>
      </c>
      <c r="U162" s="3" t="s">
        <v>5546</v>
      </c>
      <c r="V162" s="3" t="s">
        <v>5557</v>
      </c>
      <c r="W162" s="3" t="s">
        <v>5571</v>
      </c>
      <c r="X162" s="44" t="s">
        <v>5587</v>
      </c>
      <c r="Y162" s="3" t="s">
        <v>5604</v>
      </c>
      <c r="Z162" s="3" t="s">
        <v>5604</v>
      </c>
      <c r="AA162" s="3" t="s">
        <v>5621</v>
      </c>
      <c r="AB162" s="3" t="s">
        <v>5621</v>
      </c>
      <c r="AC162" s="3" t="s">
        <v>5636</v>
      </c>
      <c r="AD162" s="3" t="s">
        <v>5651</v>
      </c>
      <c r="AE162" s="3" t="s">
        <v>5666</v>
      </c>
      <c r="AF162" s="3" t="s">
        <v>5681</v>
      </c>
      <c r="AG162" s="3" t="s">
        <v>5696</v>
      </c>
    </row>
    <row r="163" spans="1:33" ht="90" x14ac:dyDescent="0.25">
      <c r="A163" s="15" t="s">
        <v>71</v>
      </c>
      <c r="B163" s="15" t="s">
        <v>5178</v>
      </c>
      <c r="C163" s="10" t="s">
        <v>5203</v>
      </c>
      <c r="D163" s="8" t="s">
        <v>5290</v>
      </c>
      <c r="E163" s="8" t="s">
        <v>5306</v>
      </c>
      <c r="F163" s="10" t="s">
        <v>5323</v>
      </c>
      <c r="G163" s="11" t="s">
        <v>5338</v>
      </c>
      <c r="H163" s="16" t="s">
        <v>5353</v>
      </c>
      <c r="I163" s="11" t="s">
        <v>5368</v>
      </c>
      <c r="J163" s="16" t="s">
        <v>5383</v>
      </c>
      <c r="K163" s="16" t="s">
        <v>5398</v>
      </c>
      <c r="L163" s="8" t="s">
        <v>5413</v>
      </c>
      <c r="M163" s="8" t="s">
        <v>5428</v>
      </c>
      <c r="N163" s="11" t="s">
        <v>5444</v>
      </c>
      <c r="O163" s="8" t="s">
        <v>5456</v>
      </c>
      <c r="P163" s="8" t="s">
        <v>5470</v>
      </c>
      <c r="Q163" s="8" t="s">
        <v>5485</v>
      </c>
      <c r="R163" s="8" t="s">
        <v>5500</v>
      </c>
      <c r="S163" s="8" t="s">
        <v>5516</v>
      </c>
      <c r="T163" s="3" t="s">
        <v>5529</v>
      </c>
      <c r="U163" s="3" t="s">
        <v>5547</v>
      </c>
      <c r="V163" s="3" t="s">
        <v>5558</v>
      </c>
      <c r="W163" s="3" t="s">
        <v>5573</v>
      </c>
      <c r="X163" s="44" t="s">
        <v>5588</v>
      </c>
      <c r="Y163" s="3" t="s">
        <v>5605</v>
      </c>
      <c r="Z163" s="3" t="s">
        <v>5605</v>
      </c>
      <c r="AA163" s="3" t="s">
        <v>5622</v>
      </c>
      <c r="AB163" s="3" t="s">
        <v>5622</v>
      </c>
      <c r="AC163" s="3" t="s">
        <v>5637</v>
      </c>
      <c r="AD163" s="3" t="s">
        <v>5652</v>
      </c>
      <c r="AE163" s="3" t="s">
        <v>5667</v>
      </c>
      <c r="AF163" s="3" t="s">
        <v>5682</v>
      </c>
      <c r="AG163" s="3" t="s">
        <v>5697</v>
      </c>
    </row>
    <row r="164" spans="1:33" x14ac:dyDescent="0.25">
      <c r="A164" s="15" t="s">
        <v>71</v>
      </c>
      <c r="B164" s="17" t="s">
        <v>5185</v>
      </c>
      <c r="C164" s="10" t="s">
        <v>5201</v>
      </c>
      <c r="D164" s="8" t="s">
        <v>5291</v>
      </c>
      <c r="E164" s="8" t="s">
        <v>5307</v>
      </c>
      <c r="F164" s="10" t="s">
        <v>5324</v>
      </c>
      <c r="G164" s="11" t="s">
        <v>5339</v>
      </c>
      <c r="H164" s="16" t="s">
        <v>5354</v>
      </c>
      <c r="I164" s="11" t="s">
        <v>5369</v>
      </c>
      <c r="J164" s="16" t="s">
        <v>5384</v>
      </c>
      <c r="K164" s="16" t="s">
        <v>5399</v>
      </c>
      <c r="L164" s="8" t="s">
        <v>5414</v>
      </c>
      <c r="M164" s="8" t="s">
        <v>5429</v>
      </c>
      <c r="N164" s="11" t="s">
        <v>5445</v>
      </c>
      <c r="O164" s="8" t="s">
        <v>5457</v>
      </c>
      <c r="P164" s="8" t="s">
        <v>5471</v>
      </c>
      <c r="Q164" s="8" t="s">
        <v>5486</v>
      </c>
      <c r="R164" s="8" t="s">
        <v>5501</v>
      </c>
      <c r="S164" s="8" t="s">
        <v>5517</v>
      </c>
      <c r="T164" s="3" t="s">
        <v>5339</v>
      </c>
      <c r="U164" s="3" t="s">
        <v>5548</v>
      </c>
      <c r="V164" s="3" t="s">
        <v>5559</v>
      </c>
      <c r="W164" s="3" t="s">
        <v>5574</v>
      </c>
      <c r="X164" s="44" t="s">
        <v>5589</v>
      </c>
      <c r="Y164" s="3" t="s">
        <v>5606</v>
      </c>
      <c r="Z164" s="3" t="s">
        <v>5606</v>
      </c>
      <c r="AA164" s="3" t="s">
        <v>5623</v>
      </c>
      <c r="AB164" s="3" t="s">
        <v>5623</v>
      </c>
      <c r="AC164" s="3" t="s">
        <v>5638</v>
      </c>
      <c r="AD164" s="3" t="s">
        <v>5653</v>
      </c>
      <c r="AE164" s="3" t="s">
        <v>5668</v>
      </c>
      <c r="AF164" s="3" t="s">
        <v>5683</v>
      </c>
      <c r="AG164" s="3" t="s">
        <v>5698</v>
      </c>
    </row>
    <row r="165" spans="1:33" ht="45" x14ac:dyDescent="0.25">
      <c r="A165" s="15" t="s">
        <v>71</v>
      </c>
      <c r="B165" s="17" t="s">
        <v>5180</v>
      </c>
      <c r="C165" s="10" t="s">
        <v>5202</v>
      </c>
      <c r="D165" s="8" t="s">
        <v>5292</v>
      </c>
      <c r="E165" s="8" t="s">
        <v>5308</v>
      </c>
      <c r="F165" s="10" t="s">
        <v>5325</v>
      </c>
      <c r="G165" s="11" t="s">
        <v>5340</v>
      </c>
      <c r="H165" s="16" t="s">
        <v>5355</v>
      </c>
      <c r="I165" s="11" t="s">
        <v>5370</v>
      </c>
      <c r="J165" s="16" t="s">
        <v>5385</v>
      </c>
      <c r="K165" s="16" t="s">
        <v>5400</v>
      </c>
      <c r="L165" s="8" t="s">
        <v>5415</v>
      </c>
      <c r="M165" s="8" t="s">
        <v>5430</v>
      </c>
      <c r="N165" s="11" t="s">
        <v>5446</v>
      </c>
      <c r="O165" s="8" t="s">
        <v>5458</v>
      </c>
      <c r="P165" s="8" t="s">
        <v>5472</v>
      </c>
      <c r="Q165" s="8" t="s">
        <v>5487</v>
      </c>
      <c r="R165" s="8" t="s">
        <v>5502</v>
      </c>
      <c r="S165" s="8" t="s">
        <v>5518</v>
      </c>
      <c r="T165" s="3" t="s">
        <v>5530</v>
      </c>
      <c r="U165" s="3" t="s">
        <v>5549</v>
      </c>
      <c r="V165" s="3" t="s">
        <v>5562</v>
      </c>
      <c r="W165" s="3" t="s">
        <v>5578</v>
      </c>
      <c r="X165" s="44" t="s">
        <v>5593</v>
      </c>
      <c r="Y165" s="3" t="s">
        <v>5607</v>
      </c>
      <c r="Z165" s="3" t="s">
        <v>5610</v>
      </c>
      <c r="AA165" s="3" t="s">
        <v>5624</v>
      </c>
      <c r="AB165" s="3" t="s">
        <v>5624</v>
      </c>
      <c r="AC165" s="3" t="s">
        <v>5639</v>
      </c>
      <c r="AD165" s="3" t="s">
        <v>5654</v>
      </c>
      <c r="AE165" s="3" t="s">
        <v>5669</v>
      </c>
      <c r="AF165" s="3" t="s">
        <v>5684</v>
      </c>
      <c r="AG165" s="3" t="s">
        <v>5699</v>
      </c>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155:B1048576 B1:B150">
    <cfRule type="duplicateValues" dxfId="2" priority="110"/>
  </conditionalFormatting>
  <conditionalFormatting sqref="C1:BB183 B151:B154">
    <cfRule type="containsBlanks" dxfId="1" priority="72">
      <formula>LEN(TRIM(B1))=0</formula>
    </cfRule>
  </conditionalFormatting>
  <hyperlinks>
    <hyperlink ref="A151" r:id="rId1" xr:uid="{191DA7DF-37EF-4A59-9D89-7EDC855F4E3B}"/>
    <hyperlink ref="A152" r:id="rId2" xr:uid="{2301A52F-3432-44C9-966E-33BE0680C4AB}"/>
  </hyperlinks>
  <pageMargins left="0.7" right="0.7" top="0.75" bottom="0.75" header="0.3" footer="0.3"/>
  <pageSetup paperSize="9" orientation="portrait" horizontalDpi="1200" verticalDpi="12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I5" sqref="I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9" width="38.28515625" customWidth="1"/>
    <col min="10" max="17" width="15" customWidth="1"/>
  </cols>
  <sheetData>
    <row r="1" spans="1:17" s="2" customFormat="1" ht="54" customHeight="1" x14ac:dyDescent="0.25">
      <c r="A1" s="51" t="s">
        <v>2149</v>
      </c>
      <c r="B1" s="51"/>
      <c r="C1" s="51"/>
      <c r="D1" s="51"/>
      <c r="E1" s="51"/>
      <c r="F1" s="51"/>
      <c r="G1" s="51"/>
      <c r="H1" s="51"/>
      <c r="I1" s="3"/>
      <c r="J1" s="3"/>
      <c r="K1" s="3"/>
      <c r="L1" s="3"/>
      <c r="M1" s="3"/>
      <c r="N1" s="3"/>
      <c r="O1" s="3"/>
      <c r="P1" s="3"/>
      <c r="Q1" s="3"/>
    </row>
    <row r="2" spans="1:17" ht="54" customHeight="1" x14ac:dyDescent="0.25">
      <c r="A2" s="49" t="s">
        <v>3321</v>
      </c>
      <c r="B2" s="49" t="s">
        <v>1030</v>
      </c>
      <c r="C2" s="49" t="s">
        <v>3099</v>
      </c>
      <c r="D2" s="49" t="s">
        <v>3102</v>
      </c>
      <c r="E2" s="49"/>
      <c r="F2" s="49" t="s">
        <v>4719</v>
      </c>
      <c r="G2" s="49" t="s">
        <v>3104</v>
      </c>
      <c r="H2" s="49" t="s">
        <v>4720</v>
      </c>
      <c r="I2" s="49" t="s">
        <v>5280</v>
      </c>
    </row>
    <row r="3" spans="1:17" ht="56.25" customHeight="1" x14ac:dyDescent="0.25">
      <c r="A3" s="50"/>
      <c r="B3" s="50"/>
      <c r="C3" s="50"/>
      <c r="D3" s="41" t="s">
        <v>3103</v>
      </c>
      <c r="E3" s="41" t="s">
        <v>3105</v>
      </c>
      <c r="F3" s="50"/>
      <c r="G3" s="50"/>
      <c r="H3" s="50"/>
      <c r="I3" s="50"/>
    </row>
    <row r="4" spans="1:17" ht="15" customHeight="1" x14ac:dyDescent="0.25">
      <c r="A4" s="34"/>
      <c r="B4" s="36"/>
      <c r="C4" s="36"/>
      <c r="D4" s="35"/>
      <c r="E4" s="35"/>
      <c r="F4" s="36"/>
      <c r="G4" s="36"/>
      <c r="H4" s="36"/>
      <c r="I4" s="36"/>
    </row>
    <row r="5" spans="1:17" x14ac:dyDescent="0.25">
      <c r="A5" s="28" t="s">
        <v>3092</v>
      </c>
      <c r="B5" s="28" t="s">
        <v>3097</v>
      </c>
      <c r="C5" s="28" t="s">
        <v>3098</v>
      </c>
      <c r="D5" s="37" t="s">
        <v>3092</v>
      </c>
      <c r="E5" s="37" t="s">
        <v>3125</v>
      </c>
      <c r="F5" s="31" t="s">
        <v>4611</v>
      </c>
      <c r="G5" s="29" t="s">
        <v>5172</v>
      </c>
      <c r="H5" s="29" t="s">
        <v>5173</v>
      </c>
      <c r="I5" s="29" t="s">
        <v>119</v>
      </c>
    </row>
    <row r="6" spans="1:17" x14ac:dyDescent="0.25">
      <c r="A6" s="30" t="s">
        <v>211</v>
      </c>
      <c r="B6" s="31" t="s">
        <v>2150</v>
      </c>
      <c r="C6" s="31" t="s">
        <v>3096</v>
      </c>
      <c r="D6" s="38" t="s">
        <v>211</v>
      </c>
      <c r="E6" s="38" t="s">
        <v>366</v>
      </c>
      <c r="F6" s="31" t="s">
        <v>3353</v>
      </c>
      <c r="G6" s="32" t="s">
        <v>4004</v>
      </c>
      <c r="H6" s="32" t="s">
        <v>4004</v>
      </c>
      <c r="I6" s="32" t="s">
        <v>119</v>
      </c>
    </row>
    <row r="7" spans="1:17" x14ac:dyDescent="0.25">
      <c r="A7" s="30" t="s">
        <v>381</v>
      </c>
      <c r="B7" s="31" t="s">
        <v>2150</v>
      </c>
      <c r="C7" s="31" t="s">
        <v>3096</v>
      </c>
      <c r="D7" s="38" t="s">
        <v>381</v>
      </c>
      <c r="E7" s="38" t="s">
        <v>617</v>
      </c>
      <c r="F7" s="31" t="s">
        <v>4005</v>
      </c>
      <c r="G7" s="32" t="s">
        <v>4412</v>
      </c>
      <c r="H7" s="32" t="s">
        <v>4412</v>
      </c>
      <c r="I7" s="32" t="s">
        <v>119</v>
      </c>
    </row>
    <row r="8" spans="1:17" x14ac:dyDescent="0.25">
      <c r="A8" s="30" t="s">
        <v>171</v>
      </c>
      <c r="B8" s="31" t="s">
        <v>2150</v>
      </c>
      <c r="C8" s="31" t="s">
        <v>3096</v>
      </c>
      <c r="D8" s="38" t="s">
        <v>171</v>
      </c>
      <c r="E8" s="38" t="s">
        <v>616</v>
      </c>
      <c r="F8" s="31" t="s">
        <v>4006</v>
      </c>
      <c r="G8" s="32" t="s">
        <v>4412</v>
      </c>
      <c r="H8" s="32" t="s">
        <v>4412</v>
      </c>
      <c r="I8" s="32" t="s">
        <v>119</v>
      </c>
    </row>
    <row r="9" spans="1:17" x14ac:dyDescent="0.25">
      <c r="A9" s="31" t="s">
        <v>2297</v>
      </c>
      <c r="B9" s="31" t="s">
        <v>3097</v>
      </c>
      <c r="C9" s="31" t="s">
        <v>3096</v>
      </c>
      <c r="D9" s="38" t="s">
        <v>2297</v>
      </c>
      <c r="E9" s="38" t="s">
        <v>3116</v>
      </c>
      <c r="F9" s="31" t="s">
        <v>3353</v>
      </c>
      <c r="G9" s="32"/>
      <c r="H9" s="32"/>
      <c r="I9" s="32" t="s">
        <v>119</v>
      </c>
    </row>
    <row r="10" spans="1:17" x14ac:dyDescent="0.25">
      <c r="A10" s="30" t="s">
        <v>112</v>
      </c>
      <c r="B10" s="31" t="s">
        <v>2150</v>
      </c>
      <c r="C10" s="31" t="s">
        <v>3096</v>
      </c>
      <c r="D10" s="38" t="s">
        <v>112</v>
      </c>
      <c r="E10" s="38" t="s">
        <v>255</v>
      </c>
      <c r="F10" s="31" t="s">
        <v>3353</v>
      </c>
      <c r="G10" s="32"/>
      <c r="H10" s="32"/>
      <c r="I10" s="32" t="s">
        <v>119</v>
      </c>
    </row>
    <row r="11" spans="1:17" x14ac:dyDescent="0.25">
      <c r="A11" s="30" t="s">
        <v>111</v>
      </c>
      <c r="B11" s="31" t="s">
        <v>2150</v>
      </c>
      <c r="C11" s="31" t="s">
        <v>3096</v>
      </c>
      <c r="D11" s="38" t="s">
        <v>111</v>
      </c>
      <c r="E11" s="38" t="s">
        <v>183</v>
      </c>
      <c r="F11" s="31" t="s">
        <v>3353</v>
      </c>
      <c r="G11" s="32"/>
      <c r="H11" s="32"/>
      <c r="I11" s="32" t="s">
        <v>119</v>
      </c>
    </row>
    <row r="12" spans="1:17" x14ac:dyDescent="0.25">
      <c r="A12" s="30" t="s">
        <v>110</v>
      </c>
      <c r="B12" s="31" t="s">
        <v>2150</v>
      </c>
      <c r="C12" s="31" t="s">
        <v>3096</v>
      </c>
      <c r="D12" s="38" t="s">
        <v>110</v>
      </c>
      <c r="E12" s="38" t="s">
        <v>254</v>
      </c>
      <c r="F12" s="31" t="s">
        <v>3353</v>
      </c>
      <c r="G12" s="45" t="s">
        <v>466</v>
      </c>
      <c r="H12" s="45" t="s">
        <v>4618</v>
      </c>
      <c r="I12" s="45" t="s">
        <v>119</v>
      </c>
    </row>
    <row r="13" spans="1:17" x14ac:dyDescent="0.25">
      <c r="A13" s="31" t="s">
        <v>2333</v>
      </c>
      <c r="B13" s="31" t="s">
        <v>3097</v>
      </c>
      <c r="C13" s="31" t="s">
        <v>3096</v>
      </c>
      <c r="D13" s="38" t="s">
        <v>2333</v>
      </c>
      <c r="E13" s="38" t="s">
        <v>3117</v>
      </c>
      <c r="F13" s="31" t="s">
        <v>3353</v>
      </c>
      <c r="G13" s="32"/>
      <c r="H13" s="32"/>
      <c r="I13" s="32" t="s">
        <v>119</v>
      </c>
    </row>
    <row r="14" spans="1:17" x14ac:dyDescent="0.25">
      <c r="A14" s="31" t="s">
        <v>3601</v>
      </c>
      <c r="B14" s="31" t="s">
        <v>3097</v>
      </c>
      <c r="C14" s="31" t="s">
        <v>3096</v>
      </c>
      <c r="D14" s="38" t="s">
        <v>3601</v>
      </c>
      <c r="E14" s="38" t="s">
        <v>3602</v>
      </c>
      <c r="F14" s="31" t="s">
        <v>3353</v>
      </c>
      <c r="G14" s="32"/>
      <c r="H14" s="32"/>
      <c r="I14" s="32" t="s">
        <v>119</v>
      </c>
    </row>
    <row r="15" spans="1:17" x14ac:dyDescent="0.25">
      <c r="A15" s="30" t="s">
        <v>109</v>
      </c>
      <c r="B15" s="31" t="s">
        <v>2150</v>
      </c>
      <c r="C15" s="31" t="s">
        <v>3096</v>
      </c>
      <c r="D15" s="38" t="s">
        <v>109</v>
      </c>
      <c r="E15" s="38" t="s">
        <v>608</v>
      </c>
      <c r="F15" s="31" t="s">
        <v>3353</v>
      </c>
      <c r="G15" s="32" t="s">
        <v>4718</v>
      </c>
      <c r="H15" s="32" t="s">
        <v>4718</v>
      </c>
      <c r="I15" s="32" t="s">
        <v>119</v>
      </c>
    </row>
    <row r="16" spans="1:17" x14ac:dyDescent="0.25">
      <c r="A16" s="33" t="s">
        <v>3169</v>
      </c>
      <c r="B16" s="32" t="s">
        <v>3097</v>
      </c>
      <c r="C16" s="32" t="s">
        <v>3096</v>
      </c>
      <c r="D16" s="39" t="s">
        <v>3169</v>
      </c>
      <c r="E16" s="39" t="s">
        <v>3170</v>
      </c>
      <c r="F16" s="32" t="s">
        <v>3353</v>
      </c>
      <c r="G16" s="32"/>
      <c r="H16" s="32"/>
      <c r="I16" s="32" t="s">
        <v>119</v>
      </c>
    </row>
    <row r="17" spans="1:9" x14ac:dyDescent="0.25">
      <c r="A17" s="30" t="s">
        <v>522</v>
      </c>
      <c r="B17" s="31" t="s">
        <v>2150</v>
      </c>
      <c r="C17" s="31" t="s">
        <v>3096</v>
      </c>
      <c r="D17" s="38" t="s">
        <v>522</v>
      </c>
      <c r="E17" s="38" t="s">
        <v>522</v>
      </c>
      <c r="F17" s="31" t="s">
        <v>3353</v>
      </c>
      <c r="G17" s="32"/>
      <c r="H17" s="32"/>
      <c r="I17" s="32" t="s">
        <v>119</v>
      </c>
    </row>
    <row r="18" spans="1:9" x14ac:dyDescent="0.25">
      <c r="A18" s="31" t="s">
        <v>2473</v>
      </c>
      <c r="B18" s="31" t="s">
        <v>3097</v>
      </c>
      <c r="C18" s="31" t="s">
        <v>3096</v>
      </c>
      <c r="D18" s="38" t="s">
        <v>2473</v>
      </c>
      <c r="E18" s="38" t="s">
        <v>3118</v>
      </c>
      <c r="F18" s="31" t="s">
        <v>4007</v>
      </c>
      <c r="G18" s="32"/>
      <c r="H18" s="32"/>
      <c r="I18" s="32" t="s">
        <v>119</v>
      </c>
    </row>
    <row r="19" spans="1:9" x14ac:dyDescent="0.25">
      <c r="A19" s="31" t="s">
        <v>2615</v>
      </c>
      <c r="B19" s="31" t="s">
        <v>3097</v>
      </c>
      <c r="C19" s="31" t="s">
        <v>3096</v>
      </c>
      <c r="D19" s="38" t="s">
        <v>2615</v>
      </c>
      <c r="E19" s="38" t="s">
        <v>3119</v>
      </c>
      <c r="F19" s="31" t="s">
        <v>3353</v>
      </c>
      <c r="G19" s="32"/>
      <c r="H19" s="32"/>
      <c r="I19" s="32" t="s">
        <v>119</v>
      </c>
    </row>
    <row r="20" spans="1:9" x14ac:dyDescent="0.25">
      <c r="A20" s="31" t="s">
        <v>2680</v>
      </c>
      <c r="B20" s="31" t="s">
        <v>3097</v>
      </c>
      <c r="C20" s="31" t="s">
        <v>3096</v>
      </c>
      <c r="D20" s="38" t="s">
        <v>2680</v>
      </c>
      <c r="E20" s="38" t="s">
        <v>3120</v>
      </c>
      <c r="F20" s="31" t="s">
        <v>3353</v>
      </c>
      <c r="G20" s="32"/>
      <c r="H20" s="32"/>
      <c r="I20" s="32" t="s">
        <v>119</v>
      </c>
    </row>
    <row r="21" spans="1:9" x14ac:dyDescent="0.25">
      <c r="A21" s="31" t="s">
        <v>2727</v>
      </c>
      <c r="B21" s="31" t="s">
        <v>3097</v>
      </c>
      <c r="C21" s="31" t="s">
        <v>3096</v>
      </c>
      <c r="D21" s="38" t="s">
        <v>2727</v>
      </c>
      <c r="E21" s="38" t="s">
        <v>3121</v>
      </c>
      <c r="F21" s="31" t="s">
        <v>4008</v>
      </c>
      <c r="G21" s="32" t="s">
        <v>4413</v>
      </c>
      <c r="H21" s="32" t="s">
        <v>4408</v>
      </c>
      <c r="I21" s="32" t="s">
        <v>119</v>
      </c>
    </row>
    <row r="22" spans="1:9" x14ac:dyDescent="0.25">
      <c r="A22" s="31" t="s">
        <v>3093</v>
      </c>
      <c r="B22" s="31" t="s">
        <v>3097</v>
      </c>
      <c r="C22" s="31" t="s">
        <v>3096</v>
      </c>
      <c r="D22" s="38" t="s">
        <v>3093</v>
      </c>
      <c r="E22" s="38" t="s">
        <v>3122</v>
      </c>
      <c r="F22" s="31" t="s">
        <v>4009</v>
      </c>
      <c r="G22" s="32"/>
      <c r="H22" s="32"/>
      <c r="I22" s="32" t="s">
        <v>119</v>
      </c>
    </row>
    <row r="23" spans="1:9" x14ac:dyDescent="0.25">
      <c r="A23" s="30" t="s">
        <v>108</v>
      </c>
      <c r="B23" s="31" t="s">
        <v>2150</v>
      </c>
      <c r="C23" s="31" t="s">
        <v>3096</v>
      </c>
      <c r="D23" s="38" t="s">
        <v>108</v>
      </c>
      <c r="E23" s="38" t="s">
        <v>108</v>
      </c>
      <c r="F23" s="31" t="s">
        <v>3353</v>
      </c>
      <c r="G23" s="32"/>
      <c r="H23" s="32"/>
      <c r="I23" s="32" t="s">
        <v>119</v>
      </c>
    </row>
    <row r="24" spans="1:9" x14ac:dyDescent="0.25">
      <c r="A24" s="31" t="s">
        <v>3094</v>
      </c>
      <c r="B24" s="31" t="s">
        <v>3097</v>
      </c>
      <c r="C24" s="31" t="s">
        <v>3096</v>
      </c>
      <c r="D24" s="38" t="s">
        <v>3094</v>
      </c>
      <c r="E24" s="38" t="s">
        <v>3123</v>
      </c>
      <c r="F24" s="31" t="s">
        <v>4007</v>
      </c>
      <c r="G24" s="32"/>
      <c r="H24" s="32"/>
      <c r="I24" s="32" t="s">
        <v>119</v>
      </c>
    </row>
    <row r="25" spans="1:9" x14ac:dyDescent="0.25">
      <c r="A25" s="31" t="s">
        <v>3095</v>
      </c>
      <c r="B25" s="31" t="s">
        <v>3097</v>
      </c>
      <c r="C25" s="31" t="s">
        <v>3098</v>
      </c>
      <c r="D25" s="38" t="s">
        <v>3095</v>
      </c>
      <c r="E25" s="38" t="s">
        <v>3124</v>
      </c>
      <c r="F25" s="31" t="s">
        <v>4611</v>
      </c>
      <c r="G25" s="31" t="s">
        <v>4614</v>
      </c>
      <c r="H25" s="31" t="s">
        <v>4614</v>
      </c>
      <c r="I25" s="31" t="s">
        <v>119</v>
      </c>
    </row>
    <row r="26" spans="1:9" x14ac:dyDescent="0.25">
      <c r="A26" s="30" t="s">
        <v>73</v>
      </c>
      <c r="B26" s="31" t="s">
        <v>2150</v>
      </c>
      <c r="C26" s="31" t="s">
        <v>3096</v>
      </c>
      <c r="D26" s="38" t="s">
        <v>73</v>
      </c>
      <c r="E26" s="38" t="s">
        <v>724</v>
      </c>
      <c r="F26" s="31" t="s">
        <v>3353</v>
      </c>
      <c r="G26" s="32" t="s">
        <v>4223</v>
      </c>
      <c r="H26" s="32" t="s">
        <v>4223</v>
      </c>
      <c r="I26" s="32" t="s">
        <v>119</v>
      </c>
    </row>
    <row r="27" spans="1:9" x14ac:dyDescent="0.25">
      <c r="A27" s="30" t="s">
        <v>74</v>
      </c>
      <c r="B27" s="31" t="s">
        <v>2150</v>
      </c>
      <c r="C27" s="31" t="s">
        <v>3096</v>
      </c>
      <c r="D27" s="38" t="s">
        <v>74</v>
      </c>
      <c r="E27" s="38" t="s">
        <v>3961</v>
      </c>
      <c r="F27" s="31" t="s">
        <v>3353</v>
      </c>
      <c r="G27" s="32" t="s">
        <v>595</v>
      </c>
      <c r="H27" s="32" t="s">
        <v>595</v>
      </c>
      <c r="I27" s="32" t="s">
        <v>119</v>
      </c>
    </row>
    <row r="28" spans="1:9" x14ac:dyDescent="0.25">
      <c r="A28" s="30" t="s">
        <v>269</v>
      </c>
      <c r="B28" s="31" t="s">
        <v>2150</v>
      </c>
      <c r="C28" s="31" t="s">
        <v>3096</v>
      </c>
      <c r="D28" s="38" t="s">
        <v>269</v>
      </c>
      <c r="E28" s="38" t="s">
        <v>725</v>
      </c>
      <c r="F28" s="31" t="s">
        <v>3353</v>
      </c>
      <c r="G28" s="32" t="s">
        <v>3768</v>
      </c>
      <c r="H28" s="32" t="s">
        <v>3768</v>
      </c>
      <c r="I28" s="32" t="s">
        <v>119</v>
      </c>
    </row>
    <row r="29" spans="1:9" x14ac:dyDescent="0.25">
      <c r="A29" s="30" t="s">
        <v>268</v>
      </c>
      <c r="B29" s="31" t="s">
        <v>2150</v>
      </c>
      <c r="C29" s="31" t="s">
        <v>3096</v>
      </c>
      <c r="D29" s="38" t="s">
        <v>268</v>
      </c>
      <c r="E29" s="38" t="s">
        <v>726</v>
      </c>
      <c r="F29" s="31" t="s">
        <v>3353</v>
      </c>
      <c r="G29" s="32" t="s">
        <v>4004</v>
      </c>
      <c r="H29" s="32" t="s">
        <v>4004</v>
      </c>
      <c r="I29" s="32" t="s">
        <v>119</v>
      </c>
    </row>
    <row r="30" spans="1:9" x14ac:dyDescent="0.25">
      <c r="A30" s="30" t="s">
        <v>107</v>
      </c>
      <c r="B30" s="31" t="s">
        <v>2150</v>
      </c>
      <c r="C30" s="31" t="s">
        <v>3096</v>
      </c>
      <c r="D30" s="38" t="s">
        <v>107</v>
      </c>
      <c r="E30" s="38" t="s">
        <v>623</v>
      </c>
      <c r="F30" s="31" t="s">
        <v>4010</v>
      </c>
      <c r="G30" s="32"/>
      <c r="H30" s="32"/>
      <c r="I30" s="32" t="s">
        <v>119</v>
      </c>
    </row>
    <row r="31" spans="1:9" x14ac:dyDescent="0.25">
      <c r="A31" s="30" t="s">
        <v>91</v>
      </c>
      <c r="B31" s="31" t="s">
        <v>2150</v>
      </c>
      <c r="C31" s="31" t="s">
        <v>3096</v>
      </c>
      <c r="D31" s="38" t="s">
        <v>91</v>
      </c>
      <c r="E31" s="38" t="s">
        <v>184</v>
      </c>
      <c r="F31" s="31" t="s">
        <v>4011</v>
      </c>
      <c r="G31" s="32"/>
      <c r="H31" s="32"/>
      <c r="I31" s="32" t="s">
        <v>119</v>
      </c>
    </row>
    <row r="32" spans="1:9" x14ac:dyDescent="0.25">
      <c r="A32" s="30" t="s">
        <v>3388</v>
      </c>
      <c r="B32" s="31" t="s">
        <v>2150</v>
      </c>
      <c r="C32" s="31" t="s">
        <v>3096</v>
      </c>
      <c r="D32" s="38" t="s">
        <v>3388</v>
      </c>
      <c r="E32" s="38" t="s">
        <v>3389</v>
      </c>
      <c r="F32" s="31" t="s">
        <v>3353</v>
      </c>
      <c r="G32" s="32" t="s">
        <v>4415</v>
      </c>
      <c r="H32" s="32" t="s">
        <v>4414</v>
      </c>
      <c r="I32" s="32" t="s">
        <v>119</v>
      </c>
    </row>
    <row r="33" spans="1:9" x14ac:dyDescent="0.25">
      <c r="A33" s="30" t="s">
        <v>4166</v>
      </c>
      <c r="B33" s="31" t="s">
        <v>3097</v>
      </c>
      <c r="C33" s="31" t="s">
        <v>3096</v>
      </c>
      <c r="D33" s="38" t="s">
        <v>4166</v>
      </c>
      <c r="E33" s="38" t="s">
        <v>4167</v>
      </c>
      <c r="F33" s="31" t="s">
        <v>3353</v>
      </c>
      <c r="G33" s="32"/>
      <c r="H33" s="32"/>
      <c r="I33" s="32" t="s">
        <v>119</v>
      </c>
    </row>
    <row r="34" spans="1:9" x14ac:dyDescent="0.25">
      <c r="A34" s="30" t="s">
        <v>106</v>
      </c>
      <c r="B34" s="31" t="s">
        <v>2150</v>
      </c>
      <c r="C34" s="31" t="s">
        <v>3096</v>
      </c>
      <c r="D34" s="38" t="s">
        <v>106</v>
      </c>
      <c r="E34" s="38" t="s">
        <v>467</v>
      </c>
      <c r="F34" s="31" t="s">
        <v>3353</v>
      </c>
      <c r="G34" s="32" t="s">
        <v>482</v>
      </c>
      <c r="H34" s="32" t="s">
        <v>482</v>
      </c>
      <c r="I34" s="32" t="s">
        <v>119</v>
      </c>
    </row>
    <row r="35" spans="1:9" x14ac:dyDescent="0.25">
      <c r="A35" s="33"/>
      <c r="B35" s="32"/>
      <c r="C35" s="32"/>
      <c r="D35" s="39"/>
      <c r="E35" s="39"/>
      <c r="F35" s="32"/>
      <c r="G35" s="32"/>
      <c r="H35" s="32"/>
      <c r="I35" s="32" t="s">
        <v>119</v>
      </c>
    </row>
    <row r="36" spans="1:9" x14ac:dyDescent="0.25">
      <c r="A36" s="33"/>
      <c r="B36" s="32"/>
      <c r="C36" s="32"/>
      <c r="D36" s="39"/>
      <c r="E36" s="39"/>
      <c r="F36" s="32"/>
      <c r="G36" s="32"/>
      <c r="H36" s="32"/>
      <c r="I36" s="32" t="s">
        <v>119</v>
      </c>
    </row>
    <row r="37" spans="1:9" x14ac:dyDescent="0.25">
      <c r="A37" s="33"/>
      <c r="B37" s="32"/>
      <c r="C37" s="32"/>
      <c r="D37" s="39"/>
      <c r="E37" s="39"/>
      <c r="F37" s="32"/>
      <c r="G37" s="32"/>
      <c r="H37" s="32"/>
      <c r="I37" s="32" t="s">
        <v>119</v>
      </c>
    </row>
    <row r="38" spans="1:9" x14ac:dyDescent="0.25">
      <c r="A38" s="33"/>
      <c r="B38" s="32"/>
      <c r="C38" s="32"/>
      <c r="D38" s="39"/>
      <c r="E38" s="39"/>
      <c r="F38" s="32"/>
      <c r="G38" s="32"/>
      <c r="H38" s="32"/>
      <c r="I38" s="32" t="s">
        <v>119</v>
      </c>
    </row>
    <row r="39" spans="1:9" x14ac:dyDescent="0.25">
      <c r="A39" s="33"/>
      <c r="B39" s="32"/>
      <c r="C39" s="32"/>
      <c r="D39" s="39"/>
      <c r="E39" s="39"/>
      <c r="F39" s="32"/>
      <c r="G39" s="32"/>
      <c r="H39" s="32"/>
      <c r="I39" s="32" t="s">
        <v>119</v>
      </c>
    </row>
    <row r="40" spans="1:9" x14ac:dyDescent="0.25">
      <c r="A40" s="33"/>
      <c r="B40" s="32"/>
      <c r="C40" s="32"/>
      <c r="D40" s="39"/>
      <c r="E40" s="39"/>
      <c r="F40" s="32"/>
      <c r="G40" s="32"/>
      <c r="H40" s="32"/>
      <c r="I40" s="32" t="s">
        <v>119</v>
      </c>
    </row>
    <row r="41" spans="1:9" x14ac:dyDescent="0.25">
      <c r="A41" s="33"/>
      <c r="B41" s="32"/>
      <c r="C41" s="32"/>
      <c r="D41" s="39"/>
      <c r="E41" s="39"/>
      <c r="F41" s="32"/>
      <c r="G41" s="32"/>
      <c r="H41" s="32"/>
      <c r="I41" s="32" t="s">
        <v>119</v>
      </c>
    </row>
    <row r="42" spans="1:9" x14ac:dyDescent="0.25">
      <c r="A42" s="33"/>
      <c r="B42" s="32"/>
      <c r="C42" s="32"/>
      <c r="D42" s="39"/>
      <c r="E42" s="39"/>
      <c r="F42" s="32"/>
      <c r="G42" s="32"/>
      <c r="H42" s="32"/>
      <c r="I42" s="32" t="s">
        <v>119</v>
      </c>
    </row>
    <row r="43" spans="1:9" x14ac:dyDescent="0.25">
      <c r="A43" s="33"/>
      <c r="B43" s="32"/>
      <c r="C43" s="32"/>
      <c r="D43" s="39"/>
      <c r="E43" s="39"/>
      <c r="F43" s="32"/>
      <c r="G43" s="32"/>
      <c r="H43" s="32"/>
      <c r="I43" s="32" t="s">
        <v>119</v>
      </c>
    </row>
    <row r="44" spans="1:9" x14ac:dyDescent="0.25">
      <c r="A44" s="33"/>
      <c r="B44" s="32"/>
      <c r="C44" s="32"/>
      <c r="D44" s="39"/>
      <c r="E44" s="39"/>
      <c r="F44" s="32"/>
      <c r="G44" s="32"/>
      <c r="H44" s="32"/>
      <c r="I44" s="32" t="s">
        <v>119</v>
      </c>
    </row>
    <row r="45" spans="1:9" x14ac:dyDescent="0.25">
      <c r="A45" s="33"/>
      <c r="B45" s="32"/>
      <c r="C45" s="32"/>
      <c r="D45" s="39"/>
      <c r="E45" s="39"/>
      <c r="F45" s="32"/>
      <c r="G45" s="32"/>
      <c r="H45" s="32"/>
      <c r="I45" s="32" t="s">
        <v>119</v>
      </c>
    </row>
  </sheetData>
  <autoFilter ref="A4:H4" xr:uid="{0D419C82-A0F9-45B6-96E6-AFC6615E1430}">
    <sortState xmlns:xlrd2="http://schemas.microsoft.com/office/spreadsheetml/2017/richdata2" ref="A5:H31">
      <sortCondition ref="A4"/>
    </sortState>
  </autoFilter>
  <mergeCells count="9">
    <mergeCell ref="I2:I3"/>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2026-08-12T11:53:40Z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ies>
</file>